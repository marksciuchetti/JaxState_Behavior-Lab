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ssion" sheetId="2" state="visible" r:id="rId2"/>
    <sheet xmlns:r="http://schemas.openxmlformats.org/officeDocument/2006/relationships" name="Quality" sheetId="3" state="visible" r:id="rId3"/>
    <sheet xmlns:r="http://schemas.openxmlformats.org/officeDocument/2006/relationships" name="FEA" sheetId="4" state="visible" r:id="rId4"/>
    <sheet xmlns:r="http://schemas.openxmlformats.org/officeDocument/2006/relationships" name="Survey" sheetId="5" state="visible" r:id="rId5"/>
    <sheet xmlns:r="http://schemas.openxmlformats.org/officeDocument/2006/relationships" name="Funnel" sheetId="6" state="visible" r:id="rId6"/>
    <sheet xmlns:r="http://schemas.openxmlformats.org/officeDocument/2006/relationships" name="Screening" sheetId="7" state="visible" r:id="rId7"/>
    <sheet xmlns:r="http://schemas.openxmlformats.org/officeDocument/2006/relationships" name="H1" sheetId="8" state="visible" r:id="rId8"/>
    <sheet xmlns:r="http://schemas.openxmlformats.org/officeDocument/2006/relationships" name="H3" sheetId="9" state="visible" r:id="rId9"/>
    <sheet xmlns:r="http://schemas.openxmlformats.org/officeDocument/2006/relationships" name="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0.0"/>
    <numFmt numFmtId="167" formatCode="0.0000"/>
    <numFmt numFmtId="168" formatCode="0.000000"/>
    <numFmt numFmtId="169" formatCode="0.000000E+00"/>
  </numFmts>
  <fonts count="7">
    <font>
      <name val="Calibri"/>
      <family val="2"/>
      <color theme="1"/>
      <sz val="11"/>
      <scheme val="minor"/>
    </font>
    <font>
      <b val="1"/>
      <color rgb="000072B2"/>
      <sz val="14"/>
    </font>
    <font>
      <b val="1"/>
      <color rgb="00FFFFFF"/>
    </font>
    <font>
      <b val="1"/>
      <color rgb="000072B2"/>
      <sz val="12"/>
    </font>
    <font>
      <i val="1"/>
      <color rgb="00555555"/>
    </font>
    <font>
      <b val="1"/>
    </font>
    <font>
      <name val="Consolas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0072B2"/>
      </patternFill>
    </fill>
    <fill>
      <patternFill patternType="solid">
        <fgColor rgb="00E69F00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2" fontId="0" fillId="0" borderId="0" pivotButton="0" quotePrefix="0" xfId="0"/>
    <xf numFmtId="0" fontId="5" fillId="4" borderId="0" pivotButton="0" quotePrefix="0" xfId="0"/>
    <xf numFmtId="167" fontId="0" fillId="0" borderId="0" pivotButton="0" quotePrefix="0" xfId="0"/>
    <xf numFmtId="0" fontId="6" fillId="0" borderId="0" pivotButton="0" quotePrefix="0" xfId="0"/>
    <xf numFmtId="168" fontId="0" fillId="0" borderId="0" pivotButton="0" quotePrefix="0" xfId="0"/>
    <xf numFmtId="0" fontId="0" fillId="5" borderId="1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SIMULATED: sessions entering each funnel step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'Funnel'!C4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'Funnel'!$B$5:$B$15</f>
            </numRef>
          </cat>
          <val>
            <numRef>
              <f>'Funnel'!$C$5:$C$15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Sessions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SIMULATED remote study workbook (teaching material): webcam eye tracking and webcam facial expression analysis</t>
        </is>
      </c>
    </row>
    <row r="2">
      <c r="A2" t="inlineStr"/>
    </row>
    <row r="3">
      <c r="A3" t="inlineStr">
        <is>
          <t>Every number in this workbook is SIMULATED. It was generated by make_simulated_data.py (seed 20276200) in the style of the iMotions</t>
        </is>
      </c>
    </row>
    <row r="4">
      <c r="A4" t="inlineStr">
        <is>
          <t>vendor demo (DEMO) Food Waste_webET_FEA_voice: every respondent saw two one minute food waste videos (foodwaste_narrative and</t>
        </is>
      </c>
    </row>
    <row r="5">
      <c r="A5" t="inlineStr">
        <is>
          <t>foodwaste_visual) in random order, then an infographic with four tips (15 s), then a questionnaire. Remote Data Collection study built in</t>
        </is>
      </c>
    </row>
    <row r="6">
      <c r="A6" t="inlineStr">
        <is>
          <t>iMotions Lab 11.1, run through my.imotions.com, downloaded, and processed in Lab (Post Processing &gt; Affectiva, FEA thresholding at 50).</t>
        </is>
      </c>
    </row>
    <row r="7">
      <c r="A7" t="inlineStr">
        <is>
          <t>No real person was recorded.</t>
        </is>
      </c>
    </row>
    <row r="8">
      <c r="A8" t="inlineStr"/>
    </row>
    <row r="9">
      <c r="A9" t="inlineStr">
        <is>
          <t>Each order of the videos is its own study flow: Study flow 1 = narrative first, Study flow 2 = visual first (the Block column).</t>
        </is>
      </c>
    </row>
    <row r="10">
      <c r="A10" t="inlineStr"/>
    </row>
    <row r="11">
      <c r="A11" t="inlineStr">
        <is>
          <t>Sheets:</t>
        </is>
      </c>
    </row>
    <row r="12">
      <c r="A12" t="inlineStr">
        <is>
          <t xml:space="preserve">  Session    Session data as downloaded (columns A to J, rows 2 to 261); helper columns K to O are live formulas.</t>
        </is>
      </c>
    </row>
    <row r="13">
      <c r="A13" t="inlineStr">
        <is>
          <t xml:space="preserve">  Funnel     Sessions entering and stopping at each step of the respondent funnel; completion by order (chi square); by device.</t>
        </is>
      </c>
    </row>
    <row r="14">
      <c r="A14" t="inlineStr">
        <is>
          <t xml:space="preserve">  Quality    Quality table (MODELED layout): accuracy at the two calibrations, eye tracking quality and face quality per slide.</t>
        </is>
      </c>
    </row>
    <row r="15">
      <c r="A15" t="inlineStr">
        <is>
          <t xml:space="preserve">  Screening  The exclusion rule, one row per completed respondent; the thresholds are in yellow cells and can be changed.</t>
        </is>
      </c>
    </row>
    <row r="16">
      <c r="A16" t="inlineStr">
        <is>
          <t xml:space="preserve">  FEA        FEA Metrics Export (MODELED header, as in Workshop 3): percent of time each expression was above its threshold.</t>
        </is>
      </c>
    </row>
    <row r="17">
      <c r="A17" t="inlineStr">
        <is>
          <t xml:space="preserve">  Survey     Survey export (MODELED layout): intention (1 to 7), more persuasive video, tips recalled (0 to 4).</t>
        </is>
      </c>
    </row>
    <row r="18">
      <c r="A18" t="inlineStr">
        <is>
          <t xml:space="preserve">  H1         Engagement, visual versus narrative video, paired t test; the 3.0 degree sensitivity check.</t>
        </is>
      </c>
    </row>
    <row r="19">
      <c r="A19" t="inlineStr">
        <is>
          <t xml:space="preserve">  H3         Intention to reduce food waste by order, Welch t test (the randomization check).</t>
        </is>
      </c>
    </row>
    <row r="20">
      <c r="A20" t="inlineStr">
        <is>
          <t xml:space="preserve">  Check      Live Excel results next to the values analysis.R produced, with an OK or CHECK status.</t>
        </is>
      </c>
    </row>
    <row r="21">
      <c r="A21" t="inlineStr"/>
    </row>
    <row r="22">
      <c r="A22" t="inlineStr">
        <is>
          <t>Exclusion rule, written before collection: exclude when the Pre-study OR Post-study calibration accuracy is above 4.0 degrees,</t>
        </is>
      </c>
    </row>
    <row r="23">
      <c r="A23" t="inlineStr">
        <is>
          <t>eye tracking quality on the infographic is below 90 percent, or face quality is below 80 percent during either video.</t>
        </is>
      </c>
    </row>
    <row r="24">
      <c r="A24" t="inlineStr">
        <is>
          <t>Sensitivity: accuracy at or below 3.0 degrees at both calibrations.</t>
        </is>
      </c>
    </row>
    <row r="25">
      <c r="A25" t="inlineStr">
        <is>
          <t>Documented column names: Id, Started, Ended, Eye tracking, Est. face %, Block, Status (RDC respondent list) and the funnel step names.</t>
        </is>
      </c>
    </row>
    <row r="26">
      <c r="A26" t="inlineStr">
        <is>
          <t>MODELED, verify on the lab computer: the session CSV layout and its three (modeled) columns, the quality table, the FEA header, the survey.</t>
        </is>
      </c>
    </row>
    <row r="27">
      <c r="A27" t="inlineStr"/>
    </row>
    <row r="28">
      <c r="A28" t="inlineStr">
        <is>
          <t>Not in this workbook (no Excel function): H2 (Friedman test, Kendall's W, Holm adjusted Wilcoxon tests), Wilcoxon and Fisher tests,</t>
        </is>
      </c>
    </row>
    <row r="29">
      <c r="A29" t="inlineStr">
        <is>
          <t>the logistic regression of the AOI hit on accuracy, exact noncentral t intervals. See analysis_output.txt.</t>
        </is>
      </c>
    </row>
    <row r="30">
      <c r="A30" t="inlineStr">
        <is>
          <t>Companion files: analysis_excel_walkthrough.md (step by step), analysis.R, analysis_output.txt, results_text.md.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4" customWidth="1" min="4" max="4"/>
    <col width="13" customWidth="1" min="5" max="5"/>
    <col width="14" customWidth="1" min="6" max="6"/>
    <col width="11" customWidth="1" min="7" max="7"/>
    <col width="30" customWidth="1" min="8" max="8"/>
    <col width="23" customWidth="1" min="9" max="9"/>
    <col width="19" customWidth="1" min="10" max="10"/>
    <col width="14" customWidth="1" min="11" max="11"/>
    <col width="21" customWidth="1" min="12" max="12"/>
    <col width="14" customWidth="1" min="13" max="13"/>
    <col width="28" customWidth="1" min="14" max="14"/>
    <col width="21" customWidth="1" min="15" max="15"/>
  </cols>
  <sheetData>
    <row r="1">
      <c r="A1" s="2" t="inlineStr">
        <is>
          <t>Id</t>
        </is>
      </c>
      <c r="B1" s="2" t="inlineStr">
        <is>
          <t>Started</t>
        </is>
      </c>
      <c r="C1" s="2" t="inlineStr">
        <is>
          <t>Ended</t>
        </is>
      </c>
      <c r="D1" s="2" t="inlineStr">
        <is>
          <t>Eye tracking</t>
        </is>
      </c>
      <c r="E1" s="2" t="inlineStr">
        <is>
          <t>Est. face %</t>
        </is>
      </c>
      <c r="F1" s="2" t="inlineStr">
        <is>
          <t>Block</t>
        </is>
      </c>
      <c r="G1" s="2" t="inlineStr">
        <is>
          <t>Status</t>
        </is>
      </c>
      <c r="H1" s="2" t="inlineStr">
        <is>
          <t>Last funnel step (modeled)</t>
        </is>
      </c>
      <c r="I1" s="2" t="inlineStr">
        <is>
          <t>Device type (modeled)</t>
        </is>
      </c>
      <c r="J1" s="2" t="inlineStr">
        <is>
          <t>Browser (modeled)</t>
        </is>
      </c>
      <c r="K1" s="3" t="inlineStr">
        <is>
          <t>Step number</t>
        </is>
      </c>
      <c r="L1" s="3" t="inlineStr">
        <is>
          <t>Completed (1 = yes)</t>
        </is>
      </c>
      <c r="M1" s="3" t="inlineStr">
        <is>
          <t>Order</t>
        </is>
      </c>
      <c r="N1" s="3" t="inlineStr">
        <is>
          <t>Session accuracy (degrees)</t>
        </is>
      </c>
      <c r="O1" s="3" t="inlineStr">
        <is>
          <t>Session quality (%)</t>
        </is>
      </c>
    </row>
    <row r="2">
      <c r="A2" t="inlineStr">
        <is>
          <t>RESP0001</t>
        </is>
      </c>
      <c r="B2" s="4" t="n">
        <v>46447.42077546296</v>
      </c>
      <c r="C2" s="4" t="n">
        <v>46447.42739583334</v>
      </c>
      <c r="D2" t="inlineStr">
        <is>
          <t>1.3, 95%</t>
        </is>
      </c>
      <c r="E2" t="n">
        <v>99</v>
      </c>
      <c r="F2" t="inlineStr">
        <is>
          <t>Study flow 2</t>
        </is>
      </c>
      <c r="G2" t="inlineStr">
        <is>
          <t>Processed</t>
        </is>
      </c>
      <c r="H2" t="inlineStr">
        <is>
          <t>Completed</t>
        </is>
      </c>
      <c r="I2" t="inlineStr">
        <is>
          <t>Laptop</t>
        </is>
      </c>
      <c r="J2" t="inlineStr">
        <is>
          <t>Firefox</t>
        </is>
      </c>
      <c r="K2">
        <f>IF(H2="Completed",11,VALUE(MID(H2,6,FIND(" ",H2,6)-6)))</f>
        <v/>
      </c>
      <c r="L2">
        <f>IF(G2="Processed",1,0)</f>
        <v/>
      </c>
      <c r="M2">
        <f>IF(F2="Study flow 1","Narrative first","Visual first")</f>
        <v/>
      </c>
      <c r="N2">
        <f>IF(D2="","",VALUE(LEFT(D2,FIND(",",D2)-1)))</f>
        <v/>
      </c>
      <c r="O2">
        <f>IF(D2="","",VALUE(SUBSTITUTE(MID(D2,FIND(",",D2)+2,10),"%","")))</f>
        <v/>
      </c>
    </row>
    <row r="3">
      <c r="A3" t="inlineStr">
        <is>
          <t>RESP0002</t>
        </is>
      </c>
      <c r="B3" s="4" t="n">
        <v>46447.4291087963</v>
      </c>
      <c r="C3" s="4" t="n">
        <v>46447.435</v>
      </c>
      <c r="D3" t="inlineStr">
        <is>
          <t>2.7, 95%</t>
        </is>
      </c>
      <c r="E3" t="n">
        <v>98</v>
      </c>
      <c r="F3" t="inlineStr">
        <is>
          <t>Study flow 1</t>
        </is>
      </c>
      <c r="G3" t="inlineStr">
        <is>
          <t>Processed</t>
        </is>
      </c>
      <c r="H3" t="inlineStr">
        <is>
          <t>Completed</t>
        </is>
      </c>
      <c r="I3" t="inlineStr">
        <is>
          <t>Laptop</t>
        </is>
      </c>
      <c r="J3" t="inlineStr">
        <is>
          <t>Chrome</t>
        </is>
      </c>
      <c r="K3">
        <f>IF(H3="Completed",11,VALUE(MID(H3,6,FIND(" ",H3,6)-6)))</f>
        <v/>
      </c>
      <c r="L3">
        <f>IF(G3="Processed",1,0)</f>
        <v/>
      </c>
      <c r="M3">
        <f>IF(F3="Study flow 1","Narrative first","Visual first")</f>
        <v/>
      </c>
      <c r="N3">
        <f>IF(D3="","",VALUE(LEFT(D3,FIND(",",D3)-1)))</f>
        <v/>
      </c>
      <c r="O3">
        <f>IF(D3="","",VALUE(SUBSTITUTE(MID(D3,FIND(",",D3)+2,10),"%","")))</f>
        <v/>
      </c>
    </row>
    <row r="4">
      <c r="A4" t="inlineStr">
        <is>
          <t>RESP0003</t>
        </is>
      </c>
      <c r="B4" s="4" t="n">
        <v>46447.46457175926</v>
      </c>
      <c r="C4" s="4" t="n">
        <v>46447.47106481482</v>
      </c>
      <c r="D4" t="inlineStr">
        <is>
          <t>1.5, 96%</t>
        </is>
      </c>
      <c r="E4" t="n">
        <v>86</v>
      </c>
      <c r="F4" t="inlineStr">
        <is>
          <t>Study flow 2</t>
        </is>
      </c>
      <c r="G4" t="inlineStr">
        <is>
          <t>Processed</t>
        </is>
      </c>
      <c r="H4" t="inlineStr">
        <is>
          <t>Completed</t>
        </is>
      </c>
      <c r="I4" t="inlineStr">
        <is>
          <t>Laptop</t>
        </is>
      </c>
      <c r="J4" t="inlineStr">
        <is>
          <t>Safari</t>
        </is>
      </c>
      <c r="K4">
        <f>IF(H4="Completed",11,VALUE(MID(H4,6,FIND(" ",H4,6)-6)))</f>
        <v/>
      </c>
      <c r="L4">
        <f>IF(G4="Processed",1,0)</f>
        <v/>
      </c>
      <c r="M4">
        <f>IF(F4="Study flow 1","Narrative first","Visual first")</f>
        <v/>
      </c>
      <c r="N4">
        <f>IF(D4="","",VALUE(LEFT(D4,FIND(",",D4)-1)))</f>
        <v/>
      </c>
      <c r="O4">
        <f>IF(D4="","",VALUE(SUBSTITUTE(MID(D4,FIND(",",D4)+2,10),"%","")))</f>
        <v/>
      </c>
    </row>
    <row r="5">
      <c r="A5" t="inlineStr">
        <is>
          <t>RESP0004</t>
        </is>
      </c>
      <c r="B5" s="4" t="n">
        <v>46447.48976851852</v>
      </c>
      <c r="C5" s="4" t="n">
        <v>46447.49570601852</v>
      </c>
      <c r="D5" t="inlineStr">
        <is>
          <t>3.0, 95%</t>
        </is>
      </c>
      <c r="E5" t="n">
        <v>96</v>
      </c>
      <c r="F5" t="inlineStr">
        <is>
          <t>Study flow 2</t>
        </is>
      </c>
      <c r="G5" t="inlineStr">
        <is>
          <t>Processed</t>
        </is>
      </c>
      <c r="H5" t="inlineStr">
        <is>
          <t>Completed</t>
        </is>
      </c>
      <c r="I5" t="inlineStr">
        <is>
          <t>Desktop</t>
        </is>
      </c>
      <c r="J5" t="inlineStr">
        <is>
          <t>Safari</t>
        </is>
      </c>
      <c r="K5">
        <f>IF(H5="Completed",11,VALUE(MID(H5,6,FIND(" ",H5,6)-6)))</f>
        <v/>
      </c>
      <c r="L5">
        <f>IF(G5="Processed",1,0)</f>
        <v/>
      </c>
      <c r="M5">
        <f>IF(F5="Study flow 1","Narrative first","Visual first")</f>
        <v/>
      </c>
      <c r="N5">
        <f>IF(D5="","",VALUE(LEFT(D5,FIND(",",D5)-1)))</f>
        <v/>
      </c>
      <c r="O5">
        <f>IF(D5="","",VALUE(SUBSTITUTE(MID(D5,FIND(",",D5)+2,10),"%","")))</f>
        <v/>
      </c>
    </row>
    <row r="6">
      <c r="A6" t="inlineStr">
        <is>
          <t>RESP0005</t>
        </is>
      </c>
      <c r="B6" s="4" t="n">
        <v>46447.50300925926</v>
      </c>
      <c r="C6" s="4" t="n">
        <v>46447.5090162037</v>
      </c>
      <c r="D6" t="inlineStr">
        <is>
          <t>1.1, 99%</t>
        </is>
      </c>
      <c r="E6" t="n">
        <v>92</v>
      </c>
      <c r="F6" t="inlineStr">
        <is>
          <t>Study flow 2</t>
        </is>
      </c>
      <c r="G6" t="inlineStr">
        <is>
          <t>Processed</t>
        </is>
      </c>
      <c r="H6" t="inlineStr">
        <is>
          <t>Completed</t>
        </is>
      </c>
      <c r="I6" t="inlineStr">
        <is>
          <t>Laptop</t>
        </is>
      </c>
      <c r="J6" t="inlineStr">
        <is>
          <t>Safari</t>
        </is>
      </c>
      <c r="K6">
        <f>IF(H6="Completed",11,VALUE(MID(H6,6,FIND(" ",H6,6)-6)))</f>
        <v/>
      </c>
      <c r="L6">
        <f>IF(G6="Processed",1,0)</f>
        <v/>
      </c>
      <c r="M6">
        <f>IF(F6="Study flow 1","Narrative first","Visual first")</f>
        <v/>
      </c>
      <c r="N6">
        <f>IF(D6="","",VALUE(LEFT(D6,FIND(",",D6)-1)))</f>
        <v/>
      </c>
      <c r="O6">
        <f>IF(D6="","",VALUE(SUBSTITUTE(MID(D6,FIND(",",D6)+2,10),"%","")))</f>
        <v/>
      </c>
    </row>
    <row r="7">
      <c r="A7" t="inlineStr">
        <is>
          <t>RESP0006</t>
        </is>
      </c>
      <c r="B7" s="4" t="n">
        <v>46447.53038194445</v>
      </c>
      <c r="C7" s="4" t="n">
        <v>46447.53609953704</v>
      </c>
      <c r="D7" t="inlineStr">
        <is>
          <t>1.7, 97%</t>
        </is>
      </c>
      <c r="E7" t="n">
        <v>99</v>
      </c>
      <c r="F7" t="inlineStr">
        <is>
          <t>Study flow 2</t>
        </is>
      </c>
      <c r="G7" t="inlineStr">
        <is>
          <t>Processed</t>
        </is>
      </c>
      <c r="H7" t="inlineStr">
        <is>
          <t>Completed</t>
        </is>
      </c>
      <c r="I7" t="inlineStr">
        <is>
          <t>Laptop</t>
        </is>
      </c>
      <c r="J7" t="inlineStr">
        <is>
          <t>Chrome</t>
        </is>
      </c>
      <c r="K7">
        <f>IF(H7="Completed",11,VALUE(MID(H7,6,FIND(" ",H7,6)-6)))</f>
        <v/>
      </c>
      <c r="L7">
        <f>IF(G7="Processed",1,0)</f>
        <v/>
      </c>
      <c r="M7">
        <f>IF(F7="Study flow 1","Narrative first","Visual first")</f>
        <v/>
      </c>
      <c r="N7">
        <f>IF(D7="","",VALUE(LEFT(D7,FIND(",",D7)-1)))</f>
        <v/>
      </c>
      <c r="O7">
        <f>IF(D7="","",VALUE(SUBSTITUTE(MID(D7,FIND(",",D7)+2,10),"%","")))</f>
        <v/>
      </c>
    </row>
    <row r="8">
      <c r="A8" t="inlineStr">
        <is>
          <t>RESP0007</t>
        </is>
      </c>
      <c r="B8" s="4" t="n">
        <v>46447.58982638889</v>
      </c>
      <c r="C8" s="4" t="n">
        <v>46447.59584490741</v>
      </c>
      <c r="D8" t="inlineStr">
        <is>
          <t>1.8, 97%</t>
        </is>
      </c>
      <c r="E8" t="n">
        <v>96</v>
      </c>
      <c r="F8" t="inlineStr">
        <is>
          <t>Study flow 1</t>
        </is>
      </c>
      <c r="G8" t="inlineStr">
        <is>
          <t>Processed</t>
        </is>
      </c>
      <c r="H8" t="inlineStr">
        <is>
          <t>Completed</t>
        </is>
      </c>
      <c r="I8" t="inlineStr">
        <is>
          <t>Laptop</t>
        </is>
      </c>
      <c r="J8" t="inlineStr">
        <is>
          <t>Chrome</t>
        </is>
      </c>
      <c r="K8">
        <f>IF(H8="Completed",11,VALUE(MID(H8,6,FIND(" ",H8,6)-6)))</f>
        <v/>
      </c>
      <c r="L8">
        <f>IF(G8="Processed",1,0)</f>
        <v/>
      </c>
      <c r="M8">
        <f>IF(F8="Study flow 1","Narrative first","Visual first")</f>
        <v/>
      </c>
      <c r="N8">
        <f>IF(D8="","",VALUE(LEFT(D8,FIND(",",D8)-1)))</f>
        <v/>
      </c>
      <c r="O8">
        <f>IF(D8="","",VALUE(SUBSTITUTE(MID(D8,FIND(",",D8)+2,10),"%","")))</f>
        <v/>
      </c>
    </row>
    <row r="9">
      <c r="A9" t="inlineStr">
        <is>
          <t>RESP0008</t>
        </is>
      </c>
      <c r="B9" s="4" t="n">
        <v>46447.68337962963</v>
      </c>
      <c r="C9" s="4" t="n"/>
      <c r="F9" t="inlineStr">
        <is>
          <t>Study flow 1</t>
        </is>
      </c>
      <c r="G9" t="inlineStr">
        <is>
          <t>Abandoned</t>
        </is>
      </c>
      <c r="H9" t="inlineStr">
        <is>
          <t>STEP 8 Positioning check</t>
        </is>
      </c>
      <c r="I9" t="inlineStr">
        <is>
          <t>Laptop</t>
        </is>
      </c>
      <c r="J9" t="inlineStr">
        <is>
          <t>Edge</t>
        </is>
      </c>
      <c r="K9">
        <f>IF(H9="Completed",11,VALUE(MID(H9,6,FIND(" ",H9,6)-6)))</f>
        <v/>
      </c>
      <c r="L9">
        <f>IF(G9="Processed",1,0)</f>
        <v/>
      </c>
      <c r="M9">
        <f>IF(F9="Study flow 1","Narrative first","Visual first")</f>
        <v/>
      </c>
      <c r="N9">
        <f>IF(D9="","",VALUE(LEFT(D9,FIND(",",D9)-1)))</f>
        <v/>
      </c>
      <c r="O9">
        <f>IF(D9="","",VALUE(SUBSTITUTE(MID(D9,FIND(",",D9)+2,10),"%","")))</f>
        <v/>
      </c>
    </row>
    <row r="10">
      <c r="A10" t="inlineStr">
        <is>
          <t>RESP0009</t>
        </is>
      </c>
      <c r="B10" s="4" t="n">
        <v>46447.6893287037</v>
      </c>
      <c r="C10" s="4" t="n">
        <v>46447.6953587963</v>
      </c>
      <c r="D10" t="inlineStr">
        <is>
          <t>3.1, 94%</t>
        </is>
      </c>
      <c r="E10" t="n">
        <v>97</v>
      </c>
      <c r="F10" t="inlineStr">
        <is>
          <t>Study flow 1</t>
        </is>
      </c>
      <c r="G10" t="inlineStr">
        <is>
          <t>Processed</t>
        </is>
      </c>
      <c r="H10" t="inlineStr">
        <is>
          <t>Completed</t>
        </is>
      </c>
      <c r="I10" t="inlineStr">
        <is>
          <t>Laptop</t>
        </is>
      </c>
      <c r="J10" t="inlineStr">
        <is>
          <t>Firefox</t>
        </is>
      </c>
      <c r="K10">
        <f>IF(H10="Completed",11,VALUE(MID(H10,6,FIND(" ",H10,6)-6)))</f>
        <v/>
      </c>
      <c r="L10">
        <f>IF(G10="Processed",1,0)</f>
        <v/>
      </c>
      <c r="M10">
        <f>IF(F10="Study flow 1","Narrative first","Visual first")</f>
        <v/>
      </c>
      <c r="N10">
        <f>IF(D10="","",VALUE(LEFT(D10,FIND(",",D10)-1)))</f>
        <v/>
      </c>
      <c r="O10">
        <f>IF(D10="","",VALUE(SUBSTITUTE(MID(D10,FIND(",",D10)+2,10),"%","")))</f>
        <v/>
      </c>
    </row>
    <row r="11">
      <c r="A11" t="inlineStr">
        <is>
          <t>RESP0010</t>
        </is>
      </c>
      <c r="B11" s="4" t="n">
        <v>46447.71275462963</v>
      </c>
      <c r="C11" s="4" t="n">
        <v>46447.71835648148</v>
      </c>
      <c r="D11" t="inlineStr">
        <is>
          <t>2.3, 97%</t>
        </is>
      </c>
      <c r="E11" t="n">
        <v>99</v>
      </c>
      <c r="F11" t="inlineStr">
        <is>
          <t>Study flow 1</t>
        </is>
      </c>
      <c r="G11" t="inlineStr">
        <is>
          <t>Processed</t>
        </is>
      </c>
      <c r="H11" t="inlineStr">
        <is>
          <t>Completed</t>
        </is>
      </c>
      <c r="I11" t="inlineStr">
        <is>
          <t>Laptop</t>
        </is>
      </c>
      <c r="J11" t="inlineStr">
        <is>
          <t>Chrome</t>
        </is>
      </c>
      <c r="K11">
        <f>IF(H11="Completed",11,VALUE(MID(H11,6,FIND(" ",H11,6)-6)))</f>
        <v/>
      </c>
      <c r="L11">
        <f>IF(G11="Processed",1,0)</f>
        <v/>
      </c>
      <c r="M11">
        <f>IF(F11="Study flow 1","Narrative first","Visual first")</f>
        <v/>
      </c>
      <c r="N11">
        <f>IF(D11="","",VALUE(LEFT(D11,FIND(",",D11)-1)))</f>
        <v/>
      </c>
      <c r="O11">
        <f>IF(D11="","",VALUE(SUBSTITUTE(MID(D11,FIND(",",D11)+2,10),"%","")))</f>
        <v/>
      </c>
    </row>
    <row r="12">
      <c r="A12" t="inlineStr">
        <is>
          <t>RESP0011</t>
        </is>
      </c>
      <c r="B12" s="4" t="n">
        <v>46447.7385300926</v>
      </c>
      <c r="C12" s="4" t="n"/>
      <c r="F12" t="inlineStr">
        <is>
          <t>Study flow 2</t>
        </is>
      </c>
      <c r="G12" t="inlineStr">
        <is>
          <t>Abandoned</t>
        </is>
      </c>
      <c r="H12" t="inlineStr">
        <is>
          <t>STEP 4 Respondent camera setup</t>
        </is>
      </c>
      <c r="I12" t="inlineStr">
        <is>
          <t>Laptop</t>
        </is>
      </c>
      <c r="J12" t="inlineStr">
        <is>
          <t>Safari</t>
        </is>
      </c>
      <c r="K12">
        <f>IF(H12="Completed",11,VALUE(MID(H12,6,FIND(" ",H12,6)-6)))</f>
        <v/>
      </c>
      <c r="L12">
        <f>IF(G12="Processed",1,0)</f>
        <v/>
      </c>
      <c r="M12">
        <f>IF(F12="Study flow 1","Narrative first","Visual first")</f>
        <v/>
      </c>
      <c r="N12">
        <f>IF(D12="","",VALUE(LEFT(D12,FIND(",",D12)-1)))</f>
        <v/>
      </c>
      <c r="O12">
        <f>IF(D12="","",VALUE(SUBSTITUTE(MID(D12,FIND(",",D12)+2,10),"%","")))</f>
        <v/>
      </c>
    </row>
    <row r="13">
      <c r="A13" t="inlineStr">
        <is>
          <t>RESP0012</t>
        </is>
      </c>
      <c r="B13" s="4" t="n">
        <v>46447.74688657407</v>
      </c>
      <c r="C13" s="4" t="n">
        <v>46447.75267361111</v>
      </c>
      <c r="D13" t="inlineStr">
        <is>
          <t>1.7, 97%</t>
        </is>
      </c>
      <c r="E13" t="n">
        <v>99</v>
      </c>
      <c r="F13" t="inlineStr">
        <is>
          <t>Study flow 2</t>
        </is>
      </c>
      <c r="G13" t="inlineStr">
        <is>
          <t>Processed</t>
        </is>
      </c>
      <c r="H13" t="inlineStr">
        <is>
          <t>Completed</t>
        </is>
      </c>
      <c r="I13" t="inlineStr">
        <is>
          <t>Desktop</t>
        </is>
      </c>
      <c r="J13" t="inlineStr">
        <is>
          <t>Chrome</t>
        </is>
      </c>
      <c r="K13">
        <f>IF(H13="Completed",11,VALUE(MID(H13,6,FIND(" ",H13,6)-6)))</f>
        <v/>
      </c>
      <c r="L13">
        <f>IF(G13="Processed",1,0)</f>
        <v/>
      </c>
      <c r="M13">
        <f>IF(F13="Study flow 1","Narrative first","Visual first")</f>
        <v/>
      </c>
      <c r="N13">
        <f>IF(D13="","",VALUE(LEFT(D13,FIND(",",D13)-1)))</f>
        <v/>
      </c>
      <c r="O13">
        <f>IF(D13="","",VALUE(SUBSTITUTE(MID(D13,FIND(",",D13)+2,10),"%","")))</f>
        <v/>
      </c>
    </row>
    <row r="14">
      <c r="A14" t="inlineStr">
        <is>
          <t>RESP0013</t>
        </is>
      </c>
      <c r="B14" s="4" t="n">
        <v>46447.76082175926</v>
      </c>
      <c r="C14" s="4" t="n">
        <v>46447.76739583333</v>
      </c>
      <c r="D14" t="inlineStr">
        <is>
          <t>2.2, 90%</t>
        </is>
      </c>
      <c r="E14" t="n">
        <v>96</v>
      </c>
      <c r="F14" t="inlineStr">
        <is>
          <t>Study flow 2</t>
        </is>
      </c>
      <c r="G14" t="inlineStr">
        <is>
          <t>Processed</t>
        </is>
      </c>
      <c r="H14" t="inlineStr">
        <is>
          <t>Completed</t>
        </is>
      </c>
      <c r="I14" t="inlineStr">
        <is>
          <t>Laptop</t>
        </is>
      </c>
      <c r="J14" t="inlineStr">
        <is>
          <t>Chrome</t>
        </is>
      </c>
      <c r="K14">
        <f>IF(H14="Completed",11,VALUE(MID(H14,6,FIND(" ",H14,6)-6)))</f>
        <v/>
      </c>
      <c r="L14">
        <f>IF(G14="Processed",1,0)</f>
        <v/>
      </c>
      <c r="M14">
        <f>IF(F14="Study flow 1","Narrative first","Visual first")</f>
        <v/>
      </c>
      <c r="N14">
        <f>IF(D14="","",VALUE(LEFT(D14,FIND(",",D14)-1)))</f>
        <v/>
      </c>
      <c r="O14">
        <f>IF(D14="","",VALUE(SUBSTITUTE(MID(D14,FIND(",",D14)+2,10),"%","")))</f>
        <v/>
      </c>
    </row>
    <row r="15">
      <c r="A15" t="inlineStr">
        <is>
          <t>RESP0014</t>
        </is>
      </c>
      <c r="B15" s="4" t="n">
        <v>46447.76440972222</v>
      </c>
      <c r="C15" s="4" t="n">
        <v>46447.77011574074</v>
      </c>
      <c r="D15" t="inlineStr">
        <is>
          <t>2.0, 96%</t>
        </is>
      </c>
      <c r="E15" t="n">
        <v>99</v>
      </c>
      <c r="F15" t="inlineStr">
        <is>
          <t>Study flow 2</t>
        </is>
      </c>
      <c r="G15" t="inlineStr">
        <is>
          <t>Processed</t>
        </is>
      </c>
      <c r="H15" t="inlineStr">
        <is>
          <t>Completed</t>
        </is>
      </c>
      <c r="I15" t="inlineStr">
        <is>
          <t>Laptop</t>
        </is>
      </c>
      <c r="J15" t="inlineStr">
        <is>
          <t>Chrome</t>
        </is>
      </c>
      <c r="K15">
        <f>IF(H15="Completed",11,VALUE(MID(H15,6,FIND(" ",H15,6)-6)))</f>
        <v/>
      </c>
      <c r="L15">
        <f>IF(G15="Processed",1,0)</f>
        <v/>
      </c>
      <c r="M15">
        <f>IF(F15="Study flow 1","Narrative first","Visual first")</f>
        <v/>
      </c>
      <c r="N15">
        <f>IF(D15="","",VALUE(LEFT(D15,FIND(",",D15)-1)))</f>
        <v/>
      </c>
      <c r="O15">
        <f>IF(D15="","",VALUE(SUBSTITUTE(MID(D15,FIND(",",D15)+2,10),"%","")))</f>
        <v/>
      </c>
    </row>
    <row r="16">
      <c r="A16" t="inlineStr">
        <is>
          <t>RESP0015</t>
        </is>
      </c>
      <c r="B16" s="4" t="n">
        <v>46447.7687962963</v>
      </c>
      <c r="C16" s="4" t="n">
        <v>46447.77543981482</v>
      </c>
      <c r="D16" t="inlineStr">
        <is>
          <t>1.5, 93%</t>
        </is>
      </c>
      <c r="E16" t="n">
        <v>90</v>
      </c>
      <c r="F16" t="inlineStr">
        <is>
          <t>Study flow 1</t>
        </is>
      </c>
      <c r="G16" t="inlineStr">
        <is>
          <t>Processed</t>
        </is>
      </c>
      <c r="H16" t="inlineStr">
        <is>
          <t>Completed</t>
        </is>
      </c>
      <c r="I16" t="inlineStr">
        <is>
          <t>Laptop</t>
        </is>
      </c>
      <c r="J16" t="inlineStr">
        <is>
          <t>Safari</t>
        </is>
      </c>
      <c r="K16">
        <f>IF(H16="Completed",11,VALUE(MID(H16,6,FIND(" ",H16,6)-6)))</f>
        <v/>
      </c>
      <c r="L16">
        <f>IF(G16="Processed",1,0)</f>
        <v/>
      </c>
      <c r="M16">
        <f>IF(F16="Study flow 1","Narrative first","Visual first")</f>
        <v/>
      </c>
      <c r="N16">
        <f>IF(D16="","",VALUE(LEFT(D16,FIND(",",D16)-1)))</f>
        <v/>
      </c>
      <c r="O16">
        <f>IF(D16="","",VALUE(SUBSTITUTE(MID(D16,FIND(",",D16)+2,10),"%","")))</f>
        <v/>
      </c>
    </row>
    <row r="17">
      <c r="A17" t="inlineStr">
        <is>
          <t>RESP0016</t>
        </is>
      </c>
      <c r="B17" s="4" t="n">
        <v>46447.7790625</v>
      </c>
      <c r="C17" s="4" t="n">
        <v>46447.7853587963</v>
      </c>
      <c r="D17" t="inlineStr">
        <is>
          <t>0.7, 97%</t>
        </is>
      </c>
      <c r="E17" t="n">
        <v>99</v>
      </c>
      <c r="F17" t="inlineStr">
        <is>
          <t>Study flow 2</t>
        </is>
      </c>
      <c r="G17" t="inlineStr">
        <is>
          <t>Processed</t>
        </is>
      </c>
      <c r="H17" t="inlineStr">
        <is>
          <t>Completed</t>
        </is>
      </c>
      <c r="I17" t="inlineStr">
        <is>
          <t>Desktop</t>
        </is>
      </c>
      <c r="J17" t="inlineStr">
        <is>
          <t>Chrome</t>
        </is>
      </c>
      <c r="K17">
        <f>IF(H17="Completed",11,VALUE(MID(H17,6,FIND(" ",H17,6)-6)))</f>
        <v/>
      </c>
      <c r="L17">
        <f>IF(G17="Processed",1,0)</f>
        <v/>
      </c>
      <c r="M17">
        <f>IF(F17="Study flow 1","Narrative first","Visual first")</f>
        <v/>
      </c>
      <c r="N17">
        <f>IF(D17="","",VALUE(LEFT(D17,FIND(",",D17)-1)))</f>
        <v/>
      </c>
      <c r="O17">
        <f>IF(D17="","",VALUE(SUBSTITUTE(MID(D17,FIND(",",D17)+2,10),"%","")))</f>
        <v/>
      </c>
    </row>
    <row r="18">
      <c r="A18" t="inlineStr">
        <is>
          <t>RESP0017</t>
        </is>
      </c>
      <c r="B18" s="4" t="n">
        <v>46447.79680555555</v>
      </c>
      <c r="C18" s="4" t="n"/>
      <c r="F18" t="inlineStr">
        <is>
          <t>Study flow 2</t>
        </is>
      </c>
      <c r="G18" t="inlineStr">
        <is>
          <t>Abandoned</t>
        </is>
      </c>
      <c r="H18" t="inlineStr">
        <is>
          <t>STEP 5 Screen size</t>
        </is>
      </c>
      <c r="I18" t="inlineStr">
        <is>
          <t>Phone</t>
        </is>
      </c>
      <c r="J18" t="inlineStr">
        <is>
          <t>Chrome</t>
        </is>
      </c>
      <c r="K18">
        <f>IF(H18="Completed",11,VALUE(MID(H18,6,FIND(" ",H18,6)-6)))</f>
        <v/>
      </c>
      <c r="L18">
        <f>IF(G18="Processed",1,0)</f>
        <v/>
      </c>
      <c r="M18">
        <f>IF(F18="Study flow 1","Narrative first","Visual first")</f>
        <v/>
      </c>
      <c r="N18">
        <f>IF(D18="","",VALUE(LEFT(D18,FIND(",",D18)-1)))</f>
        <v/>
      </c>
      <c r="O18">
        <f>IF(D18="","",VALUE(SUBSTITUTE(MID(D18,FIND(",",D18)+2,10),"%","")))</f>
        <v/>
      </c>
    </row>
    <row r="19">
      <c r="A19" t="inlineStr">
        <is>
          <t>RESP0018</t>
        </is>
      </c>
      <c r="B19" s="4" t="n">
        <v>46447.80450231482</v>
      </c>
      <c r="C19" s="4" t="n"/>
      <c r="F19" t="inlineStr">
        <is>
          <t>Study flow 2</t>
        </is>
      </c>
      <c r="G19" t="inlineStr">
        <is>
          <t>Abandoned</t>
        </is>
      </c>
      <c r="H19" t="inlineStr">
        <is>
          <t>STEP 4 Respondent camera setup</t>
        </is>
      </c>
      <c r="I19" t="inlineStr">
        <is>
          <t>Laptop</t>
        </is>
      </c>
      <c r="J19" t="inlineStr">
        <is>
          <t>Chrome</t>
        </is>
      </c>
      <c r="K19">
        <f>IF(H19="Completed",11,VALUE(MID(H19,6,FIND(" ",H19,6)-6)))</f>
        <v/>
      </c>
      <c r="L19">
        <f>IF(G19="Processed",1,0)</f>
        <v/>
      </c>
      <c r="M19">
        <f>IF(F19="Study flow 1","Narrative first","Visual first")</f>
        <v/>
      </c>
      <c r="N19">
        <f>IF(D19="","",VALUE(LEFT(D19,FIND(",",D19)-1)))</f>
        <v/>
      </c>
      <c r="O19">
        <f>IF(D19="","",VALUE(SUBSTITUTE(MID(D19,FIND(",",D19)+2,10),"%","")))</f>
        <v/>
      </c>
    </row>
    <row r="20">
      <c r="A20" t="inlineStr">
        <is>
          <t>RESP0019</t>
        </is>
      </c>
      <c r="B20" s="4" t="n">
        <v>46447.83076388889</v>
      </c>
      <c r="C20" s="4" t="n">
        <v>46447.83746527778</v>
      </c>
      <c r="D20" t="inlineStr">
        <is>
          <t>2.9, 97%</t>
        </is>
      </c>
      <c r="E20" t="n">
        <v>99</v>
      </c>
      <c r="F20" t="inlineStr">
        <is>
          <t>Study flow 1</t>
        </is>
      </c>
      <c r="G20" t="inlineStr">
        <is>
          <t>Processed</t>
        </is>
      </c>
      <c r="H20" t="inlineStr">
        <is>
          <t>Completed</t>
        </is>
      </c>
      <c r="I20" t="inlineStr">
        <is>
          <t>Desktop</t>
        </is>
      </c>
      <c r="J20" t="inlineStr">
        <is>
          <t>Chrome</t>
        </is>
      </c>
      <c r="K20">
        <f>IF(H20="Completed",11,VALUE(MID(H20,6,FIND(" ",H20,6)-6)))</f>
        <v/>
      </c>
      <c r="L20">
        <f>IF(G20="Processed",1,0)</f>
        <v/>
      </c>
      <c r="M20">
        <f>IF(F20="Study flow 1","Narrative first","Visual first")</f>
        <v/>
      </c>
      <c r="N20">
        <f>IF(D20="","",VALUE(LEFT(D20,FIND(",",D20)-1)))</f>
        <v/>
      </c>
      <c r="O20">
        <f>IF(D20="","",VALUE(SUBSTITUTE(MID(D20,FIND(",",D20)+2,10),"%","")))</f>
        <v/>
      </c>
    </row>
    <row r="21">
      <c r="A21" t="inlineStr">
        <is>
          <t>RESP0020</t>
        </is>
      </c>
      <c r="B21" s="4" t="n">
        <v>46447.83185185185</v>
      </c>
      <c r="C21" s="4" t="n">
        <v>46447.83721064815</v>
      </c>
      <c r="D21" t="inlineStr">
        <is>
          <t>3.6, 94%</t>
        </is>
      </c>
      <c r="E21" t="n">
        <v>98</v>
      </c>
      <c r="F21" t="inlineStr">
        <is>
          <t>Study flow 1</t>
        </is>
      </c>
      <c r="G21" t="inlineStr">
        <is>
          <t>Processed</t>
        </is>
      </c>
      <c r="H21" t="inlineStr">
        <is>
          <t>Completed</t>
        </is>
      </c>
      <c r="I21" t="inlineStr">
        <is>
          <t>Laptop</t>
        </is>
      </c>
      <c r="J21" t="inlineStr">
        <is>
          <t>Chrome</t>
        </is>
      </c>
      <c r="K21">
        <f>IF(H21="Completed",11,VALUE(MID(H21,6,FIND(" ",H21,6)-6)))</f>
        <v/>
      </c>
      <c r="L21">
        <f>IF(G21="Processed",1,0)</f>
        <v/>
      </c>
      <c r="M21">
        <f>IF(F21="Study flow 1","Narrative first","Visual first")</f>
        <v/>
      </c>
      <c r="N21">
        <f>IF(D21="","",VALUE(LEFT(D21,FIND(",",D21)-1)))</f>
        <v/>
      </c>
      <c r="O21">
        <f>IF(D21="","",VALUE(SUBSTITUTE(MID(D21,FIND(",",D21)+2,10),"%","")))</f>
        <v/>
      </c>
    </row>
    <row r="22">
      <c r="A22" t="inlineStr">
        <is>
          <t>RESP0021</t>
        </is>
      </c>
      <c r="B22" s="4" t="n">
        <v>46447.83615740741</v>
      </c>
      <c r="C22" s="4" t="n"/>
      <c r="F22" t="inlineStr">
        <is>
          <t>Study flow 2</t>
        </is>
      </c>
      <c r="G22" t="inlineStr">
        <is>
          <t>Abandoned</t>
        </is>
      </c>
      <c r="H22" t="inlineStr">
        <is>
          <t>STEP 4 Respondent camera setup</t>
        </is>
      </c>
      <c r="I22" t="inlineStr">
        <is>
          <t>Laptop</t>
        </is>
      </c>
      <c r="J22" t="inlineStr">
        <is>
          <t>Safari</t>
        </is>
      </c>
      <c r="K22">
        <f>IF(H22="Completed",11,VALUE(MID(H22,6,FIND(" ",H22,6)-6)))</f>
        <v/>
      </c>
      <c r="L22">
        <f>IF(G22="Processed",1,0)</f>
        <v/>
      </c>
      <c r="M22">
        <f>IF(F22="Study flow 1","Narrative first","Visual first")</f>
        <v/>
      </c>
      <c r="N22">
        <f>IF(D22="","",VALUE(LEFT(D22,FIND(",",D22)-1)))</f>
        <v/>
      </c>
      <c r="O22">
        <f>IF(D22="","",VALUE(SUBSTITUTE(MID(D22,FIND(",",D22)+2,10),"%","")))</f>
        <v/>
      </c>
    </row>
    <row r="23">
      <c r="A23" t="inlineStr">
        <is>
          <t>RESP0022</t>
        </is>
      </c>
      <c r="B23" s="4" t="n">
        <v>46447.84119212963</v>
      </c>
      <c r="C23" s="4" t="n">
        <v>46447.8472337963</v>
      </c>
      <c r="D23" t="inlineStr">
        <is>
          <t>2.5, 95%</t>
        </is>
      </c>
      <c r="E23" t="n">
        <v>99</v>
      </c>
      <c r="F23" t="inlineStr">
        <is>
          <t>Study flow 1</t>
        </is>
      </c>
      <c r="G23" t="inlineStr">
        <is>
          <t>Processed</t>
        </is>
      </c>
      <c r="H23" t="inlineStr">
        <is>
          <t>Completed</t>
        </is>
      </c>
      <c r="I23" t="inlineStr">
        <is>
          <t>Laptop</t>
        </is>
      </c>
      <c r="J23" t="inlineStr">
        <is>
          <t>Edge</t>
        </is>
      </c>
      <c r="K23">
        <f>IF(H23="Completed",11,VALUE(MID(H23,6,FIND(" ",H23,6)-6)))</f>
        <v/>
      </c>
      <c r="L23">
        <f>IF(G23="Processed",1,0)</f>
        <v/>
      </c>
      <c r="M23">
        <f>IF(F23="Study flow 1","Narrative first","Visual first")</f>
        <v/>
      </c>
      <c r="N23">
        <f>IF(D23="","",VALUE(LEFT(D23,FIND(",",D23)-1)))</f>
        <v/>
      </c>
      <c r="O23">
        <f>IF(D23="","",VALUE(SUBSTITUTE(MID(D23,FIND(",",D23)+2,10),"%","")))</f>
        <v/>
      </c>
    </row>
    <row r="24">
      <c r="A24" t="inlineStr">
        <is>
          <t>RESP0023</t>
        </is>
      </c>
      <c r="B24" s="4" t="n">
        <v>46447.84180555555</v>
      </c>
      <c r="C24" s="4" t="n">
        <v>46447.84788194444</v>
      </c>
      <c r="D24" t="inlineStr">
        <is>
          <t>1.7, 94%</t>
        </is>
      </c>
      <c r="E24" t="n">
        <v>93</v>
      </c>
      <c r="F24" t="inlineStr">
        <is>
          <t>Study flow 1</t>
        </is>
      </c>
      <c r="G24" t="inlineStr">
        <is>
          <t>Processed</t>
        </is>
      </c>
      <c r="H24" t="inlineStr">
        <is>
          <t>Completed</t>
        </is>
      </c>
      <c r="I24" t="inlineStr">
        <is>
          <t>Desktop</t>
        </is>
      </c>
      <c r="J24" t="inlineStr">
        <is>
          <t>Chrome</t>
        </is>
      </c>
      <c r="K24">
        <f>IF(H24="Completed",11,VALUE(MID(H24,6,FIND(" ",H24,6)-6)))</f>
        <v/>
      </c>
      <c r="L24">
        <f>IF(G24="Processed",1,0)</f>
        <v/>
      </c>
      <c r="M24">
        <f>IF(F24="Study flow 1","Narrative first","Visual first")</f>
        <v/>
      </c>
      <c r="N24">
        <f>IF(D24="","",VALUE(LEFT(D24,FIND(",",D24)-1)))</f>
        <v/>
      </c>
      <c r="O24">
        <f>IF(D24="","",VALUE(SUBSTITUTE(MID(D24,FIND(",",D24)+2,10),"%","")))</f>
        <v/>
      </c>
    </row>
    <row r="25">
      <c r="A25" t="inlineStr">
        <is>
          <t>RESP0024</t>
        </is>
      </c>
      <c r="B25" s="4" t="n">
        <v>46447.88556712963</v>
      </c>
      <c r="C25" s="4" t="n">
        <v>46447.89107638889</v>
      </c>
      <c r="D25" t="inlineStr">
        <is>
          <t>1.8, 99%</t>
        </is>
      </c>
      <c r="E25" t="n">
        <v>99</v>
      </c>
      <c r="F25" t="inlineStr">
        <is>
          <t>Study flow 2</t>
        </is>
      </c>
      <c r="G25" t="inlineStr">
        <is>
          <t>Processed</t>
        </is>
      </c>
      <c r="H25" t="inlineStr">
        <is>
          <t>Completed</t>
        </is>
      </c>
      <c r="I25" t="inlineStr">
        <is>
          <t>Desktop</t>
        </is>
      </c>
      <c r="J25" t="inlineStr">
        <is>
          <t>Edge</t>
        </is>
      </c>
      <c r="K25">
        <f>IF(H25="Completed",11,VALUE(MID(H25,6,FIND(" ",H25,6)-6)))</f>
        <v/>
      </c>
      <c r="L25">
        <f>IF(G25="Processed",1,0)</f>
        <v/>
      </c>
      <c r="M25">
        <f>IF(F25="Study flow 1","Narrative first","Visual first")</f>
        <v/>
      </c>
      <c r="N25">
        <f>IF(D25="","",VALUE(LEFT(D25,FIND(",",D25)-1)))</f>
        <v/>
      </c>
      <c r="O25">
        <f>IF(D25="","",VALUE(SUBSTITUTE(MID(D25,FIND(",",D25)+2,10),"%","")))</f>
        <v/>
      </c>
    </row>
    <row r="26">
      <c r="A26" t="inlineStr">
        <is>
          <t>RESP0025</t>
        </is>
      </c>
      <c r="B26" s="4" t="n">
        <v>46447.88761574074</v>
      </c>
      <c r="C26" s="4" t="n">
        <v>46447.89392361111</v>
      </c>
      <c r="D26" t="inlineStr">
        <is>
          <t>1.2, 99%</t>
        </is>
      </c>
      <c r="E26" t="n">
        <v>99</v>
      </c>
      <c r="F26" t="inlineStr">
        <is>
          <t>Study flow 1</t>
        </is>
      </c>
      <c r="G26" t="inlineStr">
        <is>
          <t>Processed</t>
        </is>
      </c>
      <c r="H26" t="inlineStr">
        <is>
          <t>Completed</t>
        </is>
      </c>
      <c r="I26" t="inlineStr">
        <is>
          <t>Laptop</t>
        </is>
      </c>
      <c r="J26" t="inlineStr">
        <is>
          <t>Chrome</t>
        </is>
      </c>
      <c r="K26">
        <f>IF(H26="Completed",11,VALUE(MID(H26,6,FIND(" ",H26,6)-6)))</f>
        <v/>
      </c>
      <c r="L26">
        <f>IF(G26="Processed",1,0)</f>
        <v/>
      </c>
      <c r="M26">
        <f>IF(F26="Study flow 1","Narrative first","Visual first")</f>
        <v/>
      </c>
      <c r="N26">
        <f>IF(D26="","",VALUE(LEFT(D26,FIND(",",D26)-1)))</f>
        <v/>
      </c>
      <c r="O26">
        <f>IF(D26="","",VALUE(SUBSTITUTE(MID(D26,FIND(",",D26)+2,10),"%","")))</f>
        <v/>
      </c>
    </row>
    <row r="27">
      <c r="A27" t="inlineStr">
        <is>
          <t>RESP0026</t>
        </is>
      </c>
      <c r="B27" s="4" t="n">
        <v>46447.88925925926</v>
      </c>
      <c r="C27" s="4" t="n">
        <v>46447.89568287037</v>
      </c>
      <c r="D27" t="inlineStr">
        <is>
          <t>1.7, 94%</t>
        </is>
      </c>
      <c r="E27" t="n">
        <v>95</v>
      </c>
      <c r="F27" t="inlineStr">
        <is>
          <t>Study flow 1</t>
        </is>
      </c>
      <c r="G27" t="inlineStr">
        <is>
          <t>Processed</t>
        </is>
      </c>
      <c r="H27" t="inlineStr">
        <is>
          <t>Completed</t>
        </is>
      </c>
      <c r="I27" t="inlineStr">
        <is>
          <t>Desktop</t>
        </is>
      </c>
      <c r="J27" t="inlineStr">
        <is>
          <t>Chrome</t>
        </is>
      </c>
      <c r="K27">
        <f>IF(H27="Completed",11,VALUE(MID(H27,6,FIND(" ",H27,6)-6)))</f>
        <v/>
      </c>
      <c r="L27">
        <f>IF(G27="Processed",1,0)</f>
        <v/>
      </c>
      <c r="M27">
        <f>IF(F27="Study flow 1","Narrative first","Visual first")</f>
        <v/>
      </c>
      <c r="N27">
        <f>IF(D27="","",VALUE(LEFT(D27,FIND(",",D27)-1)))</f>
        <v/>
      </c>
      <c r="O27">
        <f>IF(D27="","",VALUE(SUBSTITUTE(MID(D27,FIND(",",D27)+2,10),"%","")))</f>
        <v/>
      </c>
    </row>
    <row r="28">
      <c r="A28" t="inlineStr">
        <is>
          <t>RESP0027</t>
        </is>
      </c>
      <c r="B28" s="4" t="n">
        <v>46447.90398148148</v>
      </c>
      <c r="C28" s="4" t="n"/>
      <c r="F28" t="inlineStr">
        <is>
          <t>Study flow 1</t>
        </is>
      </c>
      <c r="G28" t="inlineStr">
        <is>
          <t>Abandoned</t>
        </is>
      </c>
      <c r="H28" t="inlineStr">
        <is>
          <t>STEP 2 Consent screen</t>
        </is>
      </c>
      <c r="I28" t="inlineStr">
        <is>
          <t>Laptop</t>
        </is>
      </c>
      <c r="J28" t="inlineStr">
        <is>
          <t>Edge</t>
        </is>
      </c>
      <c r="K28">
        <f>IF(H28="Completed",11,VALUE(MID(H28,6,FIND(" ",H28,6)-6)))</f>
        <v/>
      </c>
      <c r="L28">
        <f>IF(G28="Processed",1,0)</f>
        <v/>
      </c>
      <c r="M28">
        <f>IF(F28="Study flow 1","Narrative first","Visual first")</f>
        <v/>
      </c>
      <c r="N28">
        <f>IF(D28="","",VALUE(LEFT(D28,FIND(",",D28)-1)))</f>
        <v/>
      </c>
      <c r="O28">
        <f>IF(D28="","",VALUE(SUBSTITUTE(MID(D28,FIND(",",D28)+2,10),"%","")))</f>
        <v/>
      </c>
    </row>
    <row r="29">
      <c r="A29" t="inlineStr">
        <is>
          <t>RESP0028</t>
        </is>
      </c>
      <c r="B29" s="4" t="n">
        <v>46448.50848379629</v>
      </c>
      <c r="C29" s="4" t="n">
        <v>46448.51487268518</v>
      </c>
      <c r="D29" t="inlineStr">
        <is>
          <t>3.2, 84%</t>
        </is>
      </c>
      <c r="E29" t="n">
        <v>99</v>
      </c>
      <c r="F29" t="inlineStr">
        <is>
          <t>Study flow 1</t>
        </is>
      </c>
      <c r="G29" t="inlineStr">
        <is>
          <t>Processed</t>
        </is>
      </c>
      <c r="H29" t="inlineStr">
        <is>
          <t>Completed</t>
        </is>
      </c>
      <c r="I29" t="inlineStr">
        <is>
          <t>Laptop</t>
        </is>
      </c>
      <c r="J29" t="inlineStr">
        <is>
          <t>Edge</t>
        </is>
      </c>
      <c r="K29">
        <f>IF(H29="Completed",11,VALUE(MID(H29,6,FIND(" ",H29,6)-6)))</f>
        <v/>
      </c>
      <c r="L29">
        <f>IF(G29="Processed",1,0)</f>
        <v/>
      </c>
      <c r="M29">
        <f>IF(F29="Study flow 1","Narrative first","Visual first")</f>
        <v/>
      </c>
      <c r="N29">
        <f>IF(D29="","",VALUE(LEFT(D29,FIND(",",D29)-1)))</f>
        <v/>
      </c>
      <c r="O29">
        <f>IF(D29="","",VALUE(SUBSTITUTE(MID(D29,FIND(",",D29)+2,10),"%","")))</f>
        <v/>
      </c>
    </row>
    <row r="30">
      <c r="A30" t="inlineStr">
        <is>
          <t>RESP0029</t>
        </is>
      </c>
      <c r="B30" s="4" t="n">
        <v>46448.54461805556</v>
      </c>
      <c r="C30" s="4" t="n">
        <v>46448.55061342593</v>
      </c>
      <c r="D30" t="inlineStr">
        <is>
          <t>2.4, 97%</t>
        </is>
      </c>
      <c r="E30" t="n">
        <v>99</v>
      </c>
      <c r="F30" t="inlineStr">
        <is>
          <t>Study flow 2</t>
        </is>
      </c>
      <c r="G30" t="inlineStr">
        <is>
          <t>Processed</t>
        </is>
      </c>
      <c r="H30" t="inlineStr">
        <is>
          <t>Completed</t>
        </is>
      </c>
      <c r="I30" t="inlineStr">
        <is>
          <t>Laptop</t>
        </is>
      </c>
      <c r="J30" t="inlineStr">
        <is>
          <t>Chrome</t>
        </is>
      </c>
      <c r="K30">
        <f>IF(H30="Completed",11,VALUE(MID(H30,6,FIND(" ",H30,6)-6)))</f>
        <v/>
      </c>
      <c r="L30">
        <f>IF(G30="Processed",1,0)</f>
        <v/>
      </c>
      <c r="M30">
        <f>IF(F30="Study flow 1","Narrative first","Visual first")</f>
        <v/>
      </c>
      <c r="N30">
        <f>IF(D30="","",VALUE(LEFT(D30,FIND(",",D30)-1)))</f>
        <v/>
      </c>
      <c r="O30">
        <f>IF(D30="","",VALUE(SUBSTITUTE(MID(D30,FIND(",",D30)+2,10),"%","")))</f>
        <v/>
      </c>
    </row>
    <row r="31">
      <c r="A31" t="inlineStr">
        <is>
          <t>RESP0030</t>
        </is>
      </c>
      <c r="B31" s="4" t="n">
        <v>46448.60642361111</v>
      </c>
      <c r="C31" s="4" t="n"/>
      <c r="F31" t="inlineStr">
        <is>
          <t>Study flow 1</t>
        </is>
      </c>
      <c r="G31" t="inlineStr">
        <is>
          <t>Abandoned</t>
        </is>
      </c>
      <c r="H31" t="inlineStr">
        <is>
          <t>STEP 5 Screen size</t>
        </is>
      </c>
      <c r="I31" t="inlineStr">
        <is>
          <t>Phone</t>
        </is>
      </c>
      <c r="J31" t="inlineStr">
        <is>
          <t>Safari</t>
        </is>
      </c>
      <c r="K31">
        <f>IF(H31="Completed",11,VALUE(MID(H31,6,FIND(" ",H31,6)-6)))</f>
        <v/>
      </c>
      <c r="L31">
        <f>IF(G31="Processed",1,0)</f>
        <v/>
      </c>
      <c r="M31">
        <f>IF(F31="Study flow 1","Narrative first","Visual first")</f>
        <v/>
      </c>
      <c r="N31">
        <f>IF(D31="","",VALUE(LEFT(D31,FIND(",",D31)-1)))</f>
        <v/>
      </c>
      <c r="O31">
        <f>IF(D31="","",VALUE(SUBSTITUTE(MID(D31,FIND(",",D31)+2,10),"%","")))</f>
        <v/>
      </c>
    </row>
    <row r="32">
      <c r="A32" t="inlineStr">
        <is>
          <t>RESP0031</t>
        </is>
      </c>
      <c r="B32" s="4" t="n">
        <v>46448.6571412037</v>
      </c>
      <c r="C32" s="4" t="n">
        <v>46448.66241898148</v>
      </c>
      <c r="D32" t="inlineStr">
        <is>
          <t>2.9, 93%</t>
        </is>
      </c>
      <c r="E32" t="n">
        <v>100</v>
      </c>
      <c r="F32" t="inlineStr">
        <is>
          <t>Study flow 1</t>
        </is>
      </c>
      <c r="G32" t="inlineStr">
        <is>
          <t>Processed</t>
        </is>
      </c>
      <c r="H32" t="inlineStr">
        <is>
          <t>Completed</t>
        </is>
      </c>
      <c r="I32" t="inlineStr">
        <is>
          <t>Desktop</t>
        </is>
      </c>
      <c r="J32" t="inlineStr">
        <is>
          <t>Chrome</t>
        </is>
      </c>
      <c r="K32">
        <f>IF(H32="Completed",11,VALUE(MID(H32,6,FIND(" ",H32,6)-6)))</f>
        <v/>
      </c>
      <c r="L32">
        <f>IF(G32="Processed",1,0)</f>
        <v/>
      </c>
      <c r="M32">
        <f>IF(F32="Study flow 1","Narrative first","Visual first")</f>
        <v/>
      </c>
      <c r="N32">
        <f>IF(D32="","",VALUE(LEFT(D32,FIND(",",D32)-1)))</f>
        <v/>
      </c>
      <c r="O32">
        <f>IF(D32="","",VALUE(SUBSTITUTE(MID(D32,FIND(",",D32)+2,10),"%","")))</f>
        <v/>
      </c>
    </row>
    <row r="33">
      <c r="A33" t="inlineStr">
        <is>
          <t>RESP0032</t>
        </is>
      </c>
      <c r="B33" s="4" t="n">
        <v>46448.65834490741</v>
      </c>
      <c r="C33" s="4" t="n">
        <v>46448.66472222222</v>
      </c>
      <c r="D33" t="inlineStr">
        <is>
          <t>1.7, 95%</t>
        </is>
      </c>
      <c r="E33" t="n">
        <v>85</v>
      </c>
      <c r="F33" t="inlineStr">
        <is>
          <t>Study flow 1</t>
        </is>
      </c>
      <c r="G33" t="inlineStr">
        <is>
          <t>Processed</t>
        </is>
      </c>
      <c r="H33" t="inlineStr">
        <is>
          <t>Completed</t>
        </is>
      </c>
      <c r="I33" t="inlineStr">
        <is>
          <t>Laptop</t>
        </is>
      </c>
      <c r="J33" t="inlineStr">
        <is>
          <t>Chrome</t>
        </is>
      </c>
      <c r="K33">
        <f>IF(H33="Completed",11,VALUE(MID(H33,6,FIND(" ",H33,6)-6)))</f>
        <v/>
      </c>
      <c r="L33">
        <f>IF(G33="Processed",1,0)</f>
        <v/>
      </c>
      <c r="M33">
        <f>IF(F33="Study flow 1","Narrative first","Visual first")</f>
        <v/>
      </c>
      <c r="N33">
        <f>IF(D33="","",VALUE(LEFT(D33,FIND(",",D33)-1)))</f>
        <v/>
      </c>
      <c r="O33">
        <f>IF(D33="","",VALUE(SUBSTITUTE(MID(D33,FIND(",",D33)+2,10),"%","")))</f>
        <v/>
      </c>
    </row>
    <row r="34">
      <c r="A34" t="inlineStr">
        <is>
          <t>RESP0033</t>
        </is>
      </c>
      <c r="B34" s="4" t="n">
        <v>46448.66233796296</v>
      </c>
      <c r="C34" s="4" t="n"/>
      <c r="F34" t="inlineStr">
        <is>
          <t>Study flow 2</t>
        </is>
      </c>
      <c r="G34" t="inlineStr">
        <is>
          <t>Abandoned</t>
        </is>
      </c>
      <c r="H34" t="inlineStr">
        <is>
          <t>STEP 5 Screen size</t>
        </is>
      </c>
      <c r="I34" t="inlineStr">
        <is>
          <t>Tablet</t>
        </is>
      </c>
      <c r="J34" t="inlineStr">
        <is>
          <t>Safari</t>
        </is>
      </c>
      <c r="K34">
        <f>IF(H34="Completed",11,VALUE(MID(H34,6,FIND(" ",H34,6)-6)))</f>
        <v/>
      </c>
      <c r="L34">
        <f>IF(G34="Processed",1,0)</f>
        <v/>
      </c>
      <c r="M34">
        <f>IF(F34="Study flow 1","Narrative first","Visual first")</f>
        <v/>
      </c>
      <c r="N34">
        <f>IF(D34="","",VALUE(LEFT(D34,FIND(",",D34)-1)))</f>
        <v/>
      </c>
      <c r="O34">
        <f>IF(D34="","",VALUE(SUBSTITUTE(MID(D34,FIND(",",D34)+2,10),"%","")))</f>
        <v/>
      </c>
    </row>
    <row r="35">
      <c r="A35" t="inlineStr">
        <is>
          <t>RESP0034</t>
        </is>
      </c>
      <c r="B35" s="4" t="n">
        <v>46448.6999537037</v>
      </c>
      <c r="C35" s="4" t="n"/>
      <c r="F35" t="inlineStr">
        <is>
          <t>Study flow 1</t>
        </is>
      </c>
      <c r="G35" t="inlineStr">
        <is>
          <t>Abandoned</t>
        </is>
      </c>
      <c r="H35" t="inlineStr">
        <is>
          <t>STEP 5 Screen size</t>
        </is>
      </c>
      <c r="I35" t="inlineStr">
        <is>
          <t>Tablet</t>
        </is>
      </c>
      <c r="J35" t="inlineStr">
        <is>
          <t>Chrome</t>
        </is>
      </c>
      <c r="K35">
        <f>IF(H35="Completed",11,VALUE(MID(H35,6,FIND(" ",H35,6)-6)))</f>
        <v/>
      </c>
      <c r="L35">
        <f>IF(G35="Processed",1,0)</f>
        <v/>
      </c>
      <c r="M35">
        <f>IF(F35="Study flow 1","Narrative first","Visual first")</f>
        <v/>
      </c>
      <c r="N35">
        <f>IF(D35="","",VALUE(LEFT(D35,FIND(",",D35)-1)))</f>
        <v/>
      </c>
      <c r="O35">
        <f>IF(D35="","",VALUE(SUBSTITUTE(MID(D35,FIND(",",D35)+2,10),"%","")))</f>
        <v/>
      </c>
    </row>
    <row r="36">
      <c r="A36" t="inlineStr">
        <is>
          <t>RESP0035</t>
        </is>
      </c>
      <c r="B36" s="4" t="n">
        <v>46448.7037037037</v>
      </c>
      <c r="C36" s="4" t="n">
        <v>46448.70987268518</v>
      </c>
      <c r="D36" t="inlineStr">
        <is>
          <t>1.4, 98%</t>
        </is>
      </c>
      <c r="E36" t="n">
        <v>99</v>
      </c>
      <c r="F36" t="inlineStr">
        <is>
          <t>Study flow 1</t>
        </is>
      </c>
      <c r="G36" t="inlineStr">
        <is>
          <t>Processed</t>
        </is>
      </c>
      <c r="H36" t="inlineStr">
        <is>
          <t>Completed</t>
        </is>
      </c>
      <c r="I36" t="inlineStr">
        <is>
          <t>Laptop</t>
        </is>
      </c>
      <c r="J36" t="inlineStr">
        <is>
          <t>Chrome</t>
        </is>
      </c>
      <c r="K36">
        <f>IF(H36="Completed",11,VALUE(MID(H36,6,FIND(" ",H36,6)-6)))</f>
        <v/>
      </c>
      <c r="L36">
        <f>IF(G36="Processed",1,0)</f>
        <v/>
      </c>
      <c r="M36">
        <f>IF(F36="Study flow 1","Narrative first","Visual first")</f>
        <v/>
      </c>
      <c r="N36">
        <f>IF(D36="","",VALUE(LEFT(D36,FIND(",",D36)-1)))</f>
        <v/>
      </c>
      <c r="O36">
        <f>IF(D36="","",VALUE(SUBSTITUTE(MID(D36,FIND(",",D36)+2,10),"%","")))</f>
        <v/>
      </c>
    </row>
    <row r="37">
      <c r="A37" t="inlineStr">
        <is>
          <t>RESP0036</t>
        </is>
      </c>
      <c r="B37" s="4" t="n">
        <v>46448.71462962963</v>
      </c>
      <c r="C37" s="4" t="n">
        <v>46448.72167824074</v>
      </c>
      <c r="D37" t="inlineStr">
        <is>
          <t>1.5, 96%</t>
        </is>
      </c>
      <c r="E37" t="n">
        <v>99</v>
      </c>
      <c r="F37" t="inlineStr">
        <is>
          <t>Study flow 1</t>
        </is>
      </c>
      <c r="G37" t="inlineStr">
        <is>
          <t>Processed</t>
        </is>
      </c>
      <c r="H37" t="inlineStr">
        <is>
          <t>Completed</t>
        </is>
      </c>
      <c r="I37" t="inlineStr">
        <is>
          <t>Desktop</t>
        </is>
      </c>
      <c r="J37" t="inlineStr">
        <is>
          <t>Edge</t>
        </is>
      </c>
      <c r="K37">
        <f>IF(H37="Completed",11,VALUE(MID(H37,6,FIND(" ",H37,6)-6)))</f>
        <v/>
      </c>
      <c r="L37">
        <f>IF(G37="Processed",1,0)</f>
        <v/>
      </c>
      <c r="M37">
        <f>IF(F37="Study flow 1","Narrative first","Visual first")</f>
        <v/>
      </c>
      <c r="N37">
        <f>IF(D37="","",VALUE(LEFT(D37,FIND(",",D37)-1)))</f>
        <v/>
      </c>
      <c r="O37">
        <f>IF(D37="","",VALUE(SUBSTITUTE(MID(D37,FIND(",",D37)+2,10),"%","")))</f>
        <v/>
      </c>
    </row>
    <row r="38">
      <c r="A38" t="inlineStr">
        <is>
          <t>RESP0037</t>
        </is>
      </c>
      <c r="B38" s="4" t="n">
        <v>46448.72877314815</v>
      </c>
      <c r="C38" s="4" t="n">
        <v>46448.73475694445</v>
      </c>
      <c r="D38" t="inlineStr">
        <is>
          <t>1.6, 97%</t>
        </is>
      </c>
      <c r="E38" t="n">
        <v>99</v>
      </c>
      <c r="F38" t="inlineStr">
        <is>
          <t>Study flow 2</t>
        </is>
      </c>
      <c r="G38" t="inlineStr">
        <is>
          <t>Processed</t>
        </is>
      </c>
      <c r="H38" t="inlineStr">
        <is>
          <t>Completed</t>
        </is>
      </c>
      <c r="I38" t="inlineStr">
        <is>
          <t>Desktop</t>
        </is>
      </c>
      <c r="J38" t="inlineStr">
        <is>
          <t>Firefox</t>
        </is>
      </c>
      <c r="K38">
        <f>IF(H38="Completed",11,VALUE(MID(H38,6,FIND(" ",H38,6)-6)))</f>
        <v/>
      </c>
      <c r="L38">
        <f>IF(G38="Processed",1,0)</f>
        <v/>
      </c>
      <c r="M38">
        <f>IF(F38="Study flow 1","Narrative first","Visual first")</f>
        <v/>
      </c>
      <c r="N38">
        <f>IF(D38="","",VALUE(LEFT(D38,FIND(",",D38)-1)))</f>
        <v/>
      </c>
      <c r="O38">
        <f>IF(D38="","",VALUE(SUBSTITUTE(MID(D38,FIND(",",D38)+2,10),"%","")))</f>
        <v/>
      </c>
    </row>
    <row r="39">
      <c r="A39" t="inlineStr">
        <is>
          <t>RESP0038</t>
        </is>
      </c>
      <c r="B39" s="4" t="n">
        <v>46448.75141203704</v>
      </c>
      <c r="C39" s="4" t="n">
        <v>46448.75769675926</v>
      </c>
      <c r="D39" t="inlineStr">
        <is>
          <t>1.9, 98%</t>
        </is>
      </c>
      <c r="E39" t="n">
        <v>98</v>
      </c>
      <c r="F39" t="inlineStr">
        <is>
          <t>Study flow 1</t>
        </is>
      </c>
      <c r="G39" t="inlineStr">
        <is>
          <t>Processed</t>
        </is>
      </c>
      <c r="H39" t="inlineStr">
        <is>
          <t>Completed</t>
        </is>
      </c>
      <c r="I39" t="inlineStr">
        <is>
          <t>Desktop</t>
        </is>
      </c>
      <c r="J39" t="inlineStr">
        <is>
          <t>Firefox</t>
        </is>
      </c>
      <c r="K39">
        <f>IF(H39="Completed",11,VALUE(MID(H39,6,FIND(" ",H39,6)-6)))</f>
        <v/>
      </c>
      <c r="L39">
        <f>IF(G39="Processed",1,0)</f>
        <v/>
      </c>
      <c r="M39">
        <f>IF(F39="Study flow 1","Narrative first","Visual first")</f>
        <v/>
      </c>
      <c r="N39">
        <f>IF(D39="","",VALUE(LEFT(D39,FIND(",",D39)-1)))</f>
        <v/>
      </c>
      <c r="O39">
        <f>IF(D39="","",VALUE(SUBSTITUTE(MID(D39,FIND(",",D39)+2,10),"%","")))</f>
        <v/>
      </c>
    </row>
    <row r="40">
      <c r="A40" t="inlineStr">
        <is>
          <t>RESP0039</t>
        </is>
      </c>
      <c r="B40" s="4" t="n">
        <v>46448.78101851852</v>
      </c>
      <c r="C40" s="4" t="n">
        <v>46448.78623842593</v>
      </c>
      <c r="D40" t="inlineStr">
        <is>
          <t>3.5, 93%</t>
        </is>
      </c>
      <c r="E40" t="n">
        <v>97</v>
      </c>
      <c r="F40" t="inlineStr">
        <is>
          <t>Study flow 2</t>
        </is>
      </c>
      <c r="G40" t="inlineStr">
        <is>
          <t>Processed</t>
        </is>
      </c>
      <c r="H40" t="inlineStr">
        <is>
          <t>Completed</t>
        </is>
      </c>
      <c r="I40" t="inlineStr">
        <is>
          <t>Desktop</t>
        </is>
      </c>
      <c r="J40" t="inlineStr">
        <is>
          <t>Chrome</t>
        </is>
      </c>
      <c r="K40">
        <f>IF(H40="Completed",11,VALUE(MID(H40,6,FIND(" ",H40,6)-6)))</f>
        <v/>
      </c>
      <c r="L40">
        <f>IF(G40="Processed",1,0)</f>
        <v/>
      </c>
      <c r="M40">
        <f>IF(F40="Study flow 1","Narrative first","Visual first")</f>
        <v/>
      </c>
      <c r="N40">
        <f>IF(D40="","",VALUE(LEFT(D40,FIND(",",D40)-1)))</f>
        <v/>
      </c>
      <c r="O40">
        <f>IF(D40="","",VALUE(SUBSTITUTE(MID(D40,FIND(",",D40)+2,10),"%","")))</f>
        <v/>
      </c>
    </row>
    <row r="41">
      <c r="A41" t="inlineStr">
        <is>
          <t>RESP0040</t>
        </is>
      </c>
      <c r="B41" s="4" t="n">
        <v>46448.78289351852</v>
      </c>
      <c r="C41" s="4" t="n">
        <v>46448.78887731482</v>
      </c>
      <c r="D41" t="inlineStr">
        <is>
          <t>1.0, 98%</t>
        </is>
      </c>
      <c r="E41" t="n">
        <v>98</v>
      </c>
      <c r="F41" t="inlineStr">
        <is>
          <t>Study flow 1</t>
        </is>
      </c>
      <c r="G41" t="inlineStr">
        <is>
          <t>Processed</t>
        </is>
      </c>
      <c r="H41" t="inlineStr">
        <is>
          <t>Completed</t>
        </is>
      </c>
      <c r="I41" t="inlineStr">
        <is>
          <t>Laptop</t>
        </is>
      </c>
      <c r="J41" t="inlineStr">
        <is>
          <t>Chrome</t>
        </is>
      </c>
      <c r="K41">
        <f>IF(H41="Completed",11,VALUE(MID(H41,6,FIND(" ",H41,6)-6)))</f>
        <v/>
      </c>
      <c r="L41">
        <f>IF(G41="Processed",1,0)</f>
        <v/>
      </c>
      <c r="M41">
        <f>IF(F41="Study flow 1","Narrative first","Visual first")</f>
        <v/>
      </c>
      <c r="N41">
        <f>IF(D41="","",VALUE(LEFT(D41,FIND(",",D41)-1)))</f>
        <v/>
      </c>
      <c r="O41">
        <f>IF(D41="","",VALUE(SUBSTITUTE(MID(D41,FIND(",",D41)+2,10),"%","")))</f>
        <v/>
      </c>
    </row>
    <row r="42">
      <c r="A42" t="inlineStr">
        <is>
          <t>RESP0041</t>
        </is>
      </c>
      <c r="B42" s="4" t="n">
        <v>46448.81385416666</v>
      </c>
      <c r="C42" s="4" t="n">
        <v>46448.82024305555</v>
      </c>
      <c r="D42" t="inlineStr">
        <is>
          <t>4.8, 84%</t>
        </is>
      </c>
      <c r="E42" t="n">
        <v>95</v>
      </c>
      <c r="F42" t="inlineStr">
        <is>
          <t>Study flow 2</t>
        </is>
      </c>
      <c r="G42" t="inlineStr">
        <is>
          <t>Processed</t>
        </is>
      </c>
      <c r="H42" t="inlineStr">
        <is>
          <t>Completed</t>
        </is>
      </c>
      <c r="I42" t="inlineStr">
        <is>
          <t>Laptop</t>
        </is>
      </c>
      <c r="J42" t="inlineStr">
        <is>
          <t>Edge</t>
        </is>
      </c>
      <c r="K42">
        <f>IF(H42="Completed",11,VALUE(MID(H42,6,FIND(" ",H42,6)-6)))</f>
        <v/>
      </c>
      <c r="L42">
        <f>IF(G42="Processed",1,0)</f>
        <v/>
      </c>
      <c r="M42">
        <f>IF(F42="Study flow 1","Narrative first","Visual first")</f>
        <v/>
      </c>
      <c r="N42">
        <f>IF(D42="","",VALUE(LEFT(D42,FIND(",",D42)-1)))</f>
        <v/>
      </c>
      <c r="O42">
        <f>IF(D42="","",VALUE(SUBSTITUTE(MID(D42,FIND(",",D42)+2,10),"%","")))</f>
        <v/>
      </c>
    </row>
    <row r="43">
      <c r="A43" t="inlineStr">
        <is>
          <t>RESP0042</t>
        </is>
      </c>
      <c r="B43" s="4" t="n">
        <v>46448.81395833333</v>
      </c>
      <c r="C43" s="4" t="n"/>
      <c r="F43" t="inlineStr">
        <is>
          <t>Study flow 2</t>
        </is>
      </c>
      <c r="G43" t="inlineStr">
        <is>
          <t>Abandoned</t>
        </is>
      </c>
      <c r="H43" t="inlineStr">
        <is>
          <t>STEP 5 Screen size</t>
        </is>
      </c>
      <c r="I43" t="inlineStr">
        <is>
          <t>Phone</t>
        </is>
      </c>
      <c r="J43" t="inlineStr">
        <is>
          <t>Chrome</t>
        </is>
      </c>
      <c r="K43">
        <f>IF(H43="Completed",11,VALUE(MID(H43,6,FIND(" ",H43,6)-6)))</f>
        <v/>
      </c>
      <c r="L43">
        <f>IF(G43="Processed",1,0)</f>
        <v/>
      </c>
      <c r="M43">
        <f>IF(F43="Study flow 1","Narrative first","Visual first")</f>
        <v/>
      </c>
      <c r="N43">
        <f>IF(D43="","",VALUE(LEFT(D43,FIND(",",D43)-1)))</f>
        <v/>
      </c>
      <c r="O43">
        <f>IF(D43="","",VALUE(SUBSTITUTE(MID(D43,FIND(",",D43)+2,10),"%","")))</f>
        <v/>
      </c>
    </row>
    <row r="44">
      <c r="A44" t="inlineStr">
        <is>
          <t>RESP0043</t>
        </is>
      </c>
      <c r="B44" s="4" t="n">
        <v>46448.82342592593</v>
      </c>
      <c r="C44" s="4" t="n">
        <v>46448.82991898148</v>
      </c>
      <c r="D44" t="inlineStr">
        <is>
          <t>5.4, 94%</t>
        </is>
      </c>
      <c r="E44" t="n">
        <v>92</v>
      </c>
      <c r="F44" t="inlineStr">
        <is>
          <t>Study flow 1</t>
        </is>
      </c>
      <c r="G44" t="inlineStr">
        <is>
          <t>Processed</t>
        </is>
      </c>
      <c r="H44" t="inlineStr">
        <is>
          <t>Completed</t>
        </is>
      </c>
      <c r="I44" t="inlineStr">
        <is>
          <t>Desktop</t>
        </is>
      </c>
      <c r="J44" t="inlineStr">
        <is>
          <t>Firefox</t>
        </is>
      </c>
      <c r="K44">
        <f>IF(H44="Completed",11,VALUE(MID(H44,6,FIND(" ",H44,6)-6)))</f>
        <v/>
      </c>
      <c r="L44">
        <f>IF(G44="Processed",1,0)</f>
        <v/>
      </c>
      <c r="M44">
        <f>IF(F44="Study flow 1","Narrative first","Visual first")</f>
        <v/>
      </c>
      <c r="N44">
        <f>IF(D44="","",VALUE(LEFT(D44,FIND(",",D44)-1)))</f>
        <v/>
      </c>
      <c r="O44">
        <f>IF(D44="","",VALUE(SUBSTITUTE(MID(D44,FIND(",",D44)+2,10),"%","")))</f>
        <v/>
      </c>
    </row>
    <row r="45">
      <c r="A45" t="inlineStr">
        <is>
          <t>RESP0044</t>
        </is>
      </c>
      <c r="B45" s="4" t="n">
        <v>46448.83109953703</v>
      </c>
      <c r="C45" s="4" t="n">
        <v>46448.83758101852</v>
      </c>
      <c r="D45" t="inlineStr">
        <is>
          <t>1.2, 99%</t>
        </is>
      </c>
      <c r="E45" t="n">
        <v>91</v>
      </c>
      <c r="F45" t="inlineStr">
        <is>
          <t>Study flow 1</t>
        </is>
      </c>
      <c r="G45" t="inlineStr">
        <is>
          <t>Processed</t>
        </is>
      </c>
      <c r="H45" t="inlineStr">
        <is>
          <t>Completed</t>
        </is>
      </c>
      <c r="I45" t="inlineStr">
        <is>
          <t>Laptop</t>
        </is>
      </c>
      <c r="J45" t="inlineStr">
        <is>
          <t>Edge</t>
        </is>
      </c>
      <c r="K45">
        <f>IF(H45="Completed",11,VALUE(MID(H45,6,FIND(" ",H45,6)-6)))</f>
        <v/>
      </c>
      <c r="L45">
        <f>IF(G45="Processed",1,0)</f>
        <v/>
      </c>
      <c r="M45">
        <f>IF(F45="Study flow 1","Narrative first","Visual first")</f>
        <v/>
      </c>
      <c r="N45">
        <f>IF(D45="","",VALUE(LEFT(D45,FIND(",",D45)-1)))</f>
        <v/>
      </c>
      <c r="O45">
        <f>IF(D45="","",VALUE(SUBSTITUTE(MID(D45,FIND(",",D45)+2,10),"%","")))</f>
        <v/>
      </c>
    </row>
    <row r="46">
      <c r="A46" t="inlineStr">
        <is>
          <t>RESP0045</t>
        </is>
      </c>
      <c r="B46" s="4" t="n">
        <v>46448.8650462963</v>
      </c>
      <c r="C46" s="4" t="n"/>
      <c r="F46" t="inlineStr">
        <is>
          <t>Study flow 1</t>
        </is>
      </c>
      <c r="G46" t="inlineStr">
        <is>
          <t>Abandoned</t>
        </is>
      </c>
      <c r="H46" t="inlineStr">
        <is>
          <t>STEP 2 Consent screen</t>
        </is>
      </c>
      <c r="I46" t="inlineStr">
        <is>
          <t>Laptop</t>
        </is>
      </c>
      <c r="J46" t="inlineStr">
        <is>
          <t>Chrome</t>
        </is>
      </c>
      <c r="K46">
        <f>IF(H46="Completed",11,VALUE(MID(H46,6,FIND(" ",H46,6)-6)))</f>
        <v/>
      </c>
      <c r="L46">
        <f>IF(G46="Processed",1,0)</f>
        <v/>
      </c>
      <c r="M46">
        <f>IF(F46="Study flow 1","Narrative first","Visual first")</f>
        <v/>
      </c>
      <c r="N46">
        <f>IF(D46="","",VALUE(LEFT(D46,FIND(",",D46)-1)))</f>
        <v/>
      </c>
      <c r="O46">
        <f>IF(D46="","",VALUE(SUBSTITUTE(MID(D46,FIND(",",D46)+2,10),"%","")))</f>
        <v/>
      </c>
    </row>
    <row r="47">
      <c r="A47" t="inlineStr">
        <is>
          <t>RESP0046</t>
        </is>
      </c>
      <c r="B47" s="4" t="n">
        <v>46448.86708333333</v>
      </c>
      <c r="C47" s="4" t="n">
        <v>46448.87258101852</v>
      </c>
      <c r="D47" t="inlineStr">
        <is>
          <t>1.4, 97%</t>
        </is>
      </c>
      <c r="E47" t="n">
        <v>98</v>
      </c>
      <c r="F47" t="inlineStr">
        <is>
          <t>Study flow 2</t>
        </is>
      </c>
      <c r="G47" t="inlineStr">
        <is>
          <t>Processed</t>
        </is>
      </c>
      <c r="H47" t="inlineStr">
        <is>
          <t>Completed</t>
        </is>
      </c>
      <c r="I47" t="inlineStr">
        <is>
          <t>Laptop</t>
        </is>
      </c>
      <c r="J47" t="inlineStr">
        <is>
          <t>Chrome</t>
        </is>
      </c>
      <c r="K47">
        <f>IF(H47="Completed",11,VALUE(MID(H47,6,FIND(" ",H47,6)-6)))</f>
        <v/>
      </c>
      <c r="L47">
        <f>IF(G47="Processed",1,0)</f>
        <v/>
      </c>
      <c r="M47">
        <f>IF(F47="Study flow 1","Narrative first","Visual first")</f>
        <v/>
      </c>
      <c r="N47">
        <f>IF(D47="","",VALUE(LEFT(D47,FIND(",",D47)-1)))</f>
        <v/>
      </c>
      <c r="O47">
        <f>IF(D47="","",VALUE(SUBSTITUTE(MID(D47,FIND(",",D47)+2,10),"%","")))</f>
        <v/>
      </c>
    </row>
    <row r="48">
      <c r="A48" t="inlineStr">
        <is>
          <t>RESP0047</t>
        </is>
      </c>
      <c r="B48" s="4" t="n">
        <v>46448.86728009259</v>
      </c>
      <c r="C48" s="4" t="n">
        <v>46448.87370370371</v>
      </c>
      <c r="D48" t="inlineStr">
        <is>
          <t>2.9, 98%</t>
        </is>
      </c>
      <c r="E48" t="n">
        <v>95</v>
      </c>
      <c r="F48" t="inlineStr">
        <is>
          <t>Study flow 1</t>
        </is>
      </c>
      <c r="G48" t="inlineStr">
        <is>
          <t>Processed</t>
        </is>
      </c>
      <c r="H48" t="inlineStr">
        <is>
          <t>Completed</t>
        </is>
      </c>
      <c r="I48" t="inlineStr">
        <is>
          <t>Laptop</t>
        </is>
      </c>
      <c r="J48" t="inlineStr">
        <is>
          <t>Chrome</t>
        </is>
      </c>
      <c r="K48">
        <f>IF(H48="Completed",11,VALUE(MID(H48,6,FIND(" ",H48,6)-6)))</f>
        <v/>
      </c>
      <c r="L48">
        <f>IF(G48="Processed",1,0)</f>
        <v/>
      </c>
      <c r="M48">
        <f>IF(F48="Study flow 1","Narrative first","Visual first")</f>
        <v/>
      </c>
      <c r="N48">
        <f>IF(D48="","",VALUE(LEFT(D48,FIND(",",D48)-1)))</f>
        <v/>
      </c>
      <c r="O48">
        <f>IF(D48="","",VALUE(SUBSTITUTE(MID(D48,FIND(",",D48)+2,10),"%","")))</f>
        <v/>
      </c>
    </row>
    <row r="49">
      <c r="A49" t="inlineStr">
        <is>
          <t>RESP0048</t>
        </is>
      </c>
      <c r="B49" s="4" t="n">
        <v>46448.93681712963</v>
      </c>
      <c r="C49" s="4" t="n">
        <v>46448.94386574074</v>
      </c>
      <c r="D49" t="inlineStr">
        <is>
          <t>1.0, 99%</t>
        </is>
      </c>
      <c r="E49" t="n">
        <v>99</v>
      </c>
      <c r="F49" t="inlineStr">
        <is>
          <t>Study flow 1</t>
        </is>
      </c>
      <c r="G49" t="inlineStr">
        <is>
          <t>Processed</t>
        </is>
      </c>
      <c r="H49" t="inlineStr">
        <is>
          <t>Completed</t>
        </is>
      </c>
      <c r="I49" t="inlineStr">
        <is>
          <t>Laptop</t>
        </is>
      </c>
      <c r="J49" t="inlineStr">
        <is>
          <t>Chrome</t>
        </is>
      </c>
      <c r="K49">
        <f>IF(H49="Completed",11,VALUE(MID(H49,6,FIND(" ",H49,6)-6)))</f>
        <v/>
      </c>
      <c r="L49">
        <f>IF(G49="Processed",1,0)</f>
        <v/>
      </c>
      <c r="M49">
        <f>IF(F49="Study flow 1","Narrative first","Visual first")</f>
        <v/>
      </c>
      <c r="N49">
        <f>IF(D49="","",VALUE(LEFT(D49,FIND(",",D49)-1)))</f>
        <v/>
      </c>
      <c r="O49">
        <f>IF(D49="","",VALUE(SUBSTITUTE(MID(D49,FIND(",",D49)+2,10),"%","")))</f>
        <v/>
      </c>
    </row>
    <row r="50">
      <c r="A50" t="inlineStr">
        <is>
          <t>RESP0049</t>
        </is>
      </c>
      <c r="B50" s="4" t="n">
        <v>46449.40346064815</v>
      </c>
      <c r="C50" s="4" t="n">
        <v>46449.4099074074</v>
      </c>
      <c r="D50" t="inlineStr">
        <is>
          <t>1.2, 98%</t>
        </is>
      </c>
      <c r="E50" t="n">
        <v>85</v>
      </c>
      <c r="F50" t="inlineStr">
        <is>
          <t>Study flow 1</t>
        </is>
      </c>
      <c r="G50" t="inlineStr">
        <is>
          <t>Processed</t>
        </is>
      </c>
      <c r="H50" t="inlineStr">
        <is>
          <t>Completed</t>
        </is>
      </c>
      <c r="I50" t="inlineStr">
        <is>
          <t>Desktop</t>
        </is>
      </c>
      <c r="J50" t="inlineStr">
        <is>
          <t>Chrome</t>
        </is>
      </c>
      <c r="K50">
        <f>IF(H50="Completed",11,VALUE(MID(H50,6,FIND(" ",H50,6)-6)))</f>
        <v/>
      </c>
      <c r="L50">
        <f>IF(G50="Processed",1,0)</f>
        <v/>
      </c>
      <c r="M50">
        <f>IF(F50="Study flow 1","Narrative first","Visual first")</f>
        <v/>
      </c>
      <c r="N50">
        <f>IF(D50="","",VALUE(LEFT(D50,FIND(",",D50)-1)))</f>
        <v/>
      </c>
      <c r="O50">
        <f>IF(D50="","",VALUE(SUBSTITUTE(MID(D50,FIND(",",D50)+2,10),"%","")))</f>
        <v/>
      </c>
    </row>
    <row r="51">
      <c r="A51" t="inlineStr">
        <is>
          <t>RESP0050</t>
        </is>
      </c>
      <c r="B51" s="4" t="n">
        <v>46449.40755787037</v>
      </c>
      <c r="C51" s="4" t="n">
        <v>46449.41332175926</v>
      </c>
      <c r="D51" t="inlineStr">
        <is>
          <t>1.6, 95%</t>
        </is>
      </c>
      <c r="E51" t="n">
        <v>99</v>
      </c>
      <c r="F51" t="inlineStr">
        <is>
          <t>Study flow 1</t>
        </is>
      </c>
      <c r="G51" t="inlineStr">
        <is>
          <t>Processed</t>
        </is>
      </c>
      <c r="H51" t="inlineStr">
        <is>
          <t>Completed</t>
        </is>
      </c>
      <c r="I51" t="inlineStr">
        <is>
          <t>Laptop</t>
        </is>
      </c>
      <c r="J51" t="inlineStr">
        <is>
          <t>Chrome</t>
        </is>
      </c>
      <c r="K51">
        <f>IF(H51="Completed",11,VALUE(MID(H51,6,FIND(" ",H51,6)-6)))</f>
        <v/>
      </c>
      <c r="L51">
        <f>IF(G51="Processed",1,0)</f>
        <v/>
      </c>
      <c r="M51">
        <f>IF(F51="Study flow 1","Narrative first","Visual first")</f>
        <v/>
      </c>
      <c r="N51">
        <f>IF(D51="","",VALUE(LEFT(D51,FIND(",",D51)-1)))</f>
        <v/>
      </c>
      <c r="O51">
        <f>IF(D51="","",VALUE(SUBSTITUTE(MID(D51,FIND(",",D51)+2,10),"%","")))</f>
        <v/>
      </c>
    </row>
    <row r="52">
      <c r="A52" t="inlineStr">
        <is>
          <t>RESP0051</t>
        </is>
      </c>
      <c r="B52" s="4" t="n">
        <v>46449.48194444444</v>
      </c>
      <c r="C52" s="4" t="n"/>
      <c r="F52" t="inlineStr">
        <is>
          <t>Study flow 1</t>
        </is>
      </c>
      <c r="G52" t="inlineStr">
        <is>
          <t>Abandoned</t>
        </is>
      </c>
      <c r="H52" t="inlineStr">
        <is>
          <t>STEP 4 Respondent camera setup</t>
        </is>
      </c>
      <c r="I52" t="inlineStr">
        <is>
          <t>Laptop</t>
        </is>
      </c>
      <c r="J52" t="inlineStr">
        <is>
          <t>Safari</t>
        </is>
      </c>
      <c r="K52">
        <f>IF(H52="Completed",11,VALUE(MID(H52,6,FIND(" ",H52,6)-6)))</f>
        <v/>
      </c>
      <c r="L52">
        <f>IF(G52="Processed",1,0)</f>
        <v/>
      </c>
      <c r="M52">
        <f>IF(F52="Study flow 1","Narrative first","Visual first")</f>
        <v/>
      </c>
      <c r="N52">
        <f>IF(D52="","",VALUE(LEFT(D52,FIND(",",D52)-1)))</f>
        <v/>
      </c>
      <c r="O52">
        <f>IF(D52="","",VALUE(SUBSTITUTE(MID(D52,FIND(",",D52)+2,10),"%","")))</f>
        <v/>
      </c>
    </row>
    <row r="53">
      <c r="A53" t="inlineStr">
        <is>
          <t>RESP0052</t>
        </is>
      </c>
      <c r="B53" s="4" t="n">
        <v>46449.53475694444</v>
      </c>
      <c r="C53" s="4" t="n">
        <v>46449.54115740741</v>
      </c>
      <c r="D53" t="inlineStr">
        <is>
          <t>1.0, 97%</t>
        </is>
      </c>
      <c r="E53" t="n">
        <v>95</v>
      </c>
      <c r="F53" t="inlineStr">
        <is>
          <t>Study flow 2</t>
        </is>
      </c>
      <c r="G53" t="inlineStr">
        <is>
          <t>Processed</t>
        </is>
      </c>
      <c r="H53" t="inlineStr">
        <is>
          <t>Completed</t>
        </is>
      </c>
      <c r="I53" t="inlineStr">
        <is>
          <t>Laptop</t>
        </is>
      </c>
      <c r="J53" t="inlineStr">
        <is>
          <t>Chrome</t>
        </is>
      </c>
      <c r="K53">
        <f>IF(H53="Completed",11,VALUE(MID(H53,6,FIND(" ",H53,6)-6)))</f>
        <v/>
      </c>
      <c r="L53">
        <f>IF(G53="Processed",1,0)</f>
        <v/>
      </c>
      <c r="M53">
        <f>IF(F53="Study flow 1","Narrative first","Visual first")</f>
        <v/>
      </c>
      <c r="N53">
        <f>IF(D53="","",VALUE(LEFT(D53,FIND(",",D53)-1)))</f>
        <v/>
      </c>
      <c r="O53">
        <f>IF(D53="","",VALUE(SUBSTITUTE(MID(D53,FIND(",",D53)+2,10),"%","")))</f>
        <v/>
      </c>
    </row>
    <row r="54">
      <c r="A54" t="inlineStr">
        <is>
          <t>RESP0053</t>
        </is>
      </c>
      <c r="B54" s="4" t="n">
        <v>46449.54331018519</v>
      </c>
      <c r="C54" s="4" t="n">
        <v>46449.54925925926</v>
      </c>
      <c r="D54" t="inlineStr">
        <is>
          <t>0.8, 96%</t>
        </is>
      </c>
      <c r="E54" t="n">
        <v>99</v>
      </c>
      <c r="F54" t="inlineStr">
        <is>
          <t>Study flow 1</t>
        </is>
      </c>
      <c r="G54" t="inlineStr">
        <is>
          <t>Processed</t>
        </is>
      </c>
      <c r="H54" t="inlineStr">
        <is>
          <t>Completed</t>
        </is>
      </c>
      <c r="I54" t="inlineStr">
        <is>
          <t>Desktop</t>
        </is>
      </c>
      <c r="J54" t="inlineStr">
        <is>
          <t>Safari</t>
        </is>
      </c>
      <c r="K54">
        <f>IF(H54="Completed",11,VALUE(MID(H54,6,FIND(" ",H54,6)-6)))</f>
        <v/>
      </c>
      <c r="L54">
        <f>IF(G54="Processed",1,0)</f>
        <v/>
      </c>
      <c r="M54">
        <f>IF(F54="Study flow 1","Narrative first","Visual first")</f>
        <v/>
      </c>
      <c r="N54">
        <f>IF(D54="","",VALUE(LEFT(D54,FIND(",",D54)-1)))</f>
        <v/>
      </c>
      <c r="O54">
        <f>IF(D54="","",VALUE(SUBSTITUTE(MID(D54,FIND(",",D54)+2,10),"%","")))</f>
        <v/>
      </c>
    </row>
    <row r="55">
      <c r="A55" t="inlineStr">
        <is>
          <t>RESP0054</t>
        </is>
      </c>
      <c r="B55" s="4" t="n">
        <v>46449.55038194444</v>
      </c>
      <c r="C55" s="4" t="n"/>
      <c r="F55" t="inlineStr">
        <is>
          <t>Study flow 2</t>
        </is>
      </c>
      <c r="G55" t="inlineStr">
        <is>
          <t>Abandoned</t>
        </is>
      </c>
      <c r="H55" t="inlineStr">
        <is>
          <t>STEP 5 Screen size</t>
        </is>
      </c>
      <c r="I55" t="inlineStr">
        <is>
          <t>Phone</t>
        </is>
      </c>
      <c r="J55" t="inlineStr">
        <is>
          <t>Safari</t>
        </is>
      </c>
      <c r="K55">
        <f>IF(H55="Completed",11,VALUE(MID(H55,6,FIND(" ",H55,6)-6)))</f>
        <v/>
      </c>
      <c r="L55">
        <f>IF(G55="Processed",1,0)</f>
        <v/>
      </c>
      <c r="M55">
        <f>IF(F55="Study flow 1","Narrative first","Visual first")</f>
        <v/>
      </c>
      <c r="N55">
        <f>IF(D55="","",VALUE(LEFT(D55,FIND(",",D55)-1)))</f>
        <v/>
      </c>
      <c r="O55">
        <f>IF(D55="","",VALUE(SUBSTITUTE(MID(D55,FIND(",",D55)+2,10),"%","")))</f>
        <v/>
      </c>
    </row>
    <row r="56">
      <c r="A56" t="inlineStr">
        <is>
          <t>RESP0055</t>
        </is>
      </c>
      <c r="B56" s="4" t="n">
        <v>46449.62136574074</v>
      </c>
      <c r="C56" s="4" t="n">
        <v>46449.62767361111</v>
      </c>
      <c r="D56" t="inlineStr">
        <is>
          <t>1.6, 97%</t>
        </is>
      </c>
      <c r="E56" t="n">
        <v>97</v>
      </c>
      <c r="F56" t="inlineStr">
        <is>
          <t>Study flow 2</t>
        </is>
      </c>
      <c r="G56" t="inlineStr">
        <is>
          <t>Processed</t>
        </is>
      </c>
      <c r="H56" t="inlineStr">
        <is>
          <t>Completed</t>
        </is>
      </c>
      <c r="I56" t="inlineStr">
        <is>
          <t>Desktop</t>
        </is>
      </c>
      <c r="J56" t="inlineStr">
        <is>
          <t>Firefox</t>
        </is>
      </c>
      <c r="K56">
        <f>IF(H56="Completed",11,VALUE(MID(H56,6,FIND(" ",H56,6)-6)))</f>
        <v/>
      </c>
      <c r="L56">
        <f>IF(G56="Processed",1,0)</f>
        <v/>
      </c>
      <c r="M56">
        <f>IF(F56="Study flow 1","Narrative first","Visual first")</f>
        <v/>
      </c>
      <c r="N56">
        <f>IF(D56="","",VALUE(LEFT(D56,FIND(",",D56)-1)))</f>
        <v/>
      </c>
      <c r="O56">
        <f>IF(D56="","",VALUE(SUBSTITUTE(MID(D56,FIND(",",D56)+2,10),"%","")))</f>
        <v/>
      </c>
    </row>
    <row r="57">
      <c r="A57" t="inlineStr">
        <is>
          <t>RESP0056</t>
        </is>
      </c>
      <c r="B57" s="4" t="n">
        <v>46449.66934027777</v>
      </c>
      <c r="C57" s="4" t="n">
        <v>46449.67534722222</v>
      </c>
      <c r="D57" t="inlineStr">
        <is>
          <t>3.0, 98%</t>
        </is>
      </c>
      <c r="E57" t="n">
        <v>99</v>
      </c>
      <c r="F57" t="inlineStr">
        <is>
          <t>Study flow 2</t>
        </is>
      </c>
      <c r="G57" t="inlineStr">
        <is>
          <t>Processed</t>
        </is>
      </c>
      <c r="H57" t="inlineStr">
        <is>
          <t>Completed</t>
        </is>
      </c>
      <c r="I57" t="inlineStr">
        <is>
          <t>Laptop</t>
        </is>
      </c>
      <c r="J57" t="inlineStr">
        <is>
          <t>Edge</t>
        </is>
      </c>
      <c r="K57">
        <f>IF(H57="Completed",11,VALUE(MID(H57,6,FIND(" ",H57,6)-6)))</f>
        <v/>
      </c>
      <c r="L57">
        <f>IF(G57="Processed",1,0)</f>
        <v/>
      </c>
      <c r="M57">
        <f>IF(F57="Study flow 1","Narrative first","Visual first")</f>
        <v/>
      </c>
      <c r="N57">
        <f>IF(D57="","",VALUE(LEFT(D57,FIND(",",D57)-1)))</f>
        <v/>
      </c>
      <c r="O57">
        <f>IF(D57="","",VALUE(SUBSTITUTE(MID(D57,FIND(",",D57)+2,10),"%","")))</f>
        <v/>
      </c>
    </row>
    <row r="58">
      <c r="A58" t="inlineStr">
        <is>
          <t>RESP0057</t>
        </is>
      </c>
      <c r="B58" s="4" t="n">
        <v>46449.68233796296</v>
      </c>
      <c r="C58" s="4" t="n"/>
      <c r="F58" t="inlineStr">
        <is>
          <t>Study flow 1</t>
        </is>
      </c>
      <c r="G58" t="inlineStr">
        <is>
          <t>Abandoned</t>
        </is>
      </c>
      <c r="H58" t="inlineStr">
        <is>
          <t>STEP 2 Consent screen</t>
        </is>
      </c>
      <c r="I58" t="inlineStr">
        <is>
          <t>Desktop</t>
        </is>
      </c>
      <c r="J58" t="inlineStr">
        <is>
          <t>Chrome</t>
        </is>
      </c>
      <c r="K58">
        <f>IF(H58="Completed",11,VALUE(MID(H58,6,FIND(" ",H58,6)-6)))</f>
        <v/>
      </c>
      <c r="L58">
        <f>IF(G58="Processed",1,0)</f>
        <v/>
      </c>
      <c r="M58">
        <f>IF(F58="Study flow 1","Narrative first","Visual first")</f>
        <v/>
      </c>
      <c r="N58">
        <f>IF(D58="","",VALUE(LEFT(D58,FIND(",",D58)-1)))</f>
        <v/>
      </c>
      <c r="O58">
        <f>IF(D58="","",VALUE(SUBSTITUTE(MID(D58,FIND(",",D58)+2,10),"%","")))</f>
        <v/>
      </c>
    </row>
    <row r="59">
      <c r="A59" t="inlineStr">
        <is>
          <t>RESP0058</t>
        </is>
      </c>
      <c r="B59" s="4" t="n">
        <v>46449.71649305556</v>
      </c>
      <c r="C59" s="4" t="n">
        <v>46449.7225462963</v>
      </c>
      <c r="D59" t="inlineStr">
        <is>
          <t>1.7, 97%</t>
        </is>
      </c>
      <c r="E59" t="n">
        <v>99</v>
      </c>
      <c r="F59" t="inlineStr">
        <is>
          <t>Study flow 2</t>
        </is>
      </c>
      <c r="G59" t="inlineStr">
        <is>
          <t>Processed</t>
        </is>
      </c>
      <c r="H59" t="inlineStr">
        <is>
          <t>Completed</t>
        </is>
      </c>
      <c r="I59" t="inlineStr">
        <is>
          <t>Laptop</t>
        </is>
      </c>
      <c r="J59" t="inlineStr">
        <is>
          <t>Firefox</t>
        </is>
      </c>
      <c r="K59">
        <f>IF(H59="Completed",11,VALUE(MID(H59,6,FIND(" ",H59,6)-6)))</f>
        <v/>
      </c>
      <c r="L59">
        <f>IF(G59="Processed",1,0)</f>
        <v/>
      </c>
      <c r="M59">
        <f>IF(F59="Study flow 1","Narrative first","Visual first")</f>
        <v/>
      </c>
      <c r="N59">
        <f>IF(D59="","",VALUE(LEFT(D59,FIND(",",D59)-1)))</f>
        <v/>
      </c>
      <c r="O59">
        <f>IF(D59="","",VALUE(SUBSTITUTE(MID(D59,FIND(",",D59)+2,10),"%","")))</f>
        <v/>
      </c>
    </row>
    <row r="60">
      <c r="A60" t="inlineStr">
        <is>
          <t>RESP0059</t>
        </is>
      </c>
      <c r="B60" s="4" t="n">
        <v>46449.73384259259</v>
      </c>
      <c r="C60" s="4" t="n">
        <v>46449.73953703704</v>
      </c>
      <c r="D60" t="inlineStr">
        <is>
          <t>1.1, 95%</t>
        </is>
      </c>
      <c r="E60" t="n">
        <v>94</v>
      </c>
      <c r="F60" t="inlineStr">
        <is>
          <t>Study flow 1</t>
        </is>
      </c>
      <c r="G60" t="inlineStr">
        <is>
          <t>Processed</t>
        </is>
      </c>
      <c r="H60" t="inlineStr">
        <is>
          <t>Completed</t>
        </is>
      </c>
      <c r="I60" t="inlineStr">
        <is>
          <t>Laptop</t>
        </is>
      </c>
      <c r="J60" t="inlineStr">
        <is>
          <t>Safari</t>
        </is>
      </c>
      <c r="K60">
        <f>IF(H60="Completed",11,VALUE(MID(H60,6,FIND(" ",H60,6)-6)))</f>
        <v/>
      </c>
      <c r="L60">
        <f>IF(G60="Processed",1,0)</f>
        <v/>
      </c>
      <c r="M60">
        <f>IF(F60="Study flow 1","Narrative first","Visual first")</f>
        <v/>
      </c>
      <c r="N60">
        <f>IF(D60="","",VALUE(LEFT(D60,FIND(",",D60)-1)))</f>
        <v/>
      </c>
      <c r="O60">
        <f>IF(D60="","",VALUE(SUBSTITUTE(MID(D60,FIND(",",D60)+2,10),"%","")))</f>
        <v/>
      </c>
    </row>
    <row r="61">
      <c r="A61" t="inlineStr">
        <is>
          <t>RESP0060</t>
        </is>
      </c>
      <c r="B61" s="4" t="n">
        <v>46449.74077546296</v>
      </c>
      <c r="C61" s="4" t="n"/>
      <c r="F61" t="inlineStr">
        <is>
          <t>Study flow 1</t>
        </is>
      </c>
      <c r="G61" t="inlineStr">
        <is>
          <t>Abandoned</t>
        </is>
      </c>
      <c r="H61" t="inlineStr">
        <is>
          <t>STEP 7 Prepare positioning</t>
        </is>
      </c>
      <c r="I61" t="inlineStr">
        <is>
          <t>Desktop</t>
        </is>
      </c>
      <c r="J61" t="inlineStr">
        <is>
          <t>Chrome</t>
        </is>
      </c>
      <c r="K61">
        <f>IF(H61="Completed",11,VALUE(MID(H61,6,FIND(" ",H61,6)-6)))</f>
        <v/>
      </c>
      <c r="L61">
        <f>IF(G61="Processed",1,0)</f>
        <v/>
      </c>
      <c r="M61">
        <f>IF(F61="Study flow 1","Narrative first","Visual first")</f>
        <v/>
      </c>
      <c r="N61">
        <f>IF(D61="","",VALUE(LEFT(D61,FIND(",",D61)-1)))</f>
        <v/>
      </c>
      <c r="O61">
        <f>IF(D61="","",VALUE(SUBSTITUTE(MID(D61,FIND(",",D61)+2,10),"%","")))</f>
        <v/>
      </c>
    </row>
    <row r="62">
      <c r="A62" t="inlineStr">
        <is>
          <t>RESP0061</t>
        </is>
      </c>
      <c r="B62" s="4" t="n">
        <v>46449.75861111111</v>
      </c>
      <c r="C62" s="4" t="n">
        <v>46449.76454861111</v>
      </c>
      <c r="D62" t="inlineStr">
        <is>
          <t>1.2, 99%</t>
        </is>
      </c>
      <c r="E62" t="n">
        <v>100</v>
      </c>
      <c r="F62" t="inlineStr">
        <is>
          <t>Study flow 2</t>
        </is>
      </c>
      <c r="G62" t="inlineStr">
        <is>
          <t>Processed</t>
        </is>
      </c>
      <c r="H62" t="inlineStr">
        <is>
          <t>Completed</t>
        </is>
      </c>
      <c r="I62" t="inlineStr">
        <is>
          <t>Laptop</t>
        </is>
      </c>
      <c r="J62" t="inlineStr">
        <is>
          <t>Edge</t>
        </is>
      </c>
      <c r="K62">
        <f>IF(H62="Completed",11,VALUE(MID(H62,6,FIND(" ",H62,6)-6)))</f>
        <v/>
      </c>
      <c r="L62">
        <f>IF(G62="Processed",1,0)</f>
        <v/>
      </c>
      <c r="M62">
        <f>IF(F62="Study flow 1","Narrative first","Visual first")</f>
        <v/>
      </c>
      <c r="N62">
        <f>IF(D62="","",VALUE(LEFT(D62,FIND(",",D62)-1)))</f>
        <v/>
      </c>
      <c r="O62">
        <f>IF(D62="","",VALUE(SUBSTITUTE(MID(D62,FIND(",",D62)+2,10),"%","")))</f>
        <v/>
      </c>
    </row>
    <row r="63">
      <c r="A63" t="inlineStr">
        <is>
          <t>RESP0062</t>
        </is>
      </c>
      <c r="B63" s="4" t="n">
        <v>46449.77289351852</v>
      </c>
      <c r="C63" s="4" t="n">
        <v>46449.77901620371</v>
      </c>
      <c r="D63" t="inlineStr">
        <is>
          <t>1.4, 96%</t>
        </is>
      </c>
      <c r="E63" t="n">
        <v>90</v>
      </c>
      <c r="F63" t="inlineStr">
        <is>
          <t>Study flow 2</t>
        </is>
      </c>
      <c r="G63" t="inlineStr">
        <is>
          <t>Processed</t>
        </is>
      </c>
      <c r="H63" t="inlineStr">
        <is>
          <t>Completed</t>
        </is>
      </c>
      <c r="I63" t="inlineStr">
        <is>
          <t>Laptop</t>
        </is>
      </c>
      <c r="J63" t="inlineStr">
        <is>
          <t>Chrome</t>
        </is>
      </c>
      <c r="K63">
        <f>IF(H63="Completed",11,VALUE(MID(H63,6,FIND(" ",H63,6)-6)))</f>
        <v/>
      </c>
      <c r="L63">
        <f>IF(G63="Processed",1,0)</f>
        <v/>
      </c>
      <c r="M63">
        <f>IF(F63="Study flow 1","Narrative first","Visual first")</f>
        <v/>
      </c>
      <c r="N63">
        <f>IF(D63="","",VALUE(LEFT(D63,FIND(",",D63)-1)))</f>
        <v/>
      </c>
      <c r="O63">
        <f>IF(D63="","",VALUE(SUBSTITUTE(MID(D63,FIND(",",D63)+2,10),"%","")))</f>
        <v/>
      </c>
    </row>
    <row r="64">
      <c r="A64" t="inlineStr">
        <is>
          <t>RESP0063</t>
        </is>
      </c>
      <c r="B64" s="4" t="n">
        <v>46449.78006944444</v>
      </c>
      <c r="C64" s="4" t="n">
        <v>46449.78575231481</v>
      </c>
      <c r="D64" t="inlineStr">
        <is>
          <t>2.6, 91%</t>
        </is>
      </c>
      <c r="E64" t="n">
        <v>96</v>
      </c>
      <c r="F64" t="inlineStr">
        <is>
          <t>Study flow 2</t>
        </is>
      </c>
      <c r="G64" t="inlineStr">
        <is>
          <t>Processed</t>
        </is>
      </c>
      <c r="H64" t="inlineStr">
        <is>
          <t>Completed</t>
        </is>
      </c>
      <c r="I64" t="inlineStr">
        <is>
          <t>Laptop</t>
        </is>
      </c>
      <c r="J64" t="inlineStr">
        <is>
          <t>Safari</t>
        </is>
      </c>
      <c r="K64">
        <f>IF(H64="Completed",11,VALUE(MID(H64,6,FIND(" ",H64,6)-6)))</f>
        <v/>
      </c>
      <c r="L64">
        <f>IF(G64="Processed",1,0)</f>
        <v/>
      </c>
      <c r="M64">
        <f>IF(F64="Study flow 1","Narrative first","Visual first")</f>
        <v/>
      </c>
      <c r="N64">
        <f>IF(D64="","",VALUE(LEFT(D64,FIND(",",D64)-1)))</f>
        <v/>
      </c>
      <c r="O64">
        <f>IF(D64="","",VALUE(SUBSTITUTE(MID(D64,FIND(",",D64)+2,10),"%","")))</f>
        <v/>
      </c>
    </row>
    <row r="65">
      <c r="A65" t="inlineStr">
        <is>
          <t>RESP0064</t>
        </is>
      </c>
      <c r="B65" s="4" t="n">
        <v>46449.79028935185</v>
      </c>
      <c r="C65" s="4" t="n">
        <v>46449.79643518518</v>
      </c>
      <c r="D65" t="inlineStr">
        <is>
          <t>1.6, 99%</t>
        </is>
      </c>
      <c r="E65" t="n">
        <v>99</v>
      </c>
      <c r="F65" t="inlineStr">
        <is>
          <t>Study flow 2</t>
        </is>
      </c>
      <c r="G65" t="inlineStr">
        <is>
          <t>Processed</t>
        </is>
      </c>
      <c r="H65" t="inlineStr">
        <is>
          <t>Completed</t>
        </is>
      </c>
      <c r="I65" t="inlineStr">
        <is>
          <t>Laptop</t>
        </is>
      </c>
      <c r="J65" t="inlineStr">
        <is>
          <t>Safari</t>
        </is>
      </c>
      <c r="K65">
        <f>IF(H65="Completed",11,VALUE(MID(H65,6,FIND(" ",H65,6)-6)))</f>
        <v/>
      </c>
      <c r="L65">
        <f>IF(G65="Processed",1,0)</f>
        <v/>
      </c>
      <c r="M65">
        <f>IF(F65="Study flow 1","Narrative first","Visual first")</f>
        <v/>
      </c>
      <c r="N65">
        <f>IF(D65="","",VALUE(LEFT(D65,FIND(",",D65)-1)))</f>
        <v/>
      </c>
      <c r="O65">
        <f>IF(D65="","",VALUE(SUBSTITUTE(MID(D65,FIND(",",D65)+2,10),"%","")))</f>
        <v/>
      </c>
    </row>
    <row r="66">
      <c r="A66" t="inlineStr">
        <is>
          <t>RESP0065</t>
        </is>
      </c>
      <c r="B66" s="4" t="n">
        <v>46449.79957175926</v>
      </c>
      <c r="C66" s="4" t="n">
        <v>46449.80505787037</v>
      </c>
      <c r="D66" t="inlineStr">
        <is>
          <t>4.5, 84%</t>
        </is>
      </c>
      <c r="E66" t="n">
        <v>51</v>
      </c>
      <c r="F66" t="inlineStr">
        <is>
          <t>Study flow 1</t>
        </is>
      </c>
      <c r="G66" t="inlineStr">
        <is>
          <t>Processed</t>
        </is>
      </c>
      <c r="H66" t="inlineStr">
        <is>
          <t>Completed</t>
        </is>
      </c>
      <c r="I66" t="inlineStr">
        <is>
          <t>Laptop</t>
        </is>
      </c>
      <c r="J66" t="inlineStr">
        <is>
          <t>Chrome</t>
        </is>
      </c>
      <c r="K66">
        <f>IF(H66="Completed",11,VALUE(MID(H66,6,FIND(" ",H66,6)-6)))</f>
        <v/>
      </c>
      <c r="L66">
        <f>IF(G66="Processed",1,0)</f>
        <v/>
      </c>
      <c r="M66">
        <f>IF(F66="Study flow 1","Narrative first","Visual first")</f>
        <v/>
      </c>
      <c r="N66">
        <f>IF(D66="","",VALUE(LEFT(D66,FIND(",",D66)-1)))</f>
        <v/>
      </c>
      <c r="O66">
        <f>IF(D66="","",VALUE(SUBSTITUTE(MID(D66,FIND(",",D66)+2,10),"%","")))</f>
        <v/>
      </c>
    </row>
    <row r="67">
      <c r="A67" t="inlineStr">
        <is>
          <t>RESP0066</t>
        </is>
      </c>
      <c r="B67" s="4" t="n">
        <v>46449.82128472222</v>
      </c>
      <c r="C67" s="4" t="n">
        <v>46449.82755787037</v>
      </c>
      <c r="D67" t="inlineStr">
        <is>
          <t>2.3, 84%</t>
        </is>
      </c>
      <c r="E67" t="n">
        <v>97</v>
      </c>
      <c r="F67" t="inlineStr">
        <is>
          <t>Study flow 2</t>
        </is>
      </c>
      <c r="G67" t="inlineStr">
        <is>
          <t>Processed</t>
        </is>
      </c>
      <c r="H67" t="inlineStr">
        <is>
          <t>Completed</t>
        </is>
      </c>
      <c r="I67" t="inlineStr">
        <is>
          <t>Laptop</t>
        </is>
      </c>
      <c r="J67" t="inlineStr">
        <is>
          <t>Safari</t>
        </is>
      </c>
      <c r="K67">
        <f>IF(H67="Completed",11,VALUE(MID(H67,6,FIND(" ",H67,6)-6)))</f>
        <v/>
      </c>
      <c r="L67">
        <f>IF(G67="Processed",1,0)</f>
        <v/>
      </c>
      <c r="M67">
        <f>IF(F67="Study flow 1","Narrative first","Visual first")</f>
        <v/>
      </c>
      <c r="N67">
        <f>IF(D67="","",VALUE(LEFT(D67,FIND(",",D67)-1)))</f>
        <v/>
      </c>
      <c r="O67">
        <f>IF(D67="","",VALUE(SUBSTITUTE(MID(D67,FIND(",",D67)+2,10),"%","")))</f>
        <v/>
      </c>
    </row>
    <row r="68">
      <c r="A68" t="inlineStr">
        <is>
          <t>RESP0067</t>
        </is>
      </c>
      <c r="B68" s="4" t="n">
        <v>46449.82550925926</v>
      </c>
      <c r="C68" s="4" t="n">
        <v>46449.8316550926</v>
      </c>
      <c r="D68" t="inlineStr">
        <is>
          <t>1.0, 99%</t>
        </is>
      </c>
      <c r="E68" t="n">
        <v>99</v>
      </c>
      <c r="F68" t="inlineStr">
        <is>
          <t>Study flow 1</t>
        </is>
      </c>
      <c r="G68" t="inlineStr">
        <is>
          <t>Processed</t>
        </is>
      </c>
      <c r="H68" t="inlineStr">
        <is>
          <t>Completed</t>
        </is>
      </c>
      <c r="I68" t="inlineStr">
        <is>
          <t>Desktop</t>
        </is>
      </c>
      <c r="J68" t="inlineStr">
        <is>
          <t>Chrome</t>
        </is>
      </c>
      <c r="K68">
        <f>IF(H68="Completed",11,VALUE(MID(H68,6,FIND(" ",H68,6)-6)))</f>
        <v/>
      </c>
      <c r="L68">
        <f>IF(G68="Processed",1,0)</f>
        <v/>
      </c>
      <c r="M68">
        <f>IF(F68="Study flow 1","Narrative first","Visual first")</f>
        <v/>
      </c>
      <c r="N68">
        <f>IF(D68="","",VALUE(LEFT(D68,FIND(",",D68)-1)))</f>
        <v/>
      </c>
      <c r="O68">
        <f>IF(D68="","",VALUE(SUBSTITUTE(MID(D68,FIND(",",D68)+2,10),"%","")))</f>
        <v/>
      </c>
    </row>
    <row r="69">
      <c r="A69" t="inlineStr">
        <is>
          <t>RESP0068</t>
        </is>
      </c>
      <c r="B69" s="4" t="n">
        <v>46449.82909722222</v>
      </c>
      <c r="C69" s="4" t="n"/>
      <c r="F69" t="inlineStr">
        <is>
          <t>Study flow 2</t>
        </is>
      </c>
      <c r="G69" t="inlineStr">
        <is>
          <t>Abandoned</t>
        </is>
      </c>
      <c r="H69" t="inlineStr">
        <is>
          <t>STEP 2 Consent screen</t>
        </is>
      </c>
      <c r="I69" t="inlineStr">
        <is>
          <t>Laptop</t>
        </is>
      </c>
      <c r="J69" t="inlineStr">
        <is>
          <t>Safari</t>
        </is>
      </c>
      <c r="K69">
        <f>IF(H69="Completed",11,VALUE(MID(H69,6,FIND(" ",H69,6)-6)))</f>
        <v/>
      </c>
      <c r="L69">
        <f>IF(G69="Processed",1,0)</f>
        <v/>
      </c>
      <c r="M69">
        <f>IF(F69="Study flow 1","Narrative first","Visual first")</f>
        <v/>
      </c>
      <c r="N69">
        <f>IF(D69="","",VALUE(LEFT(D69,FIND(",",D69)-1)))</f>
        <v/>
      </c>
      <c r="O69">
        <f>IF(D69="","",VALUE(SUBSTITUTE(MID(D69,FIND(",",D69)+2,10),"%","")))</f>
        <v/>
      </c>
    </row>
    <row r="70">
      <c r="A70" t="inlineStr">
        <is>
          <t>RESP0069</t>
        </is>
      </c>
      <c r="B70" s="4" t="n">
        <v>46449.8334837963</v>
      </c>
      <c r="C70" s="4" t="n">
        <v>46449.83912037037</v>
      </c>
      <c r="D70" t="inlineStr">
        <is>
          <t>0.6, 98%</t>
        </is>
      </c>
      <c r="E70" t="n">
        <v>99</v>
      </c>
      <c r="F70" t="inlineStr">
        <is>
          <t>Study flow 1</t>
        </is>
      </c>
      <c r="G70" t="inlineStr">
        <is>
          <t>Processed</t>
        </is>
      </c>
      <c r="H70" t="inlineStr">
        <is>
          <t>Completed</t>
        </is>
      </c>
      <c r="I70" t="inlineStr">
        <is>
          <t>Laptop</t>
        </is>
      </c>
      <c r="J70" t="inlineStr">
        <is>
          <t>Safari</t>
        </is>
      </c>
      <c r="K70">
        <f>IF(H70="Completed",11,VALUE(MID(H70,6,FIND(" ",H70,6)-6)))</f>
        <v/>
      </c>
      <c r="L70">
        <f>IF(G70="Processed",1,0)</f>
        <v/>
      </c>
      <c r="M70">
        <f>IF(F70="Study flow 1","Narrative first","Visual first")</f>
        <v/>
      </c>
      <c r="N70">
        <f>IF(D70="","",VALUE(LEFT(D70,FIND(",",D70)-1)))</f>
        <v/>
      </c>
      <c r="O70">
        <f>IF(D70="","",VALUE(SUBSTITUTE(MID(D70,FIND(",",D70)+2,10),"%","")))</f>
        <v/>
      </c>
    </row>
    <row r="71">
      <c r="A71" t="inlineStr">
        <is>
          <t>RESP0070</t>
        </is>
      </c>
      <c r="B71" s="4" t="n">
        <v>46449.85195601852</v>
      </c>
      <c r="C71" s="4" t="n"/>
      <c r="F71" t="inlineStr">
        <is>
          <t>Study flow 1</t>
        </is>
      </c>
      <c r="G71" t="inlineStr">
        <is>
          <t>Abandoned</t>
        </is>
      </c>
      <c r="H71" t="inlineStr">
        <is>
          <t>STEP 5 Screen size</t>
        </is>
      </c>
      <c r="I71" t="inlineStr">
        <is>
          <t>Tablet</t>
        </is>
      </c>
      <c r="J71" t="inlineStr">
        <is>
          <t>Safari</t>
        </is>
      </c>
      <c r="K71">
        <f>IF(H71="Completed",11,VALUE(MID(H71,6,FIND(" ",H71,6)-6)))</f>
        <v/>
      </c>
      <c r="L71">
        <f>IF(G71="Processed",1,0)</f>
        <v/>
      </c>
      <c r="M71">
        <f>IF(F71="Study flow 1","Narrative first","Visual first")</f>
        <v/>
      </c>
      <c r="N71">
        <f>IF(D71="","",VALUE(LEFT(D71,FIND(",",D71)-1)))</f>
        <v/>
      </c>
      <c r="O71">
        <f>IF(D71="","",VALUE(SUBSTITUTE(MID(D71,FIND(",",D71)+2,10),"%","")))</f>
        <v/>
      </c>
    </row>
    <row r="72">
      <c r="A72" t="inlineStr">
        <is>
          <t>RESP0071</t>
        </is>
      </c>
      <c r="B72" s="4" t="n">
        <v>46449.86074074074</v>
      </c>
      <c r="C72" s="4" t="n">
        <v>46449.86664351852</v>
      </c>
      <c r="D72" t="inlineStr">
        <is>
          <t>2.3, 95%</t>
        </is>
      </c>
      <c r="E72" t="n">
        <v>91</v>
      </c>
      <c r="F72" t="inlineStr">
        <is>
          <t>Study flow 2</t>
        </is>
      </c>
      <c r="G72" t="inlineStr">
        <is>
          <t>Processed</t>
        </is>
      </c>
      <c r="H72" t="inlineStr">
        <is>
          <t>Completed</t>
        </is>
      </c>
      <c r="I72" t="inlineStr">
        <is>
          <t>Laptop</t>
        </is>
      </c>
      <c r="J72" t="inlineStr">
        <is>
          <t>Chrome</t>
        </is>
      </c>
      <c r="K72">
        <f>IF(H72="Completed",11,VALUE(MID(H72,6,FIND(" ",H72,6)-6)))</f>
        <v/>
      </c>
      <c r="L72">
        <f>IF(G72="Processed",1,0)</f>
        <v/>
      </c>
      <c r="M72">
        <f>IF(F72="Study flow 1","Narrative first","Visual first")</f>
        <v/>
      </c>
      <c r="N72">
        <f>IF(D72="","",VALUE(LEFT(D72,FIND(",",D72)-1)))</f>
        <v/>
      </c>
      <c r="O72">
        <f>IF(D72="","",VALUE(SUBSTITUTE(MID(D72,FIND(",",D72)+2,10),"%","")))</f>
        <v/>
      </c>
    </row>
    <row r="73">
      <c r="A73" t="inlineStr">
        <is>
          <t>RESP0072</t>
        </is>
      </c>
      <c r="B73" s="4" t="n">
        <v>46449.93412037037</v>
      </c>
      <c r="C73" s="4" t="n">
        <v>46449.94005787037</v>
      </c>
      <c r="D73" t="inlineStr">
        <is>
          <t>1.2, 97%</t>
        </is>
      </c>
      <c r="E73" t="n">
        <v>89</v>
      </c>
      <c r="F73" t="inlineStr">
        <is>
          <t>Study flow 1</t>
        </is>
      </c>
      <c r="G73" t="inlineStr">
        <is>
          <t>Processed</t>
        </is>
      </c>
      <c r="H73" t="inlineStr">
        <is>
          <t>Completed</t>
        </is>
      </c>
      <c r="I73" t="inlineStr">
        <is>
          <t>Desktop</t>
        </is>
      </c>
      <c r="J73" t="inlineStr">
        <is>
          <t>Edge</t>
        </is>
      </c>
      <c r="K73">
        <f>IF(H73="Completed",11,VALUE(MID(H73,6,FIND(" ",H73,6)-6)))</f>
        <v/>
      </c>
      <c r="L73">
        <f>IF(G73="Processed",1,0)</f>
        <v/>
      </c>
      <c r="M73">
        <f>IF(F73="Study flow 1","Narrative first","Visual first")</f>
        <v/>
      </c>
      <c r="N73">
        <f>IF(D73="","",VALUE(LEFT(D73,FIND(",",D73)-1)))</f>
        <v/>
      </c>
      <c r="O73">
        <f>IF(D73="","",VALUE(SUBSTITUTE(MID(D73,FIND(",",D73)+2,10),"%","")))</f>
        <v/>
      </c>
    </row>
    <row r="74">
      <c r="A74" t="inlineStr">
        <is>
          <t>RESP0073</t>
        </is>
      </c>
      <c r="B74" s="4" t="n">
        <v>46449.93980324074</v>
      </c>
      <c r="C74" s="4" t="n">
        <v>46449.94592592592</v>
      </c>
      <c r="D74" t="inlineStr">
        <is>
          <t>2.0, 98%</t>
        </is>
      </c>
      <c r="E74" t="n">
        <v>99</v>
      </c>
      <c r="F74" t="inlineStr">
        <is>
          <t>Study flow 1</t>
        </is>
      </c>
      <c r="G74" t="inlineStr">
        <is>
          <t>Processed</t>
        </is>
      </c>
      <c r="H74" t="inlineStr">
        <is>
          <t>Completed</t>
        </is>
      </c>
      <c r="I74" t="inlineStr">
        <is>
          <t>Laptop</t>
        </is>
      </c>
      <c r="J74" t="inlineStr">
        <is>
          <t>Chrome</t>
        </is>
      </c>
      <c r="K74">
        <f>IF(H74="Completed",11,VALUE(MID(H74,6,FIND(" ",H74,6)-6)))</f>
        <v/>
      </c>
      <c r="L74">
        <f>IF(G74="Processed",1,0)</f>
        <v/>
      </c>
      <c r="M74">
        <f>IF(F74="Study flow 1","Narrative first","Visual first")</f>
        <v/>
      </c>
      <c r="N74">
        <f>IF(D74="","",VALUE(LEFT(D74,FIND(",",D74)-1)))</f>
        <v/>
      </c>
      <c r="O74">
        <f>IF(D74="","",VALUE(SUBSTITUTE(MID(D74,FIND(",",D74)+2,10),"%","")))</f>
        <v/>
      </c>
    </row>
    <row r="75">
      <c r="A75" t="inlineStr">
        <is>
          <t>RESP0074</t>
        </is>
      </c>
      <c r="B75" s="4" t="n">
        <v>46450.37841435185</v>
      </c>
      <c r="C75" s="4" t="n">
        <v>46450.38501157407</v>
      </c>
      <c r="D75" t="inlineStr">
        <is>
          <t>1.3, 99%</t>
        </is>
      </c>
      <c r="E75" t="n">
        <v>99</v>
      </c>
      <c r="F75" t="inlineStr">
        <is>
          <t>Study flow 2</t>
        </is>
      </c>
      <c r="G75" t="inlineStr">
        <is>
          <t>Processed</t>
        </is>
      </c>
      <c r="H75" t="inlineStr">
        <is>
          <t>Completed</t>
        </is>
      </c>
      <c r="I75" t="inlineStr">
        <is>
          <t>Laptop</t>
        </is>
      </c>
      <c r="J75" t="inlineStr">
        <is>
          <t>Chrome</t>
        </is>
      </c>
      <c r="K75">
        <f>IF(H75="Completed",11,VALUE(MID(H75,6,FIND(" ",H75,6)-6)))</f>
        <v/>
      </c>
      <c r="L75">
        <f>IF(G75="Processed",1,0)</f>
        <v/>
      </c>
      <c r="M75">
        <f>IF(F75="Study flow 1","Narrative first","Visual first")</f>
        <v/>
      </c>
      <c r="N75">
        <f>IF(D75="","",VALUE(LEFT(D75,FIND(",",D75)-1)))</f>
        <v/>
      </c>
      <c r="O75">
        <f>IF(D75="","",VALUE(SUBSTITUTE(MID(D75,FIND(",",D75)+2,10),"%","")))</f>
        <v/>
      </c>
    </row>
    <row r="76">
      <c r="A76" t="inlineStr">
        <is>
          <t>RESP0075</t>
        </is>
      </c>
      <c r="B76" s="4" t="n">
        <v>46450.39188657407</v>
      </c>
      <c r="C76" s="4" t="n">
        <v>46450.3971875</v>
      </c>
      <c r="D76" t="inlineStr">
        <is>
          <t>2.0, 93%</t>
        </is>
      </c>
      <c r="E76" t="n">
        <v>76</v>
      </c>
      <c r="F76" t="inlineStr">
        <is>
          <t>Study flow 1</t>
        </is>
      </c>
      <c r="G76" t="inlineStr">
        <is>
          <t>Processed</t>
        </is>
      </c>
      <c r="H76" t="inlineStr">
        <is>
          <t>Completed</t>
        </is>
      </c>
      <c r="I76" t="inlineStr">
        <is>
          <t>Laptop</t>
        </is>
      </c>
      <c r="J76" t="inlineStr">
        <is>
          <t>Chrome</t>
        </is>
      </c>
      <c r="K76">
        <f>IF(H76="Completed",11,VALUE(MID(H76,6,FIND(" ",H76,6)-6)))</f>
        <v/>
      </c>
      <c r="L76">
        <f>IF(G76="Processed",1,0)</f>
        <v/>
      </c>
      <c r="M76">
        <f>IF(F76="Study flow 1","Narrative first","Visual first")</f>
        <v/>
      </c>
      <c r="N76">
        <f>IF(D76="","",VALUE(LEFT(D76,FIND(",",D76)-1)))</f>
        <v/>
      </c>
      <c r="O76">
        <f>IF(D76="","",VALUE(SUBSTITUTE(MID(D76,FIND(",",D76)+2,10),"%","")))</f>
        <v/>
      </c>
    </row>
    <row r="77">
      <c r="A77" t="inlineStr">
        <is>
          <t>RESP0076</t>
        </is>
      </c>
      <c r="B77" s="4" t="n">
        <v>46450.43682870371</v>
      </c>
      <c r="C77" s="4" t="n">
        <v>46450.44366898148</v>
      </c>
      <c r="D77" t="inlineStr">
        <is>
          <t>2.8, 91%</t>
        </is>
      </c>
      <c r="E77" t="n">
        <v>98</v>
      </c>
      <c r="F77" t="inlineStr">
        <is>
          <t>Study flow 2</t>
        </is>
      </c>
      <c r="G77" t="inlineStr">
        <is>
          <t>Processed</t>
        </is>
      </c>
      <c r="H77" t="inlineStr">
        <is>
          <t>Completed</t>
        </is>
      </c>
      <c r="I77" t="inlineStr">
        <is>
          <t>Laptop</t>
        </is>
      </c>
      <c r="J77" t="inlineStr">
        <is>
          <t>Chrome</t>
        </is>
      </c>
      <c r="K77">
        <f>IF(H77="Completed",11,VALUE(MID(H77,6,FIND(" ",H77,6)-6)))</f>
        <v/>
      </c>
      <c r="L77">
        <f>IF(G77="Processed",1,0)</f>
        <v/>
      </c>
      <c r="M77">
        <f>IF(F77="Study flow 1","Narrative first","Visual first")</f>
        <v/>
      </c>
      <c r="N77">
        <f>IF(D77="","",VALUE(LEFT(D77,FIND(",",D77)-1)))</f>
        <v/>
      </c>
      <c r="O77">
        <f>IF(D77="","",VALUE(SUBSTITUTE(MID(D77,FIND(",",D77)+2,10),"%","")))</f>
        <v/>
      </c>
    </row>
    <row r="78">
      <c r="A78" t="inlineStr">
        <is>
          <t>RESP0077</t>
        </is>
      </c>
      <c r="B78" s="4" t="n">
        <v>46450.45226851852</v>
      </c>
      <c r="C78" s="4" t="n">
        <v>46450.45818287037</v>
      </c>
      <c r="D78" t="inlineStr">
        <is>
          <t>3.6, 91%</t>
        </is>
      </c>
      <c r="E78" t="n">
        <v>99</v>
      </c>
      <c r="F78" t="inlineStr">
        <is>
          <t>Study flow 2</t>
        </is>
      </c>
      <c r="G78" t="inlineStr">
        <is>
          <t>Processed</t>
        </is>
      </c>
      <c r="H78" t="inlineStr">
        <is>
          <t>Completed</t>
        </is>
      </c>
      <c r="I78" t="inlineStr">
        <is>
          <t>Laptop</t>
        </is>
      </c>
      <c r="J78" t="inlineStr">
        <is>
          <t>Firefox</t>
        </is>
      </c>
      <c r="K78">
        <f>IF(H78="Completed",11,VALUE(MID(H78,6,FIND(" ",H78,6)-6)))</f>
        <v/>
      </c>
      <c r="L78">
        <f>IF(G78="Processed",1,0)</f>
        <v/>
      </c>
      <c r="M78">
        <f>IF(F78="Study flow 1","Narrative first","Visual first")</f>
        <v/>
      </c>
      <c r="N78">
        <f>IF(D78="","",VALUE(LEFT(D78,FIND(",",D78)-1)))</f>
        <v/>
      </c>
      <c r="O78">
        <f>IF(D78="","",VALUE(SUBSTITUTE(MID(D78,FIND(",",D78)+2,10),"%","")))</f>
        <v/>
      </c>
    </row>
    <row r="79">
      <c r="A79" t="inlineStr">
        <is>
          <t>RESP0078</t>
        </is>
      </c>
      <c r="B79" s="4" t="n">
        <v>46450.53920138889</v>
      </c>
      <c r="C79" s="4" t="n">
        <v>46450.54515046296</v>
      </c>
      <c r="D79" t="inlineStr">
        <is>
          <t>2.9, 79%</t>
        </is>
      </c>
      <c r="E79" t="n">
        <v>98</v>
      </c>
      <c r="F79" t="inlineStr">
        <is>
          <t>Study flow 2</t>
        </is>
      </c>
      <c r="G79" t="inlineStr">
        <is>
          <t>Processed</t>
        </is>
      </c>
      <c r="H79" t="inlineStr">
        <is>
          <t>Completed</t>
        </is>
      </c>
      <c r="I79" t="inlineStr">
        <is>
          <t>Desktop</t>
        </is>
      </c>
      <c r="J79" t="inlineStr">
        <is>
          <t>Chrome</t>
        </is>
      </c>
      <c r="K79">
        <f>IF(H79="Completed",11,VALUE(MID(H79,6,FIND(" ",H79,6)-6)))</f>
        <v/>
      </c>
      <c r="L79">
        <f>IF(G79="Processed",1,0)</f>
        <v/>
      </c>
      <c r="M79">
        <f>IF(F79="Study flow 1","Narrative first","Visual first")</f>
        <v/>
      </c>
      <c r="N79">
        <f>IF(D79="","",VALUE(LEFT(D79,FIND(",",D79)-1)))</f>
        <v/>
      </c>
      <c r="O79">
        <f>IF(D79="","",VALUE(SUBSTITUTE(MID(D79,FIND(",",D79)+2,10),"%","")))</f>
        <v/>
      </c>
    </row>
    <row r="80">
      <c r="A80" t="inlineStr">
        <is>
          <t>RESP0079</t>
        </is>
      </c>
      <c r="B80" s="4" t="n">
        <v>46450.56122685185</v>
      </c>
      <c r="C80" s="4" t="n">
        <v>46450.56737268518</v>
      </c>
      <c r="D80" t="inlineStr">
        <is>
          <t>1.9, 99%</t>
        </is>
      </c>
      <c r="E80" t="n">
        <v>97</v>
      </c>
      <c r="F80" t="inlineStr">
        <is>
          <t>Study flow 1</t>
        </is>
      </c>
      <c r="G80" t="inlineStr">
        <is>
          <t>Processed</t>
        </is>
      </c>
      <c r="H80" t="inlineStr">
        <is>
          <t>Completed</t>
        </is>
      </c>
      <c r="I80" t="inlineStr">
        <is>
          <t>Laptop</t>
        </is>
      </c>
      <c r="J80" t="inlineStr">
        <is>
          <t>Edge</t>
        </is>
      </c>
      <c r="K80">
        <f>IF(H80="Completed",11,VALUE(MID(H80,6,FIND(" ",H80,6)-6)))</f>
        <v/>
      </c>
      <c r="L80">
        <f>IF(G80="Processed",1,0)</f>
        <v/>
      </c>
      <c r="M80">
        <f>IF(F80="Study flow 1","Narrative first","Visual first")</f>
        <v/>
      </c>
      <c r="N80">
        <f>IF(D80="","",VALUE(LEFT(D80,FIND(",",D80)-1)))</f>
        <v/>
      </c>
      <c r="O80">
        <f>IF(D80="","",VALUE(SUBSTITUTE(MID(D80,FIND(",",D80)+2,10),"%","")))</f>
        <v/>
      </c>
    </row>
    <row r="81">
      <c r="A81" t="inlineStr">
        <is>
          <t>RESP0080</t>
        </is>
      </c>
      <c r="B81" s="4" t="n">
        <v>46450.56295138889</v>
      </c>
      <c r="C81" s="4" t="n">
        <v>46450.56844907408</v>
      </c>
      <c r="D81" t="inlineStr">
        <is>
          <t>4.9, 70%</t>
        </is>
      </c>
      <c r="E81" t="n">
        <v>85</v>
      </c>
      <c r="F81" t="inlineStr">
        <is>
          <t>Study flow 2</t>
        </is>
      </c>
      <c r="G81" t="inlineStr">
        <is>
          <t>Processed</t>
        </is>
      </c>
      <c r="H81" t="inlineStr">
        <is>
          <t>Completed</t>
        </is>
      </c>
      <c r="I81" t="inlineStr">
        <is>
          <t>Laptop</t>
        </is>
      </c>
      <c r="J81" t="inlineStr">
        <is>
          <t>Chrome</t>
        </is>
      </c>
      <c r="K81">
        <f>IF(H81="Completed",11,VALUE(MID(H81,6,FIND(" ",H81,6)-6)))</f>
        <v/>
      </c>
      <c r="L81">
        <f>IF(G81="Processed",1,0)</f>
        <v/>
      </c>
      <c r="M81">
        <f>IF(F81="Study flow 1","Narrative first","Visual first")</f>
        <v/>
      </c>
      <c r="N81">
        <f>IF(D81="","",VALUE(LEFT(D81,FIND(",",D81)-1)))</f>
        <v/>
      </c>
      <c r="O81">
        <f>IF(D81="","",VALUE(SUBSTITUTE(MID(D81,FIND(",",D81)+2,10),"%","")))</f>
        <v/>
      </c>
    </row>
    <row r="82">
      <c r="A82" t="inlineStr">
        <is>
          <t>RESP0081</t>
        </is>
      </c>
      <c r="B82" s="4" t="n">
        <v>46450.59145833334</v>
      </c>
      <c r="C82" s="4" t="n">
        <v>46450.5972337963</v>
      </c>
      <c r="D82" t="inlineStr">
        <is>
          <t>1.8, 98%</t>
        </is>
      </c>
      <c r="E82" t="n">
        <v>99</v>
      </c>
      <c r="F82" t="inlineStr">
        <is>
          <t>Study flow 2</t>
        </is>
      </c>
      <c r="G82" t="inlineStr">
        <is>
          <t>Processed</t>
        </is>
      </c>
      <c r="H82" t="inlineStr">
        <is>
          <t>Completed</t>
        </is>
      </c>
      <c r="I82" t="inlineStr">
        <is>
          <t>Desktop</t>
        </is>
      </c>
      <c r="J82" t="inlineStr">
        <is>
          <t>Chrome</t>
        </is>
      </c>
      <c r="K82">
        <f>IF(H82="Completed",11,VALUE(MID(H82,6,FIND(" ",H82,6)-6)))</f>
        <v/>
      </c>
      <c r="L82">
        <f>IF(G82="Processed",1,0)</f>
        <v/>
      </c>
      <c r="M82">
        <f>IF(F82="Study flow 1","Narrative first","Visual first")</f>
        <v/>
      </c>
      <c r="N82">
        <f>IF(D82="","",VALUE(LEFT(D82,FIND(",",D82)-1)))</f>
        <v/>
      </c>
      <c r="O82">
        <f>IF(D82="","",VALUE(SUBSTITUTE(MID(D82,FIND(",",D82)+2,10),"%","")))</f>
        <v/>
      </c>
    </row>
    <row r="83">
      <c r="A83" t="inlineStr">
        <is>
          <t>RESP0082</t>
        </is>
      </c>
      <c r="B83" s="4" t="n">
        <v>46450.59674768519</v>
      </c>
      <c r="C83" s="4" t="n">
        <v>46450.60266203704</v>
      </c>
      <c r="D83" t="inlineStr">
        <is>
          <t>2.2, 94%</t>
        </is>
      </c>
      <c r="E83" t="n">
        <v>98</v>
      </c>
      <c r="F83" t="inlineStr">
        <is>
          <t>Study flow 1</t>
        </is>
      </c>
      <c r="G83" t="inlineStr">
        <is>
          <t>Processed</t>
        </is>
      </c>
      <c r="H83" t="inlineStr">
        <is>
          <t>Completed</t>
        </is>
      </c>
      <c r="I83" t="inlineStr">
        <is>
          <t>Desktop</t>
        </is>
      </c>
      <c r="J83" t="inlineStr">
        <is>
          <t>Chrome</t>
        </is>
      </c>
      <c r="K83">
        <f>IF(H83="Completed",11,VALUE(MID(H83,6,FIND(" ",H83,6)-6)))</f>
        <v/>
      </c>
      <c r="L83">
        <f>IF(G83="Processed",1,0)</f>
        <v/>
      </c>
      <c r="M83">
        <f>IF(F83="Study flow 1","Narrative first","Visual first")</f>
        <v/>
      </c>
      <c r="N83">
        <f>IF(D83="","",VALUE(LEFT(D83,FIND(",",D83)-1)))</f>
        <v/>
      </c>
      <c r="O83">
        <f>IF(D83="","",VALUE(SUBSTITUTE(MID(D83,FIND(",",D83)+2,10),"%","")))</f>
        <v/>
      </c>
    </row>
    <row r="84">
      <c r="A84" t="inlineStr">
        <is>
          <t>RESP0083</t>
        </is>
      </c>
      <c r="B84" s="4" t="n">
        <v>46450.61295138889</v>
      </c>
      <c r="C84" s="4" t="n"/>
      <c r="F84" t="inlineStr">
        <is>
          <t>Study flow 1</t>
        </is>
      </c>
      <c r="G84" t="inlineStr">
        <is>
          <t>Abandoned</t>
        </is>
      </c>
      <c r="H84" t="inlineStr">
        <is>
          <t>STEP 4 Respondent camera setup</t>
        </is>
      </c>
      <c r="I84" t="inlineStr">
        <is>
          <t>Laptop</t>
        </is>
      </c>
      <c r="J84" t="inlineStr">
        <is>
          <t>Edge</t>
        </is>
      </c>
      <c r="K84">
        <f>IF(H84="Completed",11,VALUE(MID(H84,6,FIND(" ",H84,6)-6)))</f>
        <v/>
      </c>
      <c r="L84">
        <f>IF(G84="Processed",1,0)</f>
        <v/>
      </c>
      <c r="M84">
        <f>IF(F84="Study flow 1","Narrative first","Visual first")</f>
        <v/>
      </c>
      <c r="N84">
        <f>IF(D84="","",VALUE(LEFT(D84,FIND(",",D84)-1)))</f>
        <v/>
      </c>
      <c r="O84">
        <f>IF(D84="","",VALUE(SUBSTITUTE(MID(D84,FIND(",",D84)+2,10),"%","")))</f>
        <v/>
      </c>
    </row>
    <row r="85">
      <c r="A85" t="inlineStr">
        <is>
          <t>RESP0084</t>
        </is>
      </c>
      <c r="B85" s="4" t="n">
        <v>46450.61987268519</v>
      </c>
      <c r="C85" s="4" t="n">
        <v>46450.62528935185</v>
      </c>
      <c r="D85" t="inlineStr">
        <is>
          <t>6.5, 90%</t>
        </is>
      </c>
      <c r="E85" t="n">
        <v>99</v>
      </c>
      <c r="F85" t="inlineStr">
        <is>
          <t>Study flow 1</t>
        </is>
      </c>
      <c r="G85" t="inlineStr">
        <is>
          <t>Processed</t>
        </is>
      </c>
      <c r="H85" t="inlineStr">
        <is>
          <t>Completed</t>
        </is>
      </c>
      <c r="I85" t="inlineStr">
        <is>
          <t>Laptop</t>
        </is>
      </c>
      <c r="J85" t="inlineStr">
        <is>
          <t>Edge</t>
        </is>
      </c>
      <c r="K85">
        <f>IF(H85="Completed",11,VALUE(MID(H85,6,FIND(" ",H85,6)-6)))</f>
        <v/>
      </c>
      <c r="L85">
        <f>IF(G85="Processed",1,0)</f>
        <v/>
      </c>
      <c r="M85">
        <f>IF(F85="Study flow 1","Narrative first","Visual first")</f>
        <v/>
      </c>
      <c r="N85">
        <f>IF(D85="","",VALUE(LEFT(D85,FIND(",",D85)-1)))</f>
        <v/>
      </c>
      <c r="O85">
        <f>IF(D85="","",VALUE(SUBSTITUTE(MID(D85,FIND(",",D85)+2,10),"%","")))</f>
        <v/>
      </c>
    </row>
    <row r="86">
      <c r="A86" t="inlineStr">
        <is>
          <t>RESP0085</t>
        </is>
      </c>
      <c r="B86" s="4" t="n">
        <v>46450.62141203704</v>
      </c>
      <c r="C86" s="4" t="n">
        <v>46450.62755787037</v>
      </c>
      <c r="D86" t="inlineStr">
        <is>
          <t>3.1, 97%</t>
        </is>
      </c>
      <c r="E86" t="n">
        <v>98</v>
      </c>
      <c r="F86" t="inlineStr">
        <is>
          <t>Study flow 2</t>
        </is>
      </c>
      <c r="G86" t="inlineStr">
        <is>
          <t>Processed</t>
        </is>
      </c>
      <c r="H86" t="inlineStr">
        <is>
          <t>Completed</t>
        </is>
      </c>
      <c r="I86" t="inlineStr">
        <is>
          <t>Desktop</t>
        </is>
      </c>
      <c r="J86" t="inlineStr">
        <is>
          <t>Chrome</t>
        </is>
      </c>
      <c r="K86">
        <f>IF(H86="Completed",11,VALUE(MID(H86,6,FIND(" ",H86,6)-6)))</f>
        <v/>
      </c>
      <c r="L86">
        <f>IF(G86="Processed",1,0)</f>
        <v/>
      </c>
      <c r="M86">
        <f>IF(F86="Study flow 1","Narrative first","Visual first")</f>
        <v/>
      </c>
      <c r="N86">
        <f>IF(D86="","",VALUE(LEFT(D86,FIND(",",D86)-1)))</f>
        <v/>
      </c>
      <c r="O86">
        <f>IF(D86="","",VALUE(SUBSTITUTE(MID(D86,FIND(",",D86)+2,10),"%","")))</f>
        <v/>
      </c>
    </row>
    <row r="87">
      <c r="A87" t="inlineStr">
        <is>
          <t>RESP0086</t>
        </is>
      </c>
      <c r="B87" s="4" t="n">
        <v>46450.73641203704</v>
      </c>
      <c r="C87" s="4" t="n"/>
      <c r="F87" t="inlineStr">
        <is>
          <t>Study flow 1</t>
        </is>
      </c>
      <c r="G87" t="inlineStr">
        <is>
          <t>Abandoned</t>
        </is>
      </c>
      <c r="H87" t="inlineStr">
        <is>
          <t>STEP 5 Screen size</t>
        </is>
      </c>
      <c r="I87" t="inlineStr">
        <is>
          <t>Phone</t>
        </is>
      </c>
      <c r="J87" t="inlineStr">
        <is>
          <t>Safari</t>
        </is>
      </c>
      <c r="K87">
        <f>IF(H87="Completed",11,VALUE(MID(H87,6,FIND(" ",H87,6)-6)))</f>
        <v/>
      </c>
      <c r="L87">
        <f>IF(G87="Processed",1,0)</f>
        <v/>
      </c>
      <c r="M87">
        <f>IF(F87="Study flow 1","Narrative first","Visual first")</f>
        <v/>
      </c>
      <c r="N87">
        <f>IF(D87="","",VALUE(LEFT(D87,FIND(",",D87)-1)))</f>
        <v/>
      </c>
      <c r="O87">
        <f>IF(D87="","",VALUE(SUBSTITUTE(MID(D87,FIND(",",D87)+2,10),"%","")))</f>
        <v/>
      </c>
    </row>
    <row r="88">
      <c r="A88" t="inlineStr">
        <is>
          <t>RESP0087</t>
        </is>
      </c>
      <c r="B88" s="4" t="n">
        <v>46450.74361111111</v>
      </c>
      <c r="C88" s="4" t="n"/>
      <c r="F88" t="inlineStr">
        <is>
          <t>Study flow 1</t>
        </is>
      </c>
      <c r="G88" t="inlineStr">
        <is>
          <t>Abandoned</t>
        </is>
      </c>
      <c r="H88" t="inlineStr">
        <is>
          <t>STEP 6 Enter fullscreen</t>
        </is>
      </c>
      <c r="I88" t="inlineStr">
        <is>
          <t>Laptop</t>
        </is>
      </c>
      <c r="J88" t="inlineStr">
        <is>
          <t>Chrome</t>
        </is>
      </c>
      <c r="K88">
        <f>IF(H88="Completed",11,VALUE(MID(H88,6,FIND(" ",H88,6)-6)))</f>
        <v/>
      </c>
      <c r="L88">
        <f>IF(G88="Processed",1,0)</f>
        <v/>
      </c>
      <c r="M88">
        <f>IF(F88="Study flow 1","Narrative first","Visual first")</f>
        <v/>
      </c>
      <c r="N88">
        <f>IF(D88="","",VALUE(LEFT(D88,FIND(",",D88)-1)))</f>
        <v/>
      </c>
      <c r="O88">
        <f>IF(D88="","",VALUE(SUBSTITUTE(MID(D88,FIND(",",D88)+2,10),"%","")))</f>
        <v/>
      </c>
    </row>
    <row r="89">
      <c r="A89" t="inlineStr">
        <is>
          <t>RESP0088</t>
        </is>
      </c>
      <c r="B89" s="4" t="n">
        <v>46450.75976851852</v>
      </c>
      <c r="C89" s="4" t="n">
        <v>46450.76616898148</v>
      </c>
      <c r="D89" t="inlineStr">
        <is>
          <t>3.4, 91%</t>
        </is>
      </c>
      <c r="E89" t="n">
        <v>86</v>
      </c>
      <c r="F89" t="inlineStr">
        <is>
          <t>Study flow 1</t>
        </is>
      </c>
      <c r="G89" t="inlineStr">
        <is>
          <t>Processed</t>
        </is>
      </c>
      <c r="H89" t="inlineStr">
        <is>
          <t>Completed</t>
        </is>
      </c>
      <c r="I89" t="inlineStr">
        <is>
          <t>Desktop</t>
        </is>
      </c>
      <c r="J89" t="inlineStr">
        <is>
          <t>Chrome</t>
        </is>
      </c>
      <c r="K89">
        <f>IF(H89="Completed",11,VALUE(MID(H89,6,FIND(" ",H89,6)-6)))</f>
        <v/>
      </c>
      <c r="L89">
        <f>IF(G89="Processed",1,0)</f>
        <v/>
      </c>
      <c r="M89">
        <f>IF(F89="Study flow 1","Narrative first","Visual first")</f>
        <v/>
      </c>
      <c r="N89">
        <f>IF(D89="","",VALUE(LEFT(D89,FIND(",",D89)-1)))</f>
        <v/>
      </c>
      <c r="O89">
        <f>IF(D89="","",VALUE(SUBSTITUTE(MID(D89,FIND(",",D89)+2,10),"%","")))</f>
        <v/>
      </c>
    </row>
    <row r="90">
      <c r="A90" t="inlineStr">
        <is>
          <t>RESP0089</t>
        </is>
      </c>
      <c r="B90" s="4" t="n">
        <v>46450.77255787037</v>
      </c>
      <c r="C90" s="4" t="n"/>
      <c r="F90" t="inlineStr">
        <is>
          <t>Study flow 2</t>
        </is>
      </c>
      <c r="G90" t="inlineStr">
        <is>
          <t>Abandoned</t>
        </is>
      </c>
      <c r="H90" t="inlineStr">
        <is>
          <t>STEP 5 Screen size</t>
        </is>
      </c>
      <c r="I90" t="inlineStr">
        <is>
          <t>Phone</t>
        </is>
      </c>
      <c r="J90" t="inlineStr">
        <is>
          <t>Chrome</t>
        </is>
      </c>
      <c r="K90">
        <f>IF(H90="Completed",11,VALUE(MID(H90,6,FIND(" ",H90,6)-6)))</f>
        <v/>
      </c>
      <c r="L90">
        <f>IF(G90="Processed",1,0)</f>
        <v/>
      </c>
      <c r="M90">
        <f>IF(F90="Study flow 1","Narrative first","Visual first")</f>
        <v/>
      </c>
      <c r="N90">
        <f>IF(D90="","",VALUE(LEFT(D90,FIND(",",D90)-1)))</f>
        <v/>
      </c>
      <c r="O90">
        <f>IF(D90="","",VALUE(SUBSTITUTE(MID(D90,FIND(",",D90)+2,10),"%","")))</f>
        <v/>
      </c>
    </row>
    <row r="91">
      <c r="A91" t="inlineStr">
        <is>
          <t>RESP0090</t>
        </is>
      </c>
      <c r="B91" s="4" t="n">
        <v>46450.80836805556</v>
      </c>
      <c r="C91" s="4" t="n">
        <v>46450.81451388889</v>
      </c>
      <c r="D91" t="inlineStr">
        <is>
          <t>1.0, 97%</t>
        </is>
      </c>
      <c r="E91" t="n">
        <v>99</v>
      </c>
      <c r="F91" t="inlineStr">
        <is>
          <t>Study flow 2</t>
        </is>
      </c>
      <c r="G91" t="inlineStr">
        <is>
          <t>Processed</t>
        </is>
      </c>
      <c r="H91" t="inlineStr">
        <is>
          <t>Completed</t>
        </is>
      </c>
      <c r="I91" t="inlineStr">
        <is>
          <t>Laptop</t>
        </is>
      </c>
      <c r="J91" t="inlineStr">
        <is>
          <t>Chrome</t>
        </is>
      </c>
      <c r="K91">
        <f>IF(H91="Completed",11,VALUE(MID(H91,6,FIND(" ",H91,6)-6)))</f>
        <v/>
      </c>
      <c r="L91">
        <f>IF(G91="Processed",1,0)</f>
        <v/>
      </c>
      <c r="M91">
        <f>IF(F91="Study flow 1","Narrative first","Visual first")</f>
        <v/>
      </c>
      <c r="N91">
        <f>IF(D91="","",VALUE(LEFT(D91,FIND(",",D91)-1)))</f>
        <v/>
      </c>
      <c r="O91">
        <f>IF(D91="","",VALUE(SUBSTITUTE(MID(D91,FIND(",",D91)+2,10),"%","")))</f>
        <v/>
      </c>
    </row>
    <row r="92">
      <c r="A92" t="inlineStr">
        <is>
          <t>RESP0091</t>
        </is>
      </c>
      <c r="B92" s="4" t="n">
        <v>46450.81127314815</v>
      </c>
      <c r="C92" s="4" t="n"/>
      <c r="F92" t="inlineStr">
        <is>
          <t>Study flow 2</t>
        </is>
      </c>
      <c r="G92" t="inlineStr">
        <is>
          <t>Abandoned</t>
        </is>
      </c>
      <c r="H92" t="inlineStr">
        <is>
          <t>STEP 2 Consent screen</t>
        </is>
      </c>
      <c r="I92" t="inlineStr">
        <is>
          <t>Laptop</t>
        </is>
      </c>
      <c r="J92" t="inlineStr">
        <is>
          <t>Chrome</t>
        </is>
      </c>
      <c r="K92">
        <f>IF(H92="Completed",11,VALUE(MID(H92,6,FIND(" ",H92,6)-6)))</f>
        <v/>
      </c>
      <c r="L92">
        <f>IF(G92="Processed",1,0)</f>
        <v/>
      </c>
      <c r="M92">
        <f>IF(F92="Study flow 1","Narrative first","Visual first")</f>
        <v/>
      </c>
      <c r="N92">
        <f>IF(D92="","",VALUE(LEFT(D92,FIND(",",D92)-1)))</f>
        <v/>
      </c>
      <c r="O92">
        <f>IF(D92="","",VALUE(SUBSTITUTE(MID(D92,FIND(",",D92)+2,10),"%","")))</f>
        <v/>
      </c>
    </row>
    <row r="93">
      <c r="A93" t="inlineStr">
        <is>
          <t>RESP0092</t>
        </is>
      </c>
      <c r="B93" s="4" t="n">
        <v>46450.83086805556</v>
      </c>
      <c r="C93" s="4" t="n"/>
      <c r="F93" t="inlineStr">
        <is>
          <t>Study flow 1</t>
        </is>
      </c>
      <c r="G93" t="inlineStr">
        <is>
          <t>Abandoned</t>
        </is>
      </c>
      <c r="H93" t="inlineStr">
        <is>
          <t>STEP 5 Screen size</t>
        </is>
      </c>
      <c r="I93" t="inlineStr">
        <is>
          <t>Phone</t>
        </is>
      </c>
      <c r="J93" t="inlineStr">
        <is>
          <t>Safari</t>
        </is>
      </c>
      <c r="K93">
        <f>IF(H93="Completed",11,VALUE(MID(H93,6,FIND(" ",H93,6)-6)))</f>
        <v/>
      </c>
      <c r="L93">
        <f>IF(G93="Processed",1,0)</f>
        <v/>
      </c>
      <c r="M93">
        <f>IF(F93="Study flow 1","Narrative first","Visual first")</f>
        <v/>
      </c>
      <c r="N93">
        <f>IF(D93="","",VALUE(LEFT(D93,FIND(",",D93)-1)))</f>
        <v/>
      </c>
      <c r="O93">
        <f>IF(D93="","",VALUE(SUBSTITUTE(MID(D93,FIND(",",D93)+2,10),"%","")))</f>
        <v/>
      </c>
    </row>
    <row r="94">
      <c r="A94" t="inlineStr">
        <is>
          <t>RESP0093</t>
        </is>
      </c>
      <c r="B94" s="4" t="n">
        <v>46450.84202546296</v>
      </c>
      <c r="C94" s="4" t="n">
        <v>46450.84837962963</v>
      </c>
      <c r="D94" t="inlineStr">
        <is>
          <t>1.2, 97%</t>
        </is>
      </c>
      <c r="E94" t="n">
        <v>99</v>
      </c>
      <c r="F94" t="inlineStr">
        <is>
          <t>Study flow 1</t>
        </is>
      </c>
      <c r="G94" t="inlineStr">
        <is>
          <t>Processed</t>
        </is>
      </c>
      <c r="H94" t="inlineStr">
        <is>
          <t>Completed</t>
        </is>
      </c>
      <c r="I94" t="inlineStr">
        <is>
          <t>Desktop</t>
        </is>
      </c>
      <c r="J94" t="inlineStr">
        <is>
          <t>Edge</t>
        </is>
      </c>
      <c r="K94">
        <f>IF(H94="Completed",11,VALUE(MID(H94,6,FIND(" ",H94,6)-6)))</f>
        <v/>
      </c>
      <c r="L94">
        <f>IF(G94="Processed",1,0)</f>
        <v/>
      </c>
      <c r="M94">
        <f>IF(F94="Study flow 1","Narrative first","Visual first")</f>
        <v/>
      </c>
      <c r="N94">
        <f>IF(D94="","",VALUE(LEFT(D94,FIND(",",D94)-1)))</f>
        <v/>
      </c>
      <c r="O94">
        <f>IF(D94="","",VALUE(SUBSTITUTE(MID(D94,FIND(",",D94)+2,10),"%","")))</f>
        <v/>
      </c>
    </row>
    <row r="95">
      <c r="A95" t="inlineStr">
        <is>
          <t>RESP0094</t>
        </is>
      </c>
      <c r="B95" s="4" t="n">
        <v>46450.84565972222</v>
      </c>
      <c r="C95" s="4" t="n">
        <v>46450.85149305555</v>
      </c>
      <c r="D95" t="inlineStr">
        <is>
          <t>2.8, 98%</t>
        </is>
      </c>
      <c r="E95" t="n">
        <v>96</v>
      </c>
      <c r="F95" t="inlineStr">
        <is>
          <t>Study flow 2</t>
        </is>
      </c>
      <c r="G95" t="inlineStr">
        <is>
          <t>Processed</t>
        </is>
      </c>
      <c r="H95" t="inlineStr">
        <is>
          <t>Completed</t>
        </is>
      </c>
      <c r="I95" t="inlineStr">
        <is>
          <t>Laptop</t>
        </is>
      </c>
      <c r="J95" t="inlineStr">
        <is>
          <t>Chrome</t>
        </is>
      </c>
      <c r="K95">
        <f>IF(H95="Completed",11,VALUE(MID(H95,6,FIND(" ",H95,6)-6)))</f>
        <v/>
      </c>
      <c r="L95">
        <f>IF(G95="Processed",1,0)</f>
        <v/>
      </c>
      <c r="M95">
        <f>IF(F95="Study flow 1","Narrative first","Visual first")</f>
        <v/>
      </c>
      <c r="N95">
        <f>IF(D95="","",VALUE(LEFT(D95,FIND(",",D95)-1)))</f>
        <v/>
      </c>
      <c r="O95">
        <f>IF(D95="","",VALUE(SUBSTITUTE(MID(D95,FIND(",",D95)+2,10),"%","")))</f>
        <v/>
      </c>
    </row>
    <row r="96">
      <c r="A96" t="inlineStr">
        <is>
          <t>RESP0095</t>
        </is>
      </c>
      <c r="B96" s="4" t="n">
        <v>46450.84949074074</v>
      </c>
      <c r="C96" s="4" t="n">
        <v>46450.85513888889</v>
      </c>
      <c r="D96" t="inlineStr">
        <is>
          <t>2.1, 95%</t>
        </is>
      </c>
      <c r="E96" t="n">
        <v>88</v>
      </c>
      <c r="F96" t="inlineStr">
        <is>
          <t>Study flow 1</t>
        </is>
      </c>
      <c r="G96" t="inlineStr">
        <is>
          <t>Processed</t>
        </is>
      </c>
      <c r="H96" t="inlineStr">
        <is>
          <t>Completed</t>
        </is>
      </c>
      <c r="I96" t="inlineStr">
        <is>
          <t>Laptop</t>
        </is>
      </c>
      <c r="J96" t="inlineStr">
        <is>
          <t>Firefox</t>
        </is>
      </c>
      <c r="K96">
        <f>IF(H96="Completed",11,VALUE(MID(H96,6,FIND(" ",H96,6)-6)))</f>
        <v/>
      </c>
      <c r="L96">
        <f>IF(G96="Processed",1,0)</f>
        <v/>
      </c>
      <c r="M96">
        <f>IF(F96="Study flow 1","Narrative first","Visual first")</f>
        <v/>
      </c>
      <c r="N96">
        <f>IF(D96="","",VALUE(LEFT(D96,FIND(",",D96)-1)))</f>
        <v/>
      </c>
      <c r="O96">
        <f>IF(D96="","",VALUE(SUBSTITUTE(MID(D96,FIND(",",D96)+2,10),"%","")))</f>
        <v/>
      </c>
    </row>
    <row r="97">
      <c r="A97" t="inlineStr">
        <is>
          <t>RESP0096</t>
        </is>
      </c>
      <c r="B97" s="4" t="n">
        <v>46450.85379629629</v>
      </c>
      <c r="C97" s="4" t="n">
        <v>46450.85944444445</v>
      </c>
      <c r="D97" t="inlineStr">
        <is>
          <t>2.3, 87%</t>
        </is>
      </c>
      <c r="E97" t="n">
        <v>95</v>
      </c>
      <c r="F97" t="inlineStr">
        <is>
          <t>Study flow 2</t>
        </is>
      </c>
      <c r="G97" t="inlineStr">
        <is>
          <t>Processed</t>
        </is>
      </c>
      <c r="H97" t="inlineStr">
        <is>
          <t>Completed</t>
        </is>
      </c>
      <c r="I97" t="inlineStr">
        <is>
          <t>Laptop</t>
        </is>
      </c>
      <c r="J97" t="inlineStr">
        <is>
          <t>Safari</t>
        </is>
      </c>
      <c r="K97">
        <f>IF(H97="Completed",11,VALUE(MID(H97,6,FIND(" ",H97,6)-6)))</f>
        <v/>
      </c>
      <c r="L97">
        <f>IF(G97="Processed",1,0)</f>
        <v/>
      </c>
      <c r="M97">
        <f>IF(F97="Study flow 1","Narrative first","Visual first")</f>
        <v/>
      </c>
      <c r="N97">
        <f>IF(D97="","",VALUE(LEFT(D97,FIND(",",D97)-1)))</f>
        <v/>
      </c>
      <c r="O97">
        <f>IF(D97="","",VALUE(SUBSTITUTE(MID(D97,FIND(",",D97)+2,10),"%","")))</f>
        <v/>
      </c>
    </row>
    <row r="98">
      <c r="A98" t="inlineStr">
        <is>
          <t>RESP0097</t>
        </is>
      </c>
      <c r="B98" s="4" t="n">
        <v>46450.86793981482</v>
      </c>
      <c r="C98" s="4" t="n"/>
      <c r="F98" t="inlineStr">
        <is>
          <t>Study flow 2</t>
        </is>
      </c>
      <c r="G98" t="inlineStr">
        <is>
          <t>Abandoned</t>
        </is>
      </c>
      <c r="H98" t="inlineStr">
        <is>
          <t>STEP 5 Screen size</t>
        </is>
      </c>
      <c r="I98" t="inlineStr">
        <is>
          <t>Tablet</t>
        </is>
      </c>
      <c r="J98" t="inlineStr">
        <is>
          <t>Safari</t>
        </is>
      </c>
      <c r="K98">
        <f>IF(H98="Completed",11,VALUE(MID(H98,6,FIND(" ",H98,6)-6)))</f>
        <v/>
      </c>
      <c r="L98">
        <f>IF(G98="Processed",1,0)</f>
        <v/>
      </c>
      <c r="M98">
        <f>IF(F98="Study flow 1","Narrative first","Visual first")</f>
        <v/>
      </c>
      <c r="N98">
        <f>IF(D98="","",VALUE(LEFT(D98,FIND(",",D98)-1)))</f>
        <v/>
      </c>
      <c r="O98">
        <f>IF(D98="","",VALUE(SUBSTITUTE(MID(D98,FIND(",",D98)+2,10),"%","")))</f>
        <v/>
      </c>
    </row>
    <row r="99">
      <c r="A99" t="inlineStr">
        <is>
          <t>RESP0098</t>
        </is>
      </c>
      <c r="B99" s="4" t="n">
        <v>46450.90084490741</v>
      </c>
      <c r="C99" s="4" t="n">
        <v>46450.90694444445</v>
      </c>
      <c r="D99" t="inlineStr">
        <is>
          <t>2.1, 96%</t>
        </is>
      </c>
      <c r="E99" t="n">
        <v>92</v>
      </c>
      <c r="F99" t="inlineStr">
        <is>
          <t>Study flow 1</t>
        </is>
      </c>
      <c r="G99" t="inlineStr">
        <is>
          <t>Processed</t>
        </is>
      </c>
      <c r="H99" t="inlineStr">
        <is>
          <t>Completed</t>
        </is>
      </c>
      <c r="I99" t="inlineStr">
        <is>
          <t>Laptop</t>
        </is>
      </c>
      <c r="J99" t="inlineStr">
        <is>
          <t>Firefox</t>
        </is>
      </c>
      <c r="K99">
        <f>IF(H99="Completed",11,VALUE(MID(H99,6,FIND(" ",H99,6)-6)))</f>
        <v/>
      </c>
      <c r="L99">
        <f>IF(G99="Processed",1,0)</f>
        <v/>
      </c>
      <c r="M99">
        <f>IF(F99="Study flow 1","Narrative first","Visual first")</f>
        <v/>
      </c>
      <c r="N99">
        <f>IF(D99="","",VALUE(LEFT(D99,FIND(",",D99)-1)))</f>
        <v/>
      </c>
      <c r="O99">
        <f>IF(D99="","",VALUE(SUBSTITUTE(MID(D99,FIND(",",D99)+2,10),"%","")))</f>
        <v/>
      </c>
    </row>
    <row r="100">
      <c r="A100" t="inlineStr">
        <is>
          <t>RESP0099</t>
        </is>
      </c>
      <c r="B100" s="4" t="n">
        <v>46450.91332175926</v>
      </c>
      <c r="C100" s="4" t="n">
        <v>46450.9194212963</v>
      </c>
      <c r="D100" t="inlineStr">
        <is>
          <t>1.3, 97%</t>
        </is>
      </c>
      <c r="E100" t="n">
        <v>95</v>
      </c>
      <c r="F100" t="inlineStr">
        <is>
          <t>Study flow 2</t>
        </is>
      </c>
      <c r="G100" t="inlineStr">
        <is>
          <t>Processed</t>
        </is>
      </c>
      <c r="H100" t="inlineStr">
        <is>
          <t>Completed</t>
        </is>
      </c>
      <c r="I100" t="inlineStr">
        <is>
          <t>Desktop</t>
        </is>
      </c>
      <c r="J100" t="inlineStr">
        <is>
          <t>Chrome</t>
        </is>
      </c>
      <c r="K100">
        <f>IF(H100="Completed",11,VALUE(MID(H100,6,FIND(" ",H100,6)-6)))</f>
        <v/>
      </c>
      <c r="L100">
        <f>IF(G100="Processed",1,0)</f>
        <v/>
      </c>
      <c r="M100">
        <f>IF(F100="Study flow 1","Narrative first","Visual first")</f>
        <v/>
      </c>
      <c r="N100">
        <f>IF(D100="","",VALUE(LEFT(D100,FIND(",",D100)-1)))</f>
        <v/>
      </c>
      <c r="O100">
        <f>IF(D100="","",VALUE(SUBSTITUTE(MID(D100,FIND(",",D100)+2,10),"%","")))</f>
        <v/>
      </c>
    </row>
    <row r="101">
      <c r="A101" t="inlineStr">
        <is>
          <t>RESP0100</t>
        </is>
      </c>
      <c r="B101" s="4" t="n">
        <v>46450.91666666666</v>
      </c>
      <c r="C101" s="4" t="n"/>
      <c r="F101" t="inlineStr">
        <is>
          <t>Study flow 1</t>
        </is>
      </c>
      <c r="G101" t="inlineStr">
        <is>
          <t>Abandoned</t>
        </is>
      </c>
      <c r="H101" t="inlineStr">
        <is>
          <t>STEP 8 Positioning check</t>
        </is>
      </c>
      <c r="I101" t="inlineStr">
        <is>
          <t>Desktop</t>
        </is>
      </c>
      <c r="J101" t="inlineStr">
        <is>
          <t>Chrome</t>
        </is>
      </c>
      <c r="K101">
        <f>IF(H101="Completed",11,VALUE(MID(H101,6,FIND(" ",H101,6)-6)))</f>
        <v/>
      </c>
      <c r="L101">
        <f>IF(G101="Processed",1,0)</f>
        <v/>
      </c>
      <c r="M101">
        <f>IF(F101="Study flow 1","Narrative first","Visual first")</f>
        <v/>
      </c>
      <c r="N101">
        <f>IF(D101="","",VALUE(LEFT(D101,FIND(",",D101)-1)))</f>
        <v/>
      </c>
      <c r="O101">
        <f>IF(D101="","",VALUE(SUBSTITUTE(MID(D101,FIND(",",D101)+2,10),"%","")))</f>
        <v/>
      </c>
    </row>
    <row r="102">
      <c r="A102" t="inlineStr">
        <is>
          <t>RESP0101</t>
        </is>
      </c>
      <c r="B102" s="4" t="n">
        <v>46450.9171875</v>
      </c>
      <c r="C102" s="4" t="n"/>
      <c r="F102" t="inlineStr">
        <is>
          <t>Study flow 2</t>
        </is>
      </c>
      <c r="G102" t="inlineStr">
        <is>
          <t>Abandoned</t>
        </is>
      </c>
      <c r="H102" t="inlineStr">
        <is>
          <t>STEP 5 Screen size</t>
        </is>
      </c>
      <c r="I102" t="inlineStr">
        <is>
          <t>Tablet</t>
        </is>
      </c>
      <c r="J102" t="inlineStr">
        <is>
          <t>Chrome</t>
        </is>
      </c>
      <c r="K102">
        <f>IF(H102="Completed",11,VALUE(MID(H102,6,FIND(" ",H102,6)-6)))</f>
        <v/>
      </c>
      <c r="L102">
        <f>IF(G102="Processed",1,0)</f>
        <v/>
      </c>
      <c r="M102">
        <f>IF(F102="Study flow 1","Narrative first","Visual first")</f>
        <v/>
      </c>
      <c r="N102">
        <f>IF(D102="","",VALUE(LEFT(D102,FIND(",",D102)-1)))</f>
        <v/>
      </c>
      <c r="O102">
        <f>IF(D102="","",VALUE(SUBSTITUTE(MID(D102,FIND(",",D102)+2,10),"%","")))</f>
        <v/>
      </c>
    </row>
    <row r="103">
      <c r="A103" t="inlineStr">
        <is>
          <t>RESP0102</t>
        </is>
      </c>
      <c r="B103" s="4" t="n">
        <v>46450.92607638889</v>
      </c>
      <c r="C103" s="4" t="n">
        <v>46450.93208333333</v>
      </c>
      <c r="D103" t="inlineStr">
        <is>
          <t>2.1, 99%</t>
        </is>
      </c>
      <c r="E103" t="n">
        <v>99</v>
      </c>
      <c r="F103" t="inlineStr">
        <is>
          <t>Study flow 1</t>
        </is>
      </c>
      <c r="G103" t="inlineStr">
        <is>
          <t>Processed</t>
        </is>
      </c>
      <c r="H103" t="inlineStr">
        <is>
          <t>Completed</t>
        </is>
      </c>
      <c r="I103" t="inlineStr">
        <is>
          <t>Desktop</t>
        </is>
      </c>
      <c r="J103" t="inlineStr">
        <is>
          <t>Chrome</t>
        </is>
      </c>
      <c r="K103">
        <f>IF(H103="Completed",11,VALUE(MID(H103,6,FIND(" ",H103,6)-6)))</f>
        <v/>
      </c>
      <c r="L103">
        <f>IF(G103="Processed",1,0)</f>
        <v/>
      </c>
      <c r="M103">
        <f>IF(F103="Study flow 1","Narrative first","Visual first")</f>
        <v/>
      </c>
      <c r="N103">
        <f>IF(D103="","",VALUE(LEFT(D103,FIND(",",D103)-1)))</f>
        <v/>
      </c>
      <c r="O103">
        <f>IF(D103="","",VALUE(SUBSTITUTE(MID(D103,FIND(",",D103)+2,10),"%","")))</f>
        <v/>
      </c>
    </row>
    <row r="104">
      <c r="A104" t="inlineStr">
        <is>
          <t>RESP0103</t>
        </is>
      </c>
      <c r="B104" s="4" t="n">
        <v>46451.54277777778</v>
      </c>
      <c r="C104" s="4" t="n"/>
      <c r="F104" t="inlineStr">
        <is>
          <t>Study flow 2</t>
        </is>
      </c>
      <c r="G104" t="inlineStr">
        <is>
          <t>Abandoned</t>
        </is>
      </c>
      <c r="H104" t="inlineStr">
        <is>
          <t>STEP 5 Screen size</t>
        </is>
      </c>
      <c r="I104" t="inlineStr">
        <is>
          <t>Phone</t>
        </is>
      </c>
      <c r="J104" t="inlineStr">
        <is>
          <t>Safari</t>
        </is>
      </c>
      <c r="K104">
        <f>IF(H104="Completed",11,VALUE(MID(H104,6,FIND(" ",H104,6)-6)))</f>
        <v/>
      </c>
      <c r="L104">
        <f>IF(G104="Processed",1,0)</f>
        <v/>
      </c>
      <c r="M104">
        <f>IF(F104="Study flow 1","Narrative first","Visual first")</f>
        <v/>
      </c>
      <c r="N104">
        <f>IF(D104="","",VALUE(LEFT(D104,FIND(",",D104)-1)))</f>
        <v/>
      </c>
      <c r="O104">
        <f>IF(D104="","",VALUE(SUBSTITUTE(MID(D104,FIND(",",D104)+2,10),"%","")))</f>
        <v/>
      </c>
    </row>
    <row r="105">
      <c r="A105" t="inlineStr">
        <is>
          <t>RESP0104</t>
        </is>
      </c>
      <c r="B105" s="4" t="n">
        <v>46451.60555555556</v>
      </c>
      <c r="C105" s="4" t="n"/>
      <c r="F105" t="inlineStr">
        <is>
          <t>Study flow 2</t>
        </is>
      </c>
      <c r="G105" t="inlineStr">
        <is>
          <t>Abandoned</t>
        </is>
      </c>
      <c r="H105" t="inlineStr">
        <is>
          <t>STEP 6 Enter fullscreen</t>
        </is>
      </c>
      <c r="I105" t="inlineStr">
        <is>
          <t>Desktop</t>
        </is>
      </c>
      <c r="J105" t="inlineStr">
        <is>
          <t>Chrome</t>
        </is>
      </c>
      <c r="K105">
        <f>IF(H105="Completed",11,VALUE(MID(H105,6,FIND(" ",H105,6)-6)))</f>
        <v/>
      </c>
      <c r="L105">
        <f>IF(G105="Processed",1,0)</f>
        <v/>
      </c>
      <c r="M105">
        <f>IF(F105="Study flow 1","Narrative first","Visual first")</f>
        <v/>
      </c>
      <c r="N105">
        <f>IF(D105="","",VALUE(LEFT(D105,FIND(",",D105)-1)))</f>
        <v/>
      </c>
      <c r="O105">
        <f>IF(D105="","",VALUE(SUBSTITUTE(MID(D105,FIND(",",D105)+2,10),"%","")))</f>
        <v/>
      </c>
    </row>
    <row r="106">
      <c r="A106" t="inlineStr">
        <is>
          <t>RESP0105</t>
        </is>
      </c>
      <c r="B106" s="4" t="n">
        <v>46451.6183912037</v>
      </c>
      <c r="C106" s="4" t="n"/>
      <c r="F106" t="inlineStr">
        <is>
          <t>Study flow 1</t>
        </is>
      </c>
      <c r="G106" t="inlineStr">
        <is>
          <t>Abandoned</t>
        </is>
      </c>
      <c r="H106" t="inlineStr">
        <is>
          <t>STEP 2 Consent screen</t>
        </is>
      </c>
      <c r="I106" t="inlineStr">
        <is>
          <t>Laptop</t>
        </is>
      </c>
      <c r="J106" t="inlineStr">
        <is>
          <t>Chrome</t>
        </is>
      </c>
      <c r="K106">
        <f>IF(H106="Completed",11,VALUE(MID(H106,6,FIND(" ",H106,6)-6)))</f>
        <v/>
      </c>
      <c r="L106">
        <f>IF(G106="Processed",1,0)</f>
        <v/>
      </c>
      <c r="M106">
        <f>IF(F106="Study flow 1","Narrative first","Visual first")</f>
        <v/>
      </c>
      <c r="N106">
        <f>IF(D106="","",VALUE(LEFT(D106,FIND(",",D106)-1)))</f>
        <v/>
      </c>
      <c r="O106">
        <f>IF(D106="","",VALUE(SUBSTITUTE(MID(D106,FIND(",",D106)+2,10),"%","")))</f>
        <v/>
      </c>
    </row>
    <row r="107">
      <c r="A107" t="inlineStr">
        <is>
          <t>RESP0106</t>
        </is>
      </c>
      <c r="B107" s="4" t="n">
        <v>46451.64908564815</v>
      </c>
      <c r="C107" s="4" t="n"/>
      <c r="F107" t="inlineStr">
        <is>
          <t>Study flow 2</t>
        </is>
      </c>
      <c r="G107" t="inlineStr">
        <is>
          <t>Abandoned</t>
        </is>
      </c>
      <c r="H107" t="inlineStr">
        <is>
          <t>STEP 5 Screen size</t>
        </is>
      </c>
      <c r="I107" t="inlineStr">
        <is>
          <t>Phone</t>
        </is>
      </c>
      <c r="J107" t="inlineStr">
        <is>
          <t>Chrome</t>
        </is>
      </c>
      <c r="K107">
        <f>IF(H107="Completed",11,VALUE(MID(H107,6,FIND(" ",H107,6)-6)))</f>
        <v/>
      </c>
      <c r="L107">
        <f>IF(G107="Processed",1,0)</f>
        <v/>
      </c>
      <c r="M107">
        <f>IF(F107="Study flow 1","Narrative first","Visual first")</f>
        <v/>
      </c>
      <c r="N107">
        <f>IF(D107="","",VALUE(LEFT(D107,FIND(",",D107)-1)))</f>
        <v/>
      </c>
      <c r="O107">
        <f>IF(D107="","",VALUE(SUBSTITUTE(MID(D107,FIND(",",D107)+2,10),"%","")))</f>
        <v/>
      </c>
    </row>
    <row r="108">
      <c r="A108" t="inlineStr">
        <is>
          <t>RESP0107</t>
        </is>
      </c>
      <c r="B108" s="4" t="n">
        <v>46451.65046296296</v>
      </c>
      <c r="C108" s="4" t="n"/>
      <c r="F108" t="inlineStr">
        <is>
          <t>Study flow 2</t>
        </is>
      </c>
      <c r="G108" t="inlineStr">
        <is>
          <t>Abandoned</t>
        </is>
      </c>
      <c r="H108" t="inlineStr">
        <is>
          <t>STEP 8 Positioning check</t>
        </is>
      </c>
      <c r="I108" t="inlineStr">
        <is>
          <t>Laptop</t>
        </is>
      </c>
      <c r="J108" t="inlineStr">
        <is>
          <t>Edge</t>
        </is>
      </c>
      <c r="K108">
        <f>IF(H108="Completed",11,VALUE(MID(H108,6,FIND(" ",H108,6)-6)))</f>
        <v/>
      </c>
      <c r="L108">
        <f>IF(G108="Processed",1,0)</f>
        <v/>
      </c>
      <c r="M108">
        <f>IF(F108="Study flow 1","Narrative first","Visual first")</f>
        <v/>
      </c>
      <c r="N108">
        <f>IF(D108="","",VALUE(LEFT(D108,FIND(",",D108)-1)))</f>
        <v/>
      </c>
      <c r="O108">
        <f>IF(D108="","",VALUE(SUBSTITUTE(MID(D108,FIND(",",D108)+2,10),"%","")))</f>
        <v/>
      </c>
    </row>
    <row r="109">
      <c r="A109" t="inlineStr">
        <is>
          <t>RESP0108</t>
        </is>
      </c>
      <c r="B109" s="4" t="n">
        <v>46451.68004629629</v>
      </c>
      <c r="C109" s="4" t="n">
        <v>46451.68572916667</v>
      </c>
      <c r="D109" t="inlineStr">
        <is>
          <t>1.1, 96%</t>
        </is>
      </c>
      <c r="E109" t="n">
        <v>96</v>
      </c>
      <c r="F109" t="inlineStr">
        <is>
          <t>Study flow 1</t>
        </is>
      </c>
      <c r="G109" t="inlineStr">
        <is>
          <t>Processed</t>
        </is>
      </c>
      <c r="H109" t="inlineStr">
        <is>
          <t>Completed</t>
        </is>
      </c>
      <c r="I109" t="inlineStr">
        <is>
          <t>Laptop</t>
        </is>
      </c>
      <c r="J109" t="inlineStr">
        <is>
          <t>Chrome</t>
        </is>
      </c>
      <c r="K109">
        <f>IF(H109="Completed",11,VALUE(MID(H109,6,FIND(" ",H109,6)-6)))</f>
        <v/>
      </c>
      <c r="L109">
        <f>IF(G109="Processed",1,0)</f>
        <v/>
      </c>
      <c r="M109">
        <f>IF(F109="Study flow 1","Narrative first","Visual first")</f>
        <v/>
      </c>
      <c r="N109">
        <f>IF(D109="","",VALUE(LEFT(D109,FIND(",",D109)-1)))</f>
        <v/>
      </c>
      <c r="O109">
        <f>IF(D109="","",VALUE(SUBSTITUTE(MID(D109,FIND(",",D109)+2,10),"%","")))</f>
        <v/>
      </c>
    </row>
    <row r="110">
      <c r="A110" t="inlineStr">
        <is>
          <t>RESP0109</t>
        </is>
      </c>
      <c r="B110" s="4" t="n">
        <v>46451.726875</v>
      </c>
      <c r="C110" s="4" t="n">
        <v>46451.73233796296</v>
      </c>
      <c r="D110" t="inlineStr">
        <is>
          <t>2.9, 92%</t>
        </is>
      </c>
      <c r="E110" t="n">
        <v>99</v>
      </c>
      <c r="F110" t="inlineStr">
        <is>
          <t>Study flow 1</t>
        </is>
      </c>
      <c r="G110" t="inlineStr">
        <is>
          <t>Processed</t>
        </is>
      </c>
      <c r="H110" t="inlineStr">
        <is>
          <t>Completed</t>
        </is>
      </c>
      <c r="I110" t="inlineStr">
        <is>
          <t>Desktop</t>
        </is>
      </c>
      <c r="J110" t="inlineStr">
        <is>
          <t>Edge</t>
        </is>
      </c>
      <c r="K110">
        <f>IF(H110="Completed",11,VALUE(MID(H110,6,FIND(" ",H110,6)-6)))</f>
        <v/>
      </c>
      <c r="L110">
        <f>IF(G110="Processed",1,0)</f>
        <v/>
      </c>
      <c r="M110">
        <f>IF(F110="Study flow 1","Narrative first","Visual first")</f>
        <v/>
      </c>
      <c r="N110">
        <f>IF(D110="","",VALUE(LEFT(D110,FIND(",",D110)-1)))</f>
        <v/>
      </c>
      <c r="O110">
        <f>IF(D110="","",VALUE(SUBSTITUTE(MID(D110,FIND(",",D110)+2,10),"%","")))</f>
        <v/>
      </c>
    </row>
    <row r="111">
      <c r="A111" t="inlineStr">
        <is>
          <t>RESP0110</t>
        </is>
      </c>
      <c r="B111" s="4" t="n">
        <v>46451.72722222222</v>
      </c>
      <c r="C111" s="4" t="n"/>
      <c r="F111" t="inlineStr">
        <is>
          <t>Study flow 1</t>
        </is>
      </c>
      <c r="G111" t="inlineStr">
        <is>
          <t>Abandoned</t>
        </is>
      </c>
      <c r="H111" t="inlineStr">
        <is>
          <t>STEP 5 Screen size</t>
        </is>
      </c>
      <c r="I111" t="inlineStr">
        <is>
          <t>Phone</t>
        </is>
      </c>
      <c r="J111" t="inlineStr">
        <is>
          <t>Safari</t>
        </is>
      </c>
      <c r="K111">
        <f>IF(H111="Completed",11,VALUE(MID(H111,6,FIND(" ",H111,6)-6)))</f>
        <v/>
      </c>
      <c r="L111">
        <f>IF(G111="Processed",1,0)</f>
        <v/>
      </c>
      <c r="M111">
        <f>IF(F111="Study flow 1","Narrative first","Visual first")</f>
        <v/>
      </c>
      <c r="N111">
        <f>IF(D111="","",VALUE(LEFT(D111,FIND(",",D111)-1)))</f>
        <v/>
      </c>
      <c r="O111">
        <f>IF(D111="","",VALUE(SUBSTITUTE(MID(D111,FIND(",",D111)+2,10),"%","")))</f>
        <v/>
      </c>
    </row>
    <row r="112">
      <c r="A112" t="inlineStr">
        <is>
          <t>RESP0111</t>
        </is>
      </c>
      <c r="B112" s="4" t="n">
        <v>46451.77103009259</v>
      </c>
      <c r="C112" s="4" t="n">
        <v>46451.77804398148</v>
      </c>
      <c r="D112" t="inlineStr">
        <is>
          <t>2.4, 95%</t>
        </is>
      </c>
      <c r="E112" t="n">
        <v>92</v>
      </c>
      <c r="F112" t="inlineStr">
        <is>
          <t>Study flow 2</t>
        </is>
      </c>
      <c r="G112" t="inlineStr">
        <is>
          <t>Processed</t>
        </is>
      </c>
      <c r="H112" t="inlineStr">
        <is>
          <t>Completed</t>
        </is>
      </c>
      <c r="I112" t="inlineStr">
        <is>
          <t>Desktop</t>
        </is>
      </c>
      <c r="J112" t="inlineStr">
        <is>
          <t>Edge</t>
        </is>
      </c>
      <c r="K112">
        <f>IF(H112="Completed",11,VALUE(MID(H112,6,FIND(" ",H112,6)-6)))</f>
        <v/>
      </c>
      <c r="L112">
        <f>IF(G112="Processed",1,0)</f>
        <v/>
      </c>
      <c r="M112">
        <f>IF(F112="Study flow 1","Narrative first","Visual first")</f>
        <v/>
      </c>
      <c r="N112">
        <f>IF(D112="","",VALUE(LEFT(D112,FIND(",",D112)-1)))</f>
        <v/>
      </c>
      <c r="O112">
        <f>IF(D112="","",VALUE(SUBSTITUTE(MID(D112,FIND(",",D112)+2,10),"%","")))</f>
        <v/>
      </c>
    </row>
    <row r="113">
      <c r="A113" t="inlineStr">
        <is>
          <t>RESP0112</t>
        </is>
      </c>
      <c r="B113" s="4" t="n">
        <v>46451.7775</v>
      </c>
      <c r="C113" s="4" t="n">
        <v>46451.78390046296</v>
      </c>
      <c r="D113" t="inlineStr">
        <is>
          <t>2.9, 93%</t>
        </is>
      </c>
      <c r="E113" t="n">
        <v>98</v>
      </c>
      <c r="F113" t="inlineStr">
        <is>
          <t>Study flow 2</t>
        </is>
      </c>
      <c r="G113" t="inlineStr">
        <is>
          <t>Processed</t>
        </is>
      </c>
      <c r="H113" t="inlineStr">
        <is>
          <t>Completed</t>
        </is>
      </c>
      <c r="I113" t="inlineStr">
        <is>
          <t>Laptop</t>
        </is>
      </c>
      <c r="J113" t="inlineStr">
        <is>
          <t>Chrome</t>
        </is>
      </c>
      <c r="K113">
        <f>IF(H113="Completed",11,VALUE(MID(H113,6,FIND(" ",H113,6)-6)))</f>
        <v/>
      </c>
      <c r="L113">
        <f>IF(G113="Processed",1,0)</f>
        <v/>
      </c>
      <c r="M113">
        <f>IF(F113="Study flow 1","Narrative first","Visual first")</f>
        <v/>
      </c>
      <c r="N113">
        <f>IF(D113="","",VALUE(LEFT(D113,FIND(",",D113)-1)))</f>
        <v/>
      </c>
      <c r="O113">
        <f>IF(D113="","",VALUE(SUBSTITUTE(MID(D113,FIND(",",D113)+2,10),"%","")))</f>
        <v/>
      </c>
    </row>
    <row r="114">
      <c r="A114" t="inlineStr">
        <is>
          <t>RESP0113</t>
        </is>
      </c>
      <c r="B114" s="4" t="n">
        <v>46451.79723379629</v>
      </c>
      <c r="C114" s="4" t="n">
        <v>46451.80325231481</v>
      </c>
      <c r="D114" t="inlineStr">
        <is>
          <t>2.3, 95%</t>
        </is>
      </c>
      <c r="E114" t="n">
        <v>98</v>
      </c>
      <c r="F114" t="inlineStr">
        <is>
          <t>Study flow 1</t>
        </is>
      </c>
      <c r="G114" t="inlineStr">
        <is>
          <t>Processed</t>
        </is>
      </c>
      <c r="H114" t="inlineStr">
        <is>
          <t>Completed</t>
        </is>
      </c>
      <c r="I114" t="inlineStr">
        <is>
          <t>Laptop</t>
        </is>
      </c>
      <c r="J114" t="inlineStr">
        <is>
          <t>Chrome</t>
        </is>
      </c>
      <c r="K114">
        <f>IF(H114="Completed",11,VALUE(MID(H114,6,FIND(" ",H114,6)-6)))</f>
        <v/>
      </c>
      <c r="L114">
        <f>IF(G114="Processed",1,0)</f>
        <v/>
      </c>
      <c r="M114">
        <f>IF(F114="Study flow 1","Narrative first","Visual first")</f>
        <v/>
      </c>
      <c r="N114">
        <f>IF(D114="","",VALUE(LEFT(D114,FIND(",",D114)-1)))</f>
        <v/>
      </c>
      <c r="O114">
        <f>IF(D114="","",VALUE(SUBSTITUTE(MID(D114,FIND(",",D114)+2,10),"%","")))</f>
        <v/>
      </c>
    </row>
    <row r="115">
      <c r="A115" t="inlineStr">
        <is>
          <t>RESP0114</t>
        </is>
      </c>
      <c r="B115" s="4" t="n">
        <v>46451.82690972222</v>
      </c>
      <c r="C115" s="4" t="n">
        <v>46451.83284722222</v>
      </c>
      <c r="D115" t="inlineStr">
        <is>
          <t>2.5, 96%</t>
        </is>
      </c>
      <c r="E115" t="n">
        <v>99</v>
      </c>
      <c r="F115" t="inlineStr">
        <is>
          <t>Study flow 1</t>
        </is>
      </c>
      <c r="G115" t="inlineStr">
        <is>
          <t>Processed</t>
        </is>
      </c>
      <c r="H115" t="inlineStr">
        <is>
          <t>Completed</t>
        </is>
      </c>
      <c r="I115" t="inlineStr">
        <is>
          <t>Laptop</t>
        </is>
      </c>
      <c r="J115" t="inlineStr">
        <is>
          <t>Safari</t>
        </is>
      </c>
      <c r="K115">
        <f>IF(H115="Completed",11,VALUE(MID(H115,6,FIND(" ",H115,6)-6)))</f>
        <v/>
      </c>
      <c r="L115">
        <f>IF(G115="Processed",1,0)</f>
        <v/>
      </c>
      <c r="M115">
        <f>IF(F115="Study flow 1","Narrative first","Visual first")</f>
        <v/>
      </c>
      <c r="N115">
        <f>IF(D115="","",VALUE(LEFT(D115,FIND(",",D115)-1)))</f>
        <v/>
      </c>
      <c r="O115">
        <f>IF(D115="","",VALUE(SUBSTITUTE(MID(D115,FIND(",",D115)+2,10),"%","")))</f>
        <v/>
      </c>
    </row>
    <row r="116">
      <c r="A116" t="inlineStr">
        <is>
          <t>RESP0115</t>
        </is>
      </c>
      <c r="B116" s="4" t="n">
        <v>46451.82782407408</v>
      </c>
      <c r="C116" s="4" t="n">
        <v>46451.83446759259</v>
      </c>
      <c r="D116" t="inlineStr">
        <is>
          <t>2.6, 97%</t>
        </is>
      </c>
      <c r="E116" t="n">
        <v>99</v>
      </c>
      <c r="F116" t="inlineStr">
        <is>
          <t>Study flow 1</t>
        </is>
      </c>
      <c r="G116" t="inlineStr">
        <is>
          <t>Processed</t>
        </is>
      </c>
      <c r="H116" t="inlineStr">
        <is>
          <t>Completed</t>
        </is>
      </c>
      <c r="I116" t="inlineStr">
        <is>
          <t>Laptop</t>
        </is>
      </c>
      <c r="J116" t="inlineStr">
        <is>
          <t>Chrome</t>
        </is>
      </c>
      <c r="K116">
        <f>IF(H116="Completed",11,VALUE(MID(H116,6,FIND(" ",H116,6)-6)))</f>
        <v/>
      </c>
      <c r="L116">
        <f>IF(G116="Processed",1,0)</f>
        <v/>
      </c>
      <c r="M116">
        <f>IF(F116="Study flow 1","Narrative first","Visual first")</f>
        <v/>
      </c>
      <c r="N116">
        <f>IF(D116="","",VALUE(LEFT(D116,FIND(",",D116)-1)))</f>
        <v/>
      </c>
      <c r="O116">
        <f>IF(D116="","",VALUE(SUBSTITUTE(MID(D116,FIND(",",D116)+2,10),"%","")))</f>
        <v/>
      </c>
    </row>
    <row r="117">
      <c r="A117" t="inlineStr">
        <is>
          <t>RESP0116</t>
        </is>
      </c>
      <c r="B117" s="4" t="n">
        <v>46451.83185185185</v>
      </c>
      <c r="C117" s="4" t="n"/>
      <c r="F117" t="inlineStr">
        <is>
          <t>Study flow 1</t>
        </is>
      </c>
      <c r="G117" t="inlineStr">
        <is>
          <t>Abandoned</t>
        </is>
      </c>
      <c r="H117" t="inlineStr">
        <is>
          <t>STEP 4 Respondent camera setup</t>
        </is>
      </c>
      <c r="I117" t="inlineStr">
        <is>
          <t>Laptop</t>
        </is>
      </c>
      <c r="J117" t="inlineStr">
        <is>
          <t>Chrome</t>
        </is>
      </c>
      <c r="K117">
        <f>IF(H117="Completed",11,VALUE(MID(H117,6,FIND(" ",H117,6)-6)))</f>
        <v/>
      </c>
      <c r="L117">
        <f>IF(G117="Processed",1,0)</f>
        <v/>
      </c>
      <c r="M117">
        <f>IF(F117="Study flow 1","Narrative first","Visual first")</f>
        <v/>
      </c>
      <c r="N117">
        <f>IF(D117="","",VALUE(LEFT(D117,FIND(",",D117)-1)))</f>
        <v/>
      </c>
      <c r="O117">
        <f>IF(D117="","",VALUE(SUBSTITUTE(MID(D117,FIND(",",D117)+2,10),"%","")))</f>
        <v/>
      </c>
    </row>
    <row r="118">
      <c r="A118" t="inlineStr">
        <is>
          <t>RESP0117</t>
        </is>
      </c>
      <c r="B118" s="4" t="n">
        <v>46451.89631944444</v>
      </c>
      <c r="C118" s="4" t="n">
        <v>46451.90224537037</v>
      </c>
      <c r="D118" t="inlineStr">
        <is>
          <t>0.8, 97%</t>
        </is>
      </c>
      <c r="E118" t="n">
        <v>99</v>
      </c>
      <c r="F118" t="inlineStr">
        <is>
          <t>Study flow 2</t>
        </is>
      </c>
      <c r="G118" t="inlineStr">
        <is>
          <t>Processed</t>
        </is>
      </c>
      <c r="H118" t="inlineStr">
        <is>
          <t>Completed</t>
        </is>
      </c>
      <c r="I118" t="inlineStr">
        <is>
          <t>Desktop</t>
        </is>
      </c>
      <c r="J118" t="inlineStr">
        <is>
          <t>Firefox</t>
        </is>
      </c>
      <c r="K118">
        <f>IF(H118="Completed",11,VALUE(MID(H118,6,FIND(" ",H118,6)-6)))</f>
        <v/>
      </c>
      <c r="L118">
        <f>IF(G118="Processed",1,0)</f>
        <v/>
      </c>
      <c r="M118">
        <f>IF(F118="Study flow 1","Narrative first","Visual first")</f>
        <v/>
      </c>
      <c r="N118">
        <f>IF(D118="","",VALUE(LEFT(D118,FIND(",",D118)-1)))</f>
        <v/>
      </c>
      <c r="O118">
        <f>IF(D118="","",VALUE(SUBSTITUTE(MID(D118,FIND(",",D118)+2,10),"%","")))</f>
        <v/>
      </c>
    </row>
    <row r="119">
      <c r="A119" t="inlineStr">
        <is>
          <t>RESP0118</t>
        </is>
      </c>
      <c r="B119" s="4" t="n">
        <v>46451.90175925926</v>
      </c>
      <c r="C119" s="4" t="n">
        <v>46451.90766203704</v>
      </c>
      <c r="D119" t="inlineStr">
        <is>
          <t>1.4, 95%</t>
        </is>
      </c>
      <c r="E119" t="n">
        <v>99</v>
      </c>
      <c r="F119" t="inlineStr">
        <is>
          <t>Study flow 2</t>
        </is>
      </c>
      <c r="G119" t="inlineStr">
        <is>
          <t>Processed</t>
        </is>
      </c>
      <c r="H119" t="inlineStr">
        <is>
          <t>Completed</t>
        </is>
      </c>
      <c r="I119" t="inlineStr">
        <is>
          <t>Laptop</t>
        </is>
      </c>
      <c r="J119" t="inlineStr">
        <is>
          <t>Chrome</t>
        </is>
      </c>
      <c r="K119">
        <f>IF(H119="Completed",11,VALUE(MID(H119,6,FIND(" ",H119,6)-6)))</f>
        <v/>
      </c>
      <c r="L119">
        <f>IF(G119="Processed",1,0)</f>
        <v/>
      </c>
      <c r="M119">
        <f>IF(F119="Study flow 1","Narrative first","Visual first")</f>
        <v/>
      </c>
      <c r="N119">
        <f>IF(D119="","",VALUE(LEFT(D119,FIND(",",D119)-1)))</f>
        <v/>
      </c>
      <c r="O119">
        <f>IF(D119="","",VALUE(SUBSTITUTE(MID(D119,FIND(",",D119)+2,10),"%","")))</f>
        <v/>
      </c>
    </row>
    <row r="120">
      <c r="A120" t="inlineStr">
        <is>
          <t>RESP0119</t>
        </is>
      </c>
      <c r="B120" s="4" t="n">
        <v>46451.93293981482</v>
      </c>
      <c r="C120" s="4" t="n"/>
      <c r="F120" t="inlineStr">
        <is>
          <t>Study flow 2</t>
        </is>
      </c>
      <c r="G120" t="inlineStr">
        <is>
          <t>Abandoned</t>
        </is>
      </c>
      <c r="H120" t="inlineStr">
        <is>
          <t>STEP 7 Prepare positioning</t>
        </is>
      </c>
      <c r="I120" t="inlineStr">
        <is>
          <t>Desktop</t>
        </is>
      </c>
      <c r="J120" t="inlineStr">
        <is>
          <t>Chrome</t>
        </is>
      </c>
      <c r="K120">
        <f>IF(H120="Completed",11,VALUE(MID(H120,6,FIND(" ",H120,6)-6)))</f>
        <v/>
      </c>
      <c r="L120">
        <f>IF(G120="Processed",1,0)</f>
        <v/>
      </c>
      <c r="M120">
        <f>IF(F120="Study flow 1","Narrative first","Visual first")</f>
        <v/>
      </c>
      <c r="N120">
        <f>IF(D120="","",VALUE(LEFT(D120,FIND(",",D120)-1)))</f>
        <v/>
      </c>
      <c r="O120">
        <f>IF(D120="","",VALUE(SUBSTITUTE(MID(D120,FIND(",",D120)+2,10),"%","")))</f>
        <v/>
      </c>
    </row>
    <row r="121">
      <c r="A121" t="inlineStr">
        <is>
          <t>RESP0120</t>
        </is>
      </c>
      <c r="B121" s="4" t="n">
        <v>46451.93373842593</v>
      </c>
      <c r="C121" s="4" t="n">
        <v>46451.93931712963</v>
      </c>
      <c r="D121" t="inlineStr">
        <is>
          <t>2.5, 93%</t>
        </is>
      </c>
      <c r="E121" t="n">
        <v>91</v>
      </c>
      <c r="F121" t="inlineStr">
        <is>
          <t>Study flow 2</t>
        </is>
      </c>
      <c r="G121" t="inlineStr">
        <is>
          <t>Processed</t>
        </is>
      </c>
      <c r="H121" t="inlineStr">
        <is>
          <t>Completed</t>
        </is>
      </c>
      <c r="I121" t="inlineStr">
        <is>
          <t>Laptop</t>
        </is>
      </c>
      <c r="J121" t="inlineStr">
        <is>
          <t>Chrome</t>
        </is>
      </c>
      <c r="K121">
        <f>IF(H121="Completed",11,VALUE(MID(H121,6,FIND(" ",H121,6)-6)))</f>
        <v/>
      </c>
      <c r="L121">
        <f>IF(G121="Processed",1,0)</f>
        <v/>
      </c>
      <c r="M121">
        <f>IF(F121="Study flow 1","Narrative first","Visual first")</f>
        <v/>
      </c>
      <c r="N121">
        <f>IF(D121="","",VALUE(LEFT(D121,FIND(",",D121)-1)))</f>
        <v/>
      </c>
      <c r="O121">
        <f>IF(D121="","",VALUE(SUBSTITUTE(MID(D121,FIND(",",D121)+2,10),"%","")))</f>
        <v/>
      </c>
    </row>
    <row r="122">
      <c r="A122" t="inlineStr">
        <is>
          <t>RESP0121</t>
        </is>
      </c>
      <c r="B122" s="4" t="n">
        <v>46454.37864583333</v>
      </c>
      <c r="C122" s="4" t="n"/>
      <c r="F122" t="inlineStr">
        <is>
          <t>Study flow 1</t>
        </is>
      </c>
      <c r="G122" t="inlineStr">
        <is>
          <t>Abandoned</t>
        </is>
      </c>
      <c r="H122" t="inlineStr">
        <is>
          <t>STEP 4 Respondent camera setup</t>
        </is>
      </c>
      <c r="I122" t="inlineStr">
        <is>
          <t>Laptop</t>
        </is>
      </c>
      <c r="J122" t="inlineStr">
        <is>
          <t>Chrome</t>
        </is>
      </c>
      <c r="K122">
        <f>IF(H122="Completed",11,VALUE(MID(H122,6,FIND(" ",H122,6)-6)))</f>
        <v/>
      </c>
      <c r="L122">
        <f>IF(G122="Processed",1,0)</f>
        <v/>
      </c>
      <c r="M122">
        <f>IF(F122="Study flow 1","Narrative first","Visual first")</f>
        <v/>
      </c>
      <c r="N122">
        <f>IF(D122="","",VALUE(LEFT(D122,FIND(",",D122)-1)))</f>
        <v/>
      </c>
      <c r="O122">
        <f>IF(D122="","",VALUE(SUBSTITUTE(MID(D122,FIND(",",D122)+2,10),"%","")))</f>
        <v/>
      </c>
    </row>
    <row r="123">
      <c r="A123" t="inlineStr">
        <is>
          <t>RESP0122</t>
        </is>
      </c>
      <c r="B123" s="4" t="n">
        <v>46454.42231481482</v>
      </c>
      <c r="C123" s="4" t="n">
        <v>46454.42877314815</v>
      </c>
      <c r="D123" t="inlineStr">
        <is>
          <t>2.0, 98%</t>
        </is>
      </c>
      <c r="E123" t="n">
        <v>98</v>
      </c>
      <c r="F123" t="inlineStr">
        <is>
          <t>Study flow 1</t>
        </is>
      </c>
      <c r="G123" t="inlineStr">
        <is>
          <t>Processed</t>
        </is>
      </c>
      <c r="H123" t="inlineStr">
        <is>
          <t>Completed</t>
        </is>
      </c>
      <c r="I123" t="inlineStr">
        <is>
          <t>Laptop</t>
        </is>
      </c>
      <c r="J123" t="inlineStr">
        <is>
          <t>Chrome</t>
        </is>
      </c>
      <c r="K123">
        <f>IF(H123="Completed",11,VALUE(MID(H123,6,FIND(" ",H123,6)-6)))</f>
        <v/>
      </c>
      <c r="L123">
        <f>IF(G123="Processed",1,0)</f>
        <v/>
      </c>
      <c r="M123">
        <f>IF(F123="Study flow 1","Narrative first","Visual first")</f>
        <v/>
      </c>
      <c r="N123">
        <f>IF(D123="","",VALUE(LEFT(D123,FIND(",",D123)-1)))</f>
        <v/>
      </c>
      <c r="O123">
        <f>IF(D123="","",VALUE(SUBSTITUTE(MID(D123,FIND(",",D123)+2,10),"%","")))</f>
        <v/>
      </c>
    </row>
    <row r="124">
      <c r="A124" t="inlineStr">
        <is>
          <t>RESP0123</t>
        </is>
      </c>
      <c r="B124" s="4" t="n">
        <v>46454.43935185186</v>
      </c>
      <c r="C124" s="4" t="n">
        <v>46454.44618055555</v>
      </c>
      <c r="D124" t="inlineStr">
        <is>
          <t>0.8, 95%</t>
        </is>
      </c>
      <c r="E124" t="n">
        <v>97</v>
      </c>
      <c r="F124" t="inlineStr">
        <is>
          <t>Study flow 2</t>
        </is>
      </c>
      <c r="G124" t="inlineStr">
        <is>
          <t>Processed</t>
        </is>
      </c>
      <c r="H124" t="inlineStr">
        <is>
          <t>Completed</t>
        </is>
      </c>
      <c r="I124" t="inlineStr">
        <is>
          <t>Laptop</t>
        </is>
      </c>
      <c r="J124" t="inlineStr">
        <is>
          <t>Chrome</t>
        </is>
      </c>
      <c r="K124">
        <f>IF(H124="Completed",11,VALUE(MID(H124,6,FIND(" ",H124,6)-6)))</f>
        <v/>
      </c>
      <c r="L124">
        <f>IF(G124="Processed",1,0)</f>
        <v/>
      </c>
      <c r="M124">
        <f>IF(F124="Study flow 1","Narrative first","Visual first")</f>
        <v/>
      </c>
      <c r="N124">
        <f>IF(D124="","",VALUE(LEFT(D124,FIND(",",D124)-1)))</f>
        <v/>
      </c>
      <c r="O124">
        <f>IF(D124="","",VALUE(SUBSTITUTE(MID(D124,FIND(",",D124)+2,10),"%","")))</f>
        <v/>
      </c>
    </row>
    <row r="125">
      <c r="A125" t="inlineStr">
        <is>
          <t>RESP0124</t>
        </is>
      </c>
      <c r="B125" s="4" t="n">
        <v>46454.52424768519</v>
      </c>
      <c r="C125" s="4" t="n">
        <v>46454.53009259259</v>
      </c>
      <c r="D125" t="inlineStr">
        <is>
          <t>2.4, 95%</t>
        </is>
      </c>
      <c r="E125" t="n">
        <v>93</v>
      </c>
      <c r="F125" t="inlineStr">
        <is>
          <t>Study flow 1</t>
        </is>
      </c>
      <c r="G125" t="inlineStr">
        <is>
          <t>Processed</t>
        </is>
      </c>
      <c r="H125" t="inlineStr">
        <is>
          <t>Completed</t>
        </is>
      </c>
      <c r="I125" t="inlineStr">
        <is>
          <t>Laptop</t>
        </is>
      </c>
      <c r="J125" t="inlineStr">
        <is>
          <t>Edge</t>
        </is>
      </c>
      <c r="K125">
        <f>IF(H125="Completed",11,VALUE(MID(H125,6,FIND(" ",H125,6)-6)))</f>
        <v/>
      </c>
      <c r="L125">
        <f>IF(G125="Processed",1,0)</f>
        <v/>
      </c>
      <c r="M125">
        <f>IF(F125="Study flow 1","Narrative first","Visual first")</f>
        <v/>
      </c>
      <c r="N125">
        <f>IF(D125="","",VALUE(LEFT(D125,FIND(",",D125)-1)))</f>
        <v/>
      </c>
      <c r="O125">
        <f>IF(D125="","",VALUE(SUBSTITUTE(MID(D125,FIND(",",D125)+2,10),"%","")))</f>
        <v/>
      </c>
    </row>
    <row r="126">
      <c r="A126" t="inlineStr">
        <is>
          <t>RESP0125</t>
        </is>
      </c>
      <c r="B126" s="4" t="n">
        <v>46454.54377314815</v>
      </c>
      <c r="C126" s="4" t="n">
        <v>46454.54988425926</v>
      </c>
      <c r="D126" t="inlineStr">
        <is>
          <t>2.0, 95%</t>
        </is>
      </c>
      <c r="E126" t="n">
        <v>98</v>
      </c>
      <c r="F126" t="inlineStr">
        <is>
          <t>Study flow 2</t>
        </is>
      </c>
      <c r="G126" t="inlineStr">
        <is>
          <t>Processed</t>
        </is>
      </c>
      <c r="H126" t="inlineStr">
        <is>
          <t>Completed</t>
        </is>
      </c>
      <c r="I126" t="inlineStr">
        <is>
          <t>Desktop</t>
        </is>
      </c>
      <c r="J126" t="inlineStr">
        <is>
          <t>Chrome</t>
        </is>
      </c>
      <c r="K126">
        <f>IF(H126="Completed",11,VALUE(MID(H126,6,FIND(" ",H126,6)-6)))</f>
        <v/>
      </c>
      <c r="L126">
        <f>IF(G126="Processed",1,0)</f>
        <v/>
      </c>
      <c r="M126">
        <f>IF(F126="Study flow 1","Narrative first","Visual first")</f>
        <v/>
      </c>
      <c r="N126">
        <f>IF(D126="","",VALUE(LEFT(D126,FIND(",",D126)-1)))</f>
        <v/>
      </c>
      <c r="O126">
        <f>IF(D126="","",VALUE(SUBSTITUTE(MID(D126,FIND(",",D126)+2,10),"%","")))</f>
        <v/>
      </c>
    </row>
    <row r="127">
      <c r="A127" t="inlineStr">
        <is>
          <t>RESP0126</t>
        </is>
      </c>
      <c r="B127" s="4" t="n">
        <v>46454.61104166666</v>
      </c>
      <c r="C127" s="4" t="n"/>
      <c r="F127" t="inlineStr">
        <is>
          <t>Study flow 2</t>
        </is>
      </c>
      <c r="G127" t="inlineStr">
        <is>
          <t>Abandoned</t>
        </is>
      </c>
      <c r="H127" t="inlineStr">
        <is>
          <t>STEP 5 Screen size</t>
        </is>
      </c>
      <c r="I127" t="inlineStr">
        <is>
          <t>Phone</t>
        </is>
      </c>
      <c r="J127" t="inlineStr">
        <is>
          <t>Safari</t>
        </is>
      </c>
      <c r="K127">
        <f>IF(H127="Completed",11,VALUE(MID(H127,6,FIND(" ",H127,6)-6)))</f>
        <v/>
      </c>
      <c r="L127">
        <f>IF(G127="Processed",1,0)</f>
        <v/>
      </c>
      <c r="M127">
        <f>IF(F127="Study flow 1","Narrative first","Visual first")</f>
        <v/>
      </c>
      <c r="N127">
        <f>IF(D127="","",VALUE(LEFT(D127,FIND(",",D127)-1)))</f>
        <v/>
      </c>
      <c r="O127">
        <f>IF(D127="","",VALUE(SUBSTITUTE(MID(D127,FIND(",",D127)+2,10),"%","")))</f>
        <v/>
      </c>
    </row>
    <row r="128">
      <c r="A128" t="inlineStr">
        <is>
          <t>RESP0127</t>
        </is>
      </c>
      <c r="B128" s="4" t="n">
        <v>46454.62484953704</v>
      </c>
      <c r="C128" s="4" t="n"/>
      <c r="F128" t="inlineStr">
        <is>
          <t>Study flow 2</t>
        </is>
      </c>
      <c r="G128" t="inlineStr">
        <is>
          <t>Abandoned</t>
        </is>
      </c>
      <c r="H128" t="inlineStr">
        <is>
          <t>STEP 5 Screen size</t>
        </is>
      </c>
      <c r="I128" t="inlineStr">
        <is>
          <t>Phone</t>
        </is>
      </c>
      <c r="J128" t="inlineStr">
        <is>
          <t>Safari</t>
        </is>
      </c>
      <c r="K128">
        <f>IF(H128="Completed",11,VALUE(MID(H128,6,FIND(" ",H128,6)-6)))</f>
        <v/>
      </c>
      <c r="L128">
        <f>IF(G128="Processed",1,0)</f>
        <v/>
      </c>
      <c r="M128">
        <f>IF(F128="Study flow 1","Narrative first","Visual first")</f>
        <v/>
      </c>
      <c r="N128">
        <f>IF(D128="","",VALUE(LEFT(D128,FIND(",",D128)-1)))</f>
        <v/>
      </c>
      <c r="O128">
        <f>IF(D128="","",VALUE(SUBSTITUTE(MID(D128,FIND(",",D128)+2,10),"%","")))</f>
        <v/>
      </c>
    </row>
    <row r="129">
      <c r="A129" t="inlineStr">
        <is>
          <t>RESP0128</t>
        </is>
      </c>
      <c r="B129" s="4" t="n">
        <v>46454.63016203704</v>
      </c>
      <c r="C129" s="4" t="n"/>
      <c r="F129" t="inlineStr">
        <is>
          <t>Study flow 1</t>
        </is>
      </c>
      <c r="G129" t="inlineStr">
        <is>
          <t>Abandoned</t>
        </is>
      </c>
      <c r="H129" t="inlineStr">
        <is>
          <t>STEP 5 Screen size</t>
        </is>
      </c>
      <c r="I129" t="inlineStr">
        <is>
          <t>Phone</t>
        </is>
      </c>
      <c r="J129" t="inlineStr">
        <is>
          <t>Safari</t>
        </is>
      </c>
      <c r="K129">
        <f>IF(H129="Completed",11,VALUE(MID(H129,6,FIND(" ",H129,6)-6)))</f>
        <v/>
      </c>
      <c r="L129">
        <f>IF(G129="Processed",1,0)</f>
        <v/>
      </c>
      <c r="M129">
        <f>IF(F129="Study flow 1","Narrative first","Visual first")</f>
        <v/>
      </c>
      <c r="N129">
        <f>IF(D129="","",VALUE(LEFT(D129,FIND(",",D129)-1)))</f>
        <v/>
      </c>
      <c r="O129">
        <f>IF(D129="","",VALUE(SUBSTITUTE(MID(D129,FIND(",",D129)+2,10),"%","")))</f>
        <v/>
      </c>
    </row>
    <row r="130">
      <c r="A130" t="inlineStr">
        <is>
          <t>RESP0129</t>
        </is>
      </c>
      <c r="B130" s="4" t="n">
        <v>46454.72498842593</v>
      </c>
      <c r="C130" s="4" t="n">
        <v>46454.73175925926</v>
      </c>
      <c r="D130" t="inlineStr">
        <is>
          <t>2.0, 96%</t>
        </is>
      </c>
      <c r="E130" t="n">
        <v>99</v>
      </c>
      <c r="F130" t="inlineStr">
        <is>
          <t>Study flow 2</t>
        </is>
      </c>
      <c r="G130" t="inlineStr">
        <is>
          <t>Processed</t>
        </is>
      </c>
      <c r="H130" t="inlineStr">
        <is>
          <t>Completed</t>
        </is>
      </c>
      <c r="I130" t="inlineStr">
        <is>
          <t>Desktop</t>
        </is>
      </c>
      <c r="J130" t="inlineStr">
        <is>
          <t>Edge</t>
        </is>
      </c>
      <c r="K130">
        <f>IF(H130="Completed",11,VALUE(MID(H130,6,FIND(" ",H130,6)-6)))</f>
        <v/>
      </c>
      <c r="L130">
        <f>IF(G130="Processed",1,0)</f>
        <v/>
      </c>
      <c r="M130">
        <f>IF(F130="Study flow 1","Narrative first","Visual first")</f>
        <v/>
      </c>
      <c r="N130">
        <f>IF(D130="","",VALUE(LEFT(D130,FIND(",",D130)-1)))</f>
        <v/>
      </c>
      <c r="O130">
        <f>IF(D130="","",VALUE(SUBSTITUTE(MID(D130,FIND(",",D130)+2,10),"%","")))</f>
        <v/>
      </c>
    </row>
    <row r="131">
      <c r="A131" t="inlineStr">
        <is>
          <t>RESP0130</t>
        </is>
      </c>
      <c r="B131" s="4" t="n">
        <v>46454.73258101852</v>
      </c>
      <c r="C131" s="4" t="n">
        <v>46454.7384837963</v>
      </c>
      <c r="D131" t="inlineStr">
        <is>
          <t>3.1, 87%</t>
        </is>
      </c>
      <c r="E131" t="n">
        <v>74</v>
      </c>
      <c r="F131" t="inlineStr">
        <is>
          <t>Study flow 1</t>
        </is>
      </c>
      <c r="G131" t="inlineStr">
        <is>
          <t>Processed</t>
        </is>
      </c>
      <c r="H131" t="inlineStr">
        <is>
          <t>Completed</t>
        </is>
      </c>
      <c r="I131" t="inlineStr">
        <is>
          <t>Laptop</t>
        </is>
      </c>
      <c r="J131" t="inlineStr">
        <is>
          <t>Chrome</t>
        </is>
      </c>
      <c r="K131">
        <f>IF(H131="Completed",11,VALUE(MID(H131,6,FIND(" ",H131,6)-6)))</f>
        <v/>
      </c>
      <c r="L131">
        <f>IF(G131="Processed",1,0)</f>
        <v/>
      </c>
      <c r="M131">
        <f>IF(F131="Study flow 1","Narrative first","Visual first")</f>
        <v/>
      </c>
      <c r="N131">
        <f>IF(D131="","",VALUE(LEFT(D131,FIND(",",D131)-1)))</f>
        <v/>
      </c>
      <c r="O131">
        <f>IF(D131="","",VALUE(SUBSTITUTE(MID(D131,FIND(",",D131)+2,10),"%","")))</f>
        <v/>
      </c>
    </row>
    <row r="132">
      <c r="A132" t="inlineStr">
        <is>
          <t>RESP0131</t>
        </is>
      </c>
      <c r="B132" s="4" t="n">
        <v>46454.74038194444</v>
      </c>
      <c r="C132" s="4" t="n">
        <v>46454.74648148148</v>
      </c>
      <c r="D132" t="inlineStr">
        <is>
          <t>1.1, 99%</t>
        </is>
      </c>
      <c r="E132" t="n">
        <v>94</v>
      </c>
      <c r="F132" t="inlineStr">
        <is>
          <t>Study flow 2</t>
        </is>
      </c>
      <c r="G132" t="inlineStr">
        <is>
          <t>Processed</t>
        </is>
      </c>
      <c r="H132" t="inlineStr">
        <is>
          <t>Completed</t>
        </is>
      </c>
      <c r="I132" t="inlineStr">
        <is>
          <t>Laptop</t>
        </is>
      </c>
      <c r="J132" t="inlineStr">
        <is>
          <t>Chrome</t>
        </is>
      </c>
      <c r="K132">
        <f>IF(H132="Completed",11,VALUE(MID(H132,6,FIND(" ",H132,6)-6)))</f>
        <v/>
      </c>
      <c r="L132">
        <f>IF(G132="Processed",1,0)</f>
        <v/>
      </c>
      <c r="M132">
        <f>IF(F132="Study flow 1","Narrative first","Visual first")</f>
        <v/>
      </c>
      <c r="N132">
        <f>IF(D132="","",VALUE(LEFT(D132,FIND(",",D132)-1)))</f>
        <v/>
      </c>
      <c r="O132">
        <f>IF(D132="","",VALUE(SUBSTITUTE(MID(D132,FIND(",",D132)+2,10),"%","")))</f>
        <v/>
      </c>
    </row>
    <row r="133">
      <c r="A133" t="inlineStr">
        <is>
          <t>RESP0132</t>
        </is>
      </c>
      <c r="B133" s="4" t="n">
        <v>46454.75112268519</v>
      </c>
      <c r="C133" s="4" t="n"/>
      <c r="F133" t="inlineStr">
        <is>
          <t>Study flow 1</t>
        </is>
      </c>
      <c r="G133" t="inlineStr">
        <is>
          <t>Abandoned</t>
        </is>
      </c>
      <c r="H133" t="inlineStr">
        <is>
          <t>STEP 5 Screen size</t>
        </is>
      </c>
      <c r="I133" t="inlineStr">
        <is>
          <t>Tablet</t>
        </is>
      </c>
      <c r="J133" t="inlineStr">
        <is>
          <t>Safari</t>
        </is>
      </c>
      <c r="K133">
        <f>IF(H133="Completed",11,VALUE(MID(H133,6,FIND(" ",H133,6)-6)))</f>
        <v/>
      </c>
      <c r="L133">
        <f>IF(G133="Processed",1,0)</f>
        <v/>
      </c>
      <c r="M133">
        <f>IF(F133="Study flow 1","Narrative first","Visual first")</f>
        <v/>
      </c>
      <c r="N133">
        <f>IF(D133="","",VALUE(LEFT(D133,FIND(",",D133)-1)))</f>
        <v/>
      </c>
      <c r="O133">
        <f>IF(D133="","",VALUE(SUBSTITUTE(MID(D133,FIND(",",D133)+2,10),"%","")))</f>
        <v/>
      </c>
    </row>
    <row r="134">
      <c r="A134" t="inlineStr">
        <is>
          <t>RESP0133</t>
        </is>
      </c>
      <c r="B134" s="4" t="n">
        <v>46454.83238425926</v>
      </c>
      <c r="C134" s="4" t="n">
        <v>46454.838125</v>
      </c>
      <c r="D134" t="inlineStr">
        <is>
          <t>1.2, 97%</t>
        </is>
      </c>
      <c r="E134" t="n">
        <v>95</v>
      </c>
      <c r="F134" t="inlineStr">
        <is>
          <t>Study flow 2</t>
        </is>
      </c>
      <c r="G134" t="inlineStr">
        <is>
          <t>Processed</t>
        </is>
      </c>
      <c r="H134" t="inlineStr">
        <is>
          <t>Completed</t>
        </is>
      </c>
      <c r="I134" t="inlineStr">
        <is>
          <t>Laptop</t>
        </is>
      </c>
      <c r="J134" t="inlineStr">
        <is>
          <t>Chrome</t>
        </is>
      </c>
      <c r="K134">
        <f>IF(H134="Completed",11,VALUE(MID(H134,6,FIND(" ",H134,6)-6)))</f>
        <v/>
      </c>
      <c r="L134">
        <f>IF(G134="Processed",1,0)</f>
        <v/>
      </c>
      <c r="M134">
        <f>IF(F134="Study flow 1","Narrative first","Visual first")</f>
        <v/>
      </c>
      <c r="N134">
        <f>IF(D134="","",VALUE(LEFT(D134,FIND(",",D134)-1)))</f>
        <v/>
      </c>
      <c r="O134">
        <f>IF(D134="","",VALUE(SUBSTITUTE(MID(D134,FIND(",",D134)+2,10),"%","")))</f>
        <v/>
      </c>
    </row>
    <row r="135">
      <c r="A135" t="inlineStr">
        <is>
          <t>RESP0134</t>
        </is>
      </c>
      <c r="B135" s="4" t="n">
        <v>46454.84560185186</v>
      </c>
      <c r="C135" s="4" t="n">
        <v>46454.85148148148</v>
      </c>
      <c r="D135" t="inlineStr">
        <is>
          <t>4.2, 93%</t>
        </is>
      </c>
      <c r="E135" t="n">
        <v>96</v>
      </c>
      <c r="F135" t="inlineStr">
        <is>
          <t>Study flow 2</t>
        </is>
      </c>
      <c r="G135" t="inlineStr">
        <is>
          <t>Processed</t>
        </is>
      </c>
      <c r="H135" t="inlineStr">
        <is>
          <t>Completed</t>
        </is>
      </c>
      <c r="I135" t="inlineStr">
        <is>
          <t>Desktop</t>
        </is>
      </c>
      <c r="J135" t="inlineStr">
        <is>
          <t>Firefox</t>
        </is>
      </c>
      <c r="K135">
        <f>IF(H135="Completed",11,VALUE(MID(H135,6,FIND(" ",H135,6)-6)))</f>
        <v/>
      </c>
      <c r="L135">
        <f>IF(G135="Processed",1,0)</f>
        <v/>
      </c>
      <c r="M135">
        <f>IF(F135="Study flow 1","Narrative first","Visual first")</f>
        <v/>
      </c>
      <c r="N135">
        <f>IF(D135="","",VALUE(LEFT(D135,FIND(",",D135)-1)))</f>
        <v/>
      </c>
      <c r="O135">
        <f>IF(D135="","",VALUE(SUBSTITUTE(MID(D135,FIND(",",D135)+2,10),"%","")))</f>
        <v/>
      </c>
    </row>
    <row r="136">
      <c r="A136" t="inlineStr">
        <is>
          <t>RESP0135</t>
        </is>
      </c>
      <c r="B136" s="4" t="n">
        <v>46454.84791666667</v>
      </c>
      <c r="C136" s="4" t="n"/>
      <c r="F136" t="inlineStr">
        <is>
          <t>Study flow 1</t>
        </is>
      </c>
      <c r="G136" t="inlineStr">
        <is>
          <t>Abandoned</t>
        </is>
      </c>
      <c r="H136" t="inlineStr">
        <is>
          <t>STEP 5 Screen size</t>
        </is>
      </c>
      <c r="I136" t="inlineStr">
        <is>
          <t>Phone</t>
        </is>
      </c>
      <c r="J136" t="inlineStr">
        <is>
          <t>Chrome</t>
        </is>
      </c>
      <c r="K136">
        <f>IF(H136="Completed",11,VALUE(MID(H136,6,FIND(" ",H136,6)-6)))</f>
        <v/>
      </c>
      <c r="L136">
        <f>IF(G136="Processed",1,0)</f>
        <v/>
      </c>
      <c r="M136">
        <f>IF(F136="Study flow 1","Narrative first","Visual first")</f>
        <v/>
      </c>
      <c r="N136">
        <f>IF(D136="","",VALUE(LEFT(D136,FIND(",",D136)-1)))</f>
        <v/>
      </c>
      <c r="O136">
        <f>IF(D136="","",VALUE(SUBSTITUTE(MID(D136,FIND(",",D136)+2,10),"%","")))</f>
        <v/>
      </c>
    </row>
    <row r="137">
      <c r="A137" t="inlineStr">
        <is>
          <t>RESP0136</t>
        </is>
      </c>
      <c r="B137" s="4" t="n">
        <v>46454.8677662037</v>
      </c>
      <c r="C137" s="4" t="n"/>
      <c r="F137" t="inlineStr">
        <is>
          <t>Study flow 2</t>
        </is>
      </c>
      <c r="G137" t="inlineStr">
        <is>
          <t>Abandoned</t>
        </is>
      </c>
      <c r="H137" t="inlineStr">
        <is>
          <t>STEP 5 Screen size</t>
        </is>
      </c>
      <c r="I137" t="inlineStr">
        <is>
          <t>Phone</t>
        </is>
      </c>
      <c r="J137" t="inlineStr">
        <is>
          <t>Safari</t>
        </is>
      </c>
      <c r="K137">
        <f>IF(H137="Completed",11,VALUE(MID(H137,6,FIND(" ",H137,6)-6)))</f>
        <v/>
      </c>
      <c r="L137">
        <f>IF(G137="Processed",1,0)</f>
        <v/>
      </c>
      <c r="M137">
        <f>IF(F137="Study flow 1","Narrative first","Visual first")</f>
        <v/>
      </c>
      <c r="N137">
        <f>IF(D137="","",VALUE(LEFT(D137,FIND(",",D137)-1)))</f>
        <v/>
      </c>
      <c r="O137">
        <f>IF(D137="","",VALUE(SUBSTITUTE(MID(D137,FIND(",",D137)+2,10),"%","")))</f>
        <v/>
      </c>
    </row>
    <row r="138">
      <c r="A138" t="inlineStr">
        <is>
          <t>RESP0137</t>
        </is>
      </c>
      <c r="B138" s="4" t="n">
        <v>46454.89887731482</v>
      </c>
      <c r="C138" s="4" t="n">
        <v>46454.9059375</v>
      </c>
      <c r="D138" t="inlineStr">
        <is>
          <t>2.8, 94%</t>
        </is>
      </c>
      <c r="E138" t="n">
        <v>99</v>
      </c>
      <c r="F138" t="inlineStr">
        <is>
          <t>Study flow 2</t>
        </is>
      </c>
      <c r="G138" t="inlineStr">
        <is>
          <t>Processed</t>
        </is>
      </c>
      <c r="H138" t="inlineStr">
        <is>
          <t>Completed</t>
        </is>
      </c>
      <c r="I138" t="inlineStr">
        <is>
          <t>Laptop</t>
        </is>
      </c>
      <c r="J138" t="inlineStr">
        <is>
          <t>Safari</t>
        </is>
      </c>
      <c r="K138">
        <f>IF(H138="Completed",11,VALUE(MID(H138,6,FIND(" ",H138,6)-6)))</f>
        <v/>
      </c>
      <c r="L138">
        <f>IF(G138="Processed",1,0)</f>
        <v/>
      </c>
      <c r="M138">
        <f>IF(F138="Study flow 1","Narrative first","Visual first")</f>
        <v/>
      </c>
      <c r="N138">
        <f>IF(D138="","",VALUE(LEFT(D138,FIND(",",D138)-1)))</f>
        <v/>
      </c>
      <c r="O138">
        <f>IF(D138="","",VALUE(SUBSTITUTE(MID(D138,FIND(",",D138)+2,10),"%","")))</f>
        <v/>
      </c>
    </row>
    <row r="139">
      <c r="A139" t="inlineStr">
        <is>
          <t>RESP0138</t>
        </is>
      </c>
      <c r="B139" s="4" t="n">
        <v>46454.90212962963</v>
      </c>
      <c r="C139" s="4" t="n"/>
      <c r="F139" t="inlineStr">
        <is>
          <t>Study flow 2</t>
        </is>
      </c>
      <c r="G139" t="inlineStr">
        <is>
          <t>Abandoned</t>
        </is>
      </c>
      <c r="H139" t="inlineStr">
        <is>
          <t>STEP 2 Consent screen</t>
        </is>
      </c>
      <c r="I139" t="inlineStr">
        <is>
          <t>Laptop</t>
        </is>
      </c>
      <c r="J139" t="inlineStr">
        <is>
          <t>Edge</t>
        </is>
      </c>
      <c r="K139">
        <f>IF(H139="Completed",11,VALUE(MID(H139,6,FIND(" ",H139,6)-6)))</f>
        <v/>
      </c>
      <c r="L139">
        <f>IF(G139="Processed",1,0)</f>
        <v/>
      </c>
      <c r="M139">
        <f>IF(F139="Study flow 1","Narrative first","Visual first")</f>
        <v/>
      </c>
      <c r="N139">
        <f>IF(D139="","",VALUE(LEFT(D139,FIND(",",D139)-1)))</f>
        <v/>
      </c>
      <c r="O139">
        <f>IF(D139="","",VALUE(SUBSTITUTE(MID(D139,FIND(",",D139)+2,10),"%","")))</f>
        <v/>
      </c>
    </row>
    <row r="140">
      <c r="A140" t="inlineStr">
        <is>
          <t>RESP0139</t>
        </is>
      </c>
      <c r="B140" s="4" t="n">
        <v>46454.91077546297</v>
      </c>
      <c r="C140" s="4" t="n"/>
      <c r="F140" t="inlineStr">
        <is>
          <t>Study flow 2</t>
        </is>
      </c>
      <c r="G140" t="inlineStr">
        <is>
          <t>Abandoned</t>
        </is>
      </c>
      <c r="H140" t="inlineStr">
        <is>
          <t>STEP 5 Screen size</t>
        </is>
      </c>
      <c r="I140" t="inlineStr">
        <is>
          <t>Phone</t>
        </is>
      </c>
      <c r="J140" t="inlineStr">
        <is>
          <t>Chrome</t>
        </is>
      </c>
      <c r="K140">
        <f>IF(H140="Completed",11,VALUE(MID(H140,6,FIND(" ",H140,6)-6)))</f>
        <v/>
      </c>
      <c r="L140">
        <f>IF(G140="Processed",1,0)</f>
        <v/>
      </c>
      <c r="M140">
        <f>IF(F140="Study flow 1","Narrative first","Visual first")</f>
        <v/>
      </c>
      <c r="N140">
        <f>IF(D140="","",VALUE(LEFT(D140,FIND(",",D140)-1)))</f>
        <v/>
      </c>
      <c r="O140">
        <f>IF(D140="","",VALUE(SUBSTITUTE(MID(D140,FIND(",",D140)+2,10),"%","")))</f>
        <v/>
      </c>
    </row>
    <row r="141">
      <c r="A141" t="inlineStr">
        <is>
          <t>RESP0140</t>
        </is>
      </c>
      <c r="B141" s="4" t="n">
        <v>46454.94972222222</v>
      </c>
      <c r="C141" s="4" t="n">
        <v>46454.95547453704</v>
      </c>
      <c r="D141" t="inlineStr">
        <is>
          <t>2.5, 88%</t>
        </is>
      </c>
      <c r="E141" t="n">
        <v>86</v>
      </c>
      <c r="F141" t="inlineStr">
        <is>
          <t>Study flow 2</t>
        </is>
      </c>
      <c r="G141" t="inlineStr">
        <is>
          <t>Processed</t>
        </is>
      </c>
      <c r="H141" t="inlineStr">
        <is>
          <t>Completed</t>
        </is>
      </c>
      <c r="I141" t="inlineStr">
        <is>
          <t>Desktop</t>
        </is>
      </c>
      <c r="J141" t="inlineStr">
        <is>
          <t>Chrome</t>
        </is>
      </c>
      <c r="K141">
        <f>IF(H141="Completed",11,VALUE(MID(H141,6,FIND(" ",H141,6)-6)))</f>
        <v/>
      </c>
      <c r="L141">
        <f>IF(G141="Processed",1,0)</f>
        <v/>
      </c>
      <c r="M141">
        <f>IF(F141="Study flow 1","Narrative first","Visual first")</f>
        <v/>
      </c>
      <c r="N141">
        <f>IF(D141="","",VALUE(LEFT(D141,FIND(",",D141)-1)))</f>
        <v/>
      </c>
      <c r="O141">
        <f>IF(D141="","",VALUE(SUBSTITUTE(MID(D141,FIND(",",D141)+2,10),"%","")))</f>
        <v/>
      </c>
    </row>
    <row r="142">
      <c r="A142" t="inlineStr">
        <is>
          <t>RESP0141</t>
        </is>
      </c>
      <c r="B142" s="4" t="n">
        <v>46455.41506944445</v>
      </c>
      <c r="C142" s="4" t="n">
        <v>46455.42135416667</v>
      </c>
      <c r="D142" t="inlineStr">
        <is>
          <t>2.1, 95%</t>
        </is>
      </c>
      <c r="E142" t="n">
        <v>95</v>
      </c>
      <c r="F142" t="inlineStr">
        <is>
          <t>Study flow 1</t>
        </is>
      </c>
      <c r="G142" t="inlineStr">
        <is>
          <t>Processed</t>
        </is>
      </c>
      <c r="H142" t="inlineStr">
        <is>
          <t>Completed</t>
        </is>
      </c>
      <c r="I142" t="inlineStr">
        <is>
          <t>Laptop</t>
        </is>
      </c>
      <c r="J142" t="inlineStr">
        <is>
          <t>Edge</t>
        </is>
      </c>
      <c r="K142">
        <f>IF(H142="Completed",11,VALUE(MID(H142,6,FIND(" ",H142,6)-6)))</f>
        <v/>
      </c>
      <c r="L142">
        <f>IF(G142="Processed",1,0)</f>
        <v/>
      </c>
      <c r="M142">
        <f>IF(F142="Study flow 1","Narrative first","Visual first")</f>
        <v/>
      </c>
      <c r="N142">
        <f>IF(D142="","",VALUE(LEFT(D142,FIND(",",D142)-1)))</f>
        <v/>
      </c>
      <c r="O142">
        <f>IF(D142="","",VALUE(SUBSTITUTE(MID(D142,FIND(",",D142)+2,10),"%","")))</f>
        <v/>
      </c>
    </row>
    <row r="143">
      <c r="A143" t="inlineStr">
        <is>
          <t>RESP0142</t>
        </is>
      </c>
      <c r="B143" s="4" t="n">
        <v>46455.43516203704</v>
      </c>
      <c r="C143" s="4" t="n">
        <v>46455.44143518519</v>
      </c>
      <c r="D143" t="inlineStr">
        <is>
          <t>1.9, 98%</t>
        </is>
      </c>
      <c r="E143" t="n">
        <v>99</v>
      </c>
      <c r="F143" t="inlineStr">
        <is>
          <t>Study flow 2</t>
        </is>
      </c>
      <c r="G143" t="inlineStr">
        <is>
          <t>Processed</t>
        </is>
      </c>
      <c r="H143" t="inlineStr">
        <is>
          <t>Completed</t>
        </is>
      </c>
      <c r="I143" t="inlineStr">
        <is>
          <t>Laptop</t>
        </is>
      </c>
      <c r="J143" t="inlineStr">
        <is>
          <t>Chrome</t>
        </is>
      </c>
      <c r="K143">
        <f>IF(H143="Completed",11,VALUE(MID(H143,6,FIND(" ",H143,6)-6)))</f>
        <v/>
      </c>
      <c r="L143">
        <f>IF(G143="Processed",1,0)</f>
        <v/>
      </c>
      <c r="M143">
        <f>IF(F143="Study flow 1","Narrative first","Visual first")</f>
        <v/>
      </c>
      <c r="N143">
        <f>IF(D143="","",VALUE(LEFT(D143,FIND(",",D143)-1)))</f>
        <v/>
      </c>
      <c r="O143">
        <f>IF(D143="","",VALUE(SUBSTITUTE(MID(D143,FIND(",",D143)+2,10),"%","")))</f>
        <v/>
      </c>
    </row>
    <row r="144">
      <c r="A144" t="inlineStr">
        <is>
          <t>RESP0143</t>
        </is>
      </c>
      <c r="B144" s="4" t="n">
        <v>46455.45784722222</v>
      </c>
      <c r="C144" s="4" t="n">
        <v>46455.46373842593</v>
      </c>
      <c r="D144" t="inlineStr">
        <is>
          <t>1.8, 94%</t>
        </is>
      </c>
      <c r="E144" t="n">
        <v>93</v>
      </c>
      <c r="F144" t="inlineStr">
        <is>
          <t>Study flow 1</t>
        </is>
      </c>
      <c r="G144" t="inlineStr">
        <is>
          <t>Processed</t>
        </is>
      </c>
      <c r="H144" t="inlineStr">
        <is>
          <t>Completed</t>
        </is>
      </c>
      <c r="I144" t="inlineStr">
        <is>
          <t>Laptop</t>
        </is>
      </c>
      <c r="J144" t="inlineStr">
        <is>
          <t>Chrome</t>
        </is>
      </c>
      <c r="K144">
        <f>IF(H144="Completed",11,VALUE(MID(H144,6,FIND(" ",H144,6)-6)))</f>
        <v/>
      </c>
      <c r="L144">
        <f>IF(G144="Processed",1,0)</f>
        <v/>
      </c>
      <c r="M144">
        <f>IF(F144="Study flow 1","Narrative first","Visual first")</f>
        <v/>
      </c>
      <c r="N144">
        <f>IF(D144="","",VALUE(LEFT(D144,FIND(",",D144)-1)))</f>
        <v/>
      </c>
      <c r="O144">
        <f>IF(D144="","",VALUE(SUBSTITUTE(MID(D144,FIND(",",D144)+2,10),"%","")))</f>
        <v/>
      </c>
    </row>
    <row r="145">
      <c r="A145" t="inlineStr">
        <is>
          <t>RESP0144</t>
        </is>
      </c>
      <c r="B145" s="4" t="n">
        <v>46455.54363425926</v>
      </c>
      <c r="C145" s="4" t="n">
        <v>46455.55012731482</v>
      </c>
      <c r="D145" t="inlineStr">
        <is>
          <t>1.9, 97%</t>
        </is>
      </c>
      <c r="E145" t="n">
        <v>99</v>
      </c>
      <c r="F145" t="inlineStr">
        <is>
          <t>Study flow 2</t>
        </is>
      </c>
      <c r="G145" t="inlineStr">
        <is>
          <t>Processed</t>
        </is>
      </c>
      <c r="H145" t="inlineStr">
        <is>
          <t>Completed</t>
        </is>
      </c>
      <c r="I145" t="inlineStr">
        <is>
          <t>Desktop</t>
        </is>
      </c>
      <c r="J145" t="inlineStr">
        <is>
          <t>Safari</t>
        </is>
      </c>
      <c r="K145">
        <f>IF(H145="Completed",11,VALUE(MID(H145,6,FIND(" ",H145,6)-6)))</f>
        <v/>
      </c>
      <c r="L145">
        <f>IF(G145="Processed",1,0)</f>
        <v/>
      </c>
      <c r="M145">
        <f>IF(F145="Study flow 1","Narrative first","Visual first")</f>
        <v/>
      </c>
      <c r="N145">
        <f>IF(D145="","",VALUE(LEFT(D145,FIND(",",D145)-1)))</f>
        <v/>
      </c>
      <c r="O145">
        <f>IF(D145="","",VALUE(SUBSTITUTE(MID(D145,FIND(",",D145)+2,10),"%","")))</f>
        <v/>
      </c>
    </row>
    <row r="146">
      <c r="A146" t="inlineStr">
        <is>
          <t>RESP0145</t>
        </is>
      </c>
      <c r="B146" s="4" t="n">
        <v>46455.55811342593</v>
      </c>
      <c r="C146" s="4" t="n">
        <v>46455.5640625</v>
      </c>
      <c r="D146" t="inlineStr">
        <is>
          <t>1.8, 97%</t>
        </is>
      </c>
      <c r="E146" t="n">
        <v>100</v>
      </c>
      <c r="F146" t="inlineStr">
        <is>
          <t>Study flow 1</t>
        </is>
      </c>
      <c r="G146" t="inlineStr">
        <is>
          <t>Processed</t>
        </is>
      </c>
      <c r="H146" t="inlineStr">
        <is>
          <t>Completed</t>
        </is>
      </c>
      <c r="I146" t="inlineStr">
        <is>
          <t>Laptop</t>
        </is>
      </c>
      <c r="J146" t="inlineStr">
        <is>
          <t>Chrome</t>
        </is>
      </c>
      <c r="K146">
        <f>IF(H146="Completed",11,VALUE(MID(H146,6,FIND(" ",H146,6)-6)))</f>
        <v/>
      </c>
      <c r="L146">
        <f>IF(G146="Processed",1,0)</f>
        <v/>
      </c>
      <c r="M146">
        <f>IF(F146="Study flow 1","Narrative first","Visual first")</f>
        <v/>
      </c>
      <c r="N146">
        <f>IF(D146="","",VALUE(LEFT(D146,FIND(",",D146)-1)))</f>
        <v/>
      </c>
      <c r="O146">
        <f>IF(D146="","",VALUE(SUBSTITUTE(MID(D146,FIND(",",D146)+2,10),"%","")))</f>
        <v/>
      </c>
    </row>
    <row r="147">
      <c r="A147" t="inlineStr">
        <is>
          <t>RESP0146</t>
        </is>
      </c>
      <c r="B147" s="4" t="n">
        <v>46455.56677083333</v>
      </c>
      <c r="C147" s="4" t="n"/>
      <c r="F147" t="inlineStr">
        <is>
          <t>Study flow 2</t>
        </is>
      </c>
      <c r="G147" t="inlineStr">
        <is>
          <t>Abandoned</t>
        </is>
      </c>
      <c r="H147" t="inlineStr">
        <is>
          <t>STEP 4 Respondent camera setup</t>
        </is>
      </c>
      <c r="I147" t="inlineStr">
        <is>
          <t>Phone</t>
        </is>
      </c>
      <c r="J147" t="inlineStr">
        <is>
          <t>Chrome</t>
        </is>
      </c>
      <c r="K147">
        <f>IF(H147="Completed",11,VALUE(MID(H147,6,FIND(" ",H147,6)-6)))</f>
        <v/>
      </c>
      <c r="L147">
        <f>IF(G147="Processed",1,0)</f>
        <v/>
      </c>
      <c r="M147">
        <f>IF(F147="Study flow 1","Narrative first","Visual first")</f>
        <v/>
      </c>
      <c r="N147">
        <f>IF(D147="","",VALUE(LEFT(D147,FIND(",",D147)-1)))</f>
        <v/>
      </c>
      <c r="O147">
        <f>IF(D147="","",VALUE(SUBSTITUTE(MID(D147,FIND(",",D147)+2,10),"%","")))</f>
        <v/>
      </c>
    </row>
    <row r="148">
      <c r="A148" t="inlineStr">
        <is>
          <t>RESP0147</t>
        </is>
      </c>
      <c r="B148" s="4" t="n">
        <v>46455.56861111111</v>
      </c>
      <c r="C148" s="4" t="n">
        <v>46455.57434027778</v>
      </c>
      <c r="D148" t="inlineStr">
        <is>
          <t>3.2, 84%</t>
        </is>
      </c>
      <c r="E148" t="n">
        <v>79</v>
      </c>
      <c r="F148" t="inlineStr">
        <is>
          <t>Study flow 2</t>
        </is>
      </c>
      <c r="G148" t="inlineStr">
        <is>
          <t>Processed</t>
        </is>
      </c>
      <c r="H148" t="inlineStr">
        <is>
          <t>Completed</t>
        </is>
      </c>
      <c r="I148" t="inlineStr">
        <is>
          <t>Desktop</t>
        </is>
      </c>
      <c r="J148" t="inlineStr">
        <is>
          <t>Chrome</t>
        </is>
      </c>
      <c r="K148">
        <f>IF(H148="Completed",11,VALUE(MID(H148,6,FIND(" ",H148,6)-6)))</f>
        <v/>
      </c>
      <c r="L148">
        <f>IF(G148="Processed",1,0)</f>
        <v/>
      </c>
      <c r="M148">
        <f>IF(F148="Study flow 1","Narrative first","Visual first")</f>
        <v/>
      </c>
      <c r="N148">
        <f>IF(D148="","",VALUE(LEFT(D148,FIND(",",D148)-1)))</f>
        <v/>
      </c>
      <c r="O148">
        <f>IF(D148="","",VALUE(SUBSTITUTE(MID(D148,FIND(",",D148)+2,10),"%","")))</f>
        <v/>
      </c>
    </row>
    <row r="149">
      <c r="A149" t="inlineStr">
        <is>
          <t>RESP0148</t>
        </is>
      </c>
      <c r="B149" s="4" t="n">
        <v>46455.61715277778</v>
      </c>
      <c r="C149" s="4" t="n"/>
      <c r="F149" t="inlineStr">
        <is>
          <t>Study flow 1</t>
        </is>
      </c>
      <c r="G149" t="inlineStr">
        <is>
          <t>Abandoned</t>
        </is>
      </c>
      <c r="H149" t="inlineStr">
        <is>
          <t>STEP 2 Consent screen</t>
        </is>
      </c>
      <c r="I149" t="inlineStr">
        <is>
          <t>Laptop</t>
        </is>
      </c>
      <c r="J149" t="inlineStr">
        <is>
          <t>Chrome</t>
        </is>
      </c>
      <c r="K149">
        <f>IF(H149="Completed",11,VALUE(MID(H149,6,FIND(" ",H149,6)-6)))</f>
        <v/>
      </c>
      <c r="L149">
        <f>IF(G149="Processed",1,0)</f>
        <v/>
      </c>
      <c r="M149">
        <f>IF(F149="Study flow 1","Narrative first","Visual first")</f>
        <v/>
      </c>
      <c r="N149">
        <f>IF(D149="","",VALUE(LEFT(D149,FIND(",",D149)-1)))</f>
        <v/>
      </c>
      <c r="O149">
        <f>IF(D149="","",VALUE(SUBSTITUTE(MID(D149,FIND(",",D149)+2,10),"%","")))</f>
        <v/>
      </c>
    </row>
    <row r="150">
      <c r="A150" t="inlineStr">
        <is>
          <t>RESP0149</t>
        </is>
      </c>
      <c r="B150" s="4" t="n">
        <v>46455.70293981482</v>
      </c>
      <c r="C150" s="4" t="n">
        <v>46455.70900462963</v>
      </c>
      <c r="D150" t="inlineStr">
        <is>
          <t>1.8, 94%</t>
        </is>
      </c>
      <c r="E150" t="n">
        <v>93</v>
      </c>
      <c r="F150" t="inlineStr">
        <is>
          <t>Study flow 2</t>
        </is>
      </c>
      <c r="G150" t="inlineStr">
        <is>
          <t>Processed</t>
        </is>
      </c>
      <c r="H150" t="inlineStr">
        <is>
          <t>Completed</t>
        </is>
      </c>
      <c r="I150" t="inlineStr">
        <is>
          <t>Laptop</t>
        </is>
      </c>
      <c r="J150" t="inlineStr">
        <is>
          <t>Chrome</t>
        </is>
      </c>
      <c r="K150">
        <f>IF(H150="Completed",11,VALUE(MID(H150,6,FIND(" ",H150,6)-6)))</f>
        <v/>
      </c>
      <c r="L150">
        <f>IF(G150="Processed",1,0)</f>
        <v/>
      </c>
      <c r="M150">
        <f>IF(F150="Study flow 1","Narrative first","Visual first")</f>
        <v/>
      </c>
      <c r="N150">
        <f>IF(D150="","",VALUE(LEFT(D150,FIND(",",D150)-1)))</f>
        <v/>
      </c>
      <c r="O150">
        <f>IF(D150="","",VALUE(SUBSTITUTE(MID(D150,FIND(",",D150)+2,10),"%","")))</f>
        <v/>
      </c>
    </row>
    <row r="151">
      <c r="A151" t="inlineStr">
        <is>
          <t>RESP0150</t>
        </is>
      </c>
      <c r="B151" s="4" t="n">
        <v>46455.77097222222</v>
      </c>
      <c r="C151" s="4" t="n">
        <v>46455.77668981482</v>
      </c>
      <c r="D151" t="inlineStr">
        <is>
          <t>0.8, 97%</t>
        </is>
      </c>
      <c r="E151" t="n">
        <v>98</v>
      </c>
      <c r="F151" t="inlineStr">
        <is>
          <t>Study flow 1</t>
        </is>
      </c>
      <c r="G151" t="inlineStr">
        <is>
          <t>Processed</t>
        </is>
      </c>
      <c r="H151" t="inlineStr">
        <is>
          <t>Completed</t>
        </is>
      </c>
      <c r="I151" t="inlineStr">
        <is>
          <t>Laptop</t>
        </is>
      </c>
      <c r="J151" t="inlineStr">
        <is>
          <t>Chrome</t>
        </is>
      </c>
      <c r="K151">
        <f>IF(H151="Completed",11,VALUE(MID(H151,6,FIND(" ",H151,6)-6)))</f>
        <v/>
      </c>
      <c r="L151">
        <f>IF(G151="Processed",1,0)</f>
        <v/>
      </c>
      <c r="M151">
        <f>IF(F151="Study flow 1","Narrative first","Visual first")</f>
        <v/>
      </c>
      <c r="N151">
        <f>IF(D151="","",VALUE(LEFT(D151,FIND(",",D151)-1)))</f>
        <v/>
      </c>
      <c r="O151">
        <f>IF(D151="","",VALUE(SUBSTITUTE(MID(D151,FIND(",",D151)+2,10),"%","")))</f>
        <v/>
      </c>
    </row>
    <row r="152">
      <c r="A152" t="inlineStr">
        <is>
          <t>RESP0151</t>
        </is>
      </c>
      <c r="B152" s="4" t="n">
        <v>46455.77458333333</v>
      </c>
      <c r="C152" s="4" t="n">
        <v>46455.78090277778</v>
      </c>
      <c r="D152" t="inlineStr">
        <is>
          <t>1.1, 99%</t>
        </is>
      </c>
      <c r="E152" t="n">
        <v>100</v>
      </c>
      <c r="F152" t="inlineStr">
        <is>
          <t>Study flow 2</t>
        </is>
      </c>
      <c r="G152" t="inlineStr">
        <is>
          <t>Processed</t>
        </is>
      </c>
      <c r="H152" t="inlineStr">
        <is>
          <t>Completed</t>
        </is>
      </c>
      <c r="I152" t="inlineStr">
        <is>
          <t>Laptop</t>
        </is>
      </c>
      <c r="J152" t="inlineStr">
        <is>
          <t>Chrome</t>
        </is>
      </c>
      <c r="K152">
        <f>IF(H152="Completed",11,VALUE(MID(H152,6,FIND(" ",H152,6)-6)))</f>
        <v/>
      </c>
      <c r="L152">
        <f>IF(G152="Processed",1,0)</f>
        <v/>
      </c>
      <c r="M152">
        <f>IF(F152="Study flow 1","Narrative first","Visual first")</f>
        <v/>
      </c>
      <c r="N152">
        <f>IF(D152="","",VALUE(LEFT(D152,FIND(",",D152)-1)))</f>
        <v/>
      </c>
      <c r="O152">
        <f>IF(D152="","",VALUE(SUBSTITUTE(MID(D152,FIND(",",D152)+2,10),"%","")))</f>
        <v/>
      </c>
    </row>
    <row r="153">
      <c r="A153" t="inlineStr">
        <is>
          <t>RESP0152</t>
        </is>
      </c>
      <c r="B153" s="4" t="n">
        <v>46455.77537037037</v>
      </c>
      <c r="C153" s="4" t="n"/>
      <c r="F153" t="inlineStr">
        <is>
          <t>Study flow 1</t>
        </is>
      </c>
      <c r="G153" t="inlineStr">
        <is>
          <t>Abandoned</t>
        </is>
      </c>
      <c r="H153" t="inlineStr">
        <is>
          <t>STEP 5 Screen size</t>
        </is>
      </c>
      <c r="I153" t="inlineStr">
        <is>
          <t>Phone</t>
        </is>
      </c>
      <c r="J153" t="inlineStr">
        <is>
          <t>Safari</t>
        </is>
      </c>
      <c r="K153">
        <f>IF(H153="Completed",11,VALUE(MID(H153,6,FIND(" ",H153,6)-6)))</f>
        <v/>
      </c>
      <c r="L153">
        <f>IF(G153="Processed",1,0)</f>
        <v/>
      </c>
      <c r="M153">
        <f>IF(F153="Study flow 1","Narrative first","Visual first")</f>
        <v/>
      </c>
      <c r="N153">
        <f>IF(D153="","",VALUE(LEFT(D153,FIND(",",D153)-1)))</f>
        <v/>
      </c>
      <c r="O153">
        <f>IF(D153="","",VALUE(SUBSTITUTE(MID(D153,FIND(",",D153)+2,10),"%","")))</f>
        <v/>
      </c>
    </row>
    <row r="154">
      <c r="A154" t="inlineStr">
        <is>
          <t>RESP0153</t>
        </is>
      </c>
      <c r="B154" s="4" t="n">
        <v>46455.77847222222</v>
      </c>
      <c r="C154" s="4" t="n"/>
      <c r="F154" t="inlineStr">
        <is>
          <t>Study flow 1</t>
        </is>
      </c>
      <c r="G154" t="inlineStr">
        <is>
          <t>Abandoned</t>
        </is>
      </c>
      <c r="H154" t="inlineStr">
        <is>
          <t>STEP 4 Respondent camera setup</t>
        </is>
      </c>
      <c r="I154" t="inlineStr">
        <is>
          <t>Laptop</t>
        </is>
      </c>
      <c r="J154" t="inlineStr">
        <is>
          <t>Chrome</t>
        </is>
      </c>
      <c r="K154">
        <f>IF(H154="Completed",11,VALUE(MID(H154,6,FIND(" ",H154,6)-6)))</f>
        <v/>
      </c>
      <c r="L154">
        <f>IF(G154="Processed",1,0)</f>
        <v/>
      </c>
      <c r="M154">
        <f>IF(F154="Study flow 1","Narrative first","Visual first")</f>
        <v/>
      </c>
      <c r="N154">
        <f>IF(D154="","",VALUE(LEFT(D154,FIND(",",D154)-1)))</f>
        <v/>
      </c>
      <c r="O154">
        <f>IF(D154="","",VALUE(SUBSTITUTE(MID(D154,FIND(",",D154)+2,10),"%","")))</f>
        <v/>
      </c>
    </row>
    <row r="155">
      <c r="A155" t="inlineStr">
        <is>
          <t>RESP0154</t>
        </is>
      </c>
      <c r="B155" s="4" t="n">
        <v>46455.81057870371</v>
      </c>
      <c r="C155" s="4" t="n">
        <v>46455.8162962963</v>
      </c>
      <c r="D155" t="inlineStr">
        <is>
          <t>0.5, 99%</t>
        </is>
      </c>
      <c r="E155" t="n">
        <v>99</v>
      </c>
      <c r="F155" t="inlineStr">
        <is>
          <t>Study flow 1</t>
        </is>
      </c>
      <c r="G155" t="inlineStr">
        <is>
          <t>Processed</t>
        </is>
      </c>
      <c r="H155" t="inlineStr">
        <is>
          <t>Completed</t>
        </is>
      </c>
      <c r="I155" t="inlineStr">
        <is>
          <t>Laptop</t>
        </is>
      </c>
      <c r="J155" t="inlineStr">
        <is>
          <t>Safari</t>
        </is>
      </c>
      <c r="K155">
        <f>IF(H155="Completed",11,VALUE(MID(H155,6,FIND(" ",H155,6)-6)))</f>
        <v/>
      </c>
      <c r="L155">
        <f>IF(G155="Processed",1,0)</f>
        <v/>
      </c>
      <c r="M155">
        <f>IF(F155="Study flow 1","Narrative first","Visual first")</f>
        <v/>
      </c>
      <c r="N155">
        <f>IF(D155="","",VALUE(LEFT(D155,FIND(",",D155)-1)))</f>
        <v/>
      </c>
      <c r="O155">
        <f>IF(D155="","",VALUE(SUBSTITUTE(MID(D155,FIND(",",D155)+2,10),"%","")))</f>
        <v/>
      </c>
    </row>
    <row r="156">
      <c r="A156" t="inlineStr">
        <is>
          <t>RESP0155</t>
        </is>
      </c>
      <c r="B156" s="4" t="n">
        <v>46455.81079861111</v>
      </c>
      <c r="C156" s="4" t="n">
        <v>46455.81666666667</v>
      </c>
      <c r="D156" t="inlineStr">
        <is>
          <t>1.4, 98%</t>
        </is>
      </c>
      <c r="E156" t="n">
        <v>97</v>
      </c>
      <c r="F156" t="inlineStr">
        <is>
          <t>Study flow 1</t>
        </is>
      </c>
      <c r="G156" t="inlineStr">
        <is>
          <t>Processed</t>
        </is>
      </c>
      <c r="H156" t="inlineStr">
        <is>
          <t>Completed</t>
        </is>
      </c>
      <c r="I156" t="inlineStr">
        <is>
          <t>Desktop</t>
        </is>
      </c>
      <c r="J156" t="inlineStr">
        <is>
          <t>Chrome</t>
        </is>
      </c>
      <c r="K156">
        <f>IF(H156="Completed",11,VALUE(MID(H156,6,FIND(" ",H156,6)-6)))</f>
        <v/>
      </c>
      <c r="L156">
        <f>IF(G156="Processed",1,0)</f>
        <v/>
      </c>
      <c r="M156">
        <f>IF(F156="Study flow 1","Narrative first","Visual first")</f>
        <v/>
      </c>
      <c r="N156">
        <f>IF(D156="","",VALUE(LEFT(D156,FIND(",",D156)-1)))</f>
        <v/>
      </c>
      <c r="O156">
        <f>IF(D156="","",VALUE(SUBSTITUTE(MID(D156,FIND(",",D156)+2,10),"%","")))</f>
        <v/>
      </c>
    </row>
    <row r="157">
      <c r="A157" t="inlineStr">
        <is>
          <t>RESP0156</t>
        </is>
      </c>
      <c r="B157" s="4" t="n">
        <v>46455.81729166667</v>
      </c>
      <c r="C157" s="4" t="n"/>
      <c r="F157" t="inlineStr">
        <is>
          <t>Study flow 2</t>
        </is>
      </c>
      <c r="G157" t="inlineStr">
        <is>
          <t>Abandoned</t>
        </is>
      </c>
      <c r="H157" t="inlineStr">
        <is>
          <t>STEP 5 Screen size</t>
        </is>
      </c>
      <c r="I157" t="inlineStr">
        <is>
          <t>Phone</t>
        </is>
      </c>
      <c r="J157" t="inlineStr">
        <is>
          <t>Safari</t>
        </is>
      </c>
      <c r="K157">
        <f>IF(H157="Completed",11,VALUE(MID(H157,6,FIND(" ",H157,6)-6)))</f>
        <v/>
      </c>
      <c r="L157">
        <f>IF(G157="Processed",1,0)</f>
        <v/>
      </c>
      <c r="M157">
        <f>IF(F157="Study flow 1","Narrative first","Visual first")</f>
        <v/>
      </c>
      <c r="N157">
        <f>IF(D157="","",VALUE(LEFT(D157,FIND(",",D157)-1)))</f>
        <v/>
      </c>
      <c r="O157">
        <f>IF(D157="","",VALUE(SUBSTITUTE(MID(D157,FIND(",",D157)+2,10),"%","")))</f>
        <v/>
      </c>
    </row>
    <row r="158">
      <c r="A158" t="inlineStr">
        <is>
          <t>RESP0157</t>
        </is>
      </c>
      <c r="B158" s="4" t="n">
        <v>46455.83064814815</v>
      </c>
      <c r="C158" s="4" t="n">
        <v>46455.83675925926</v>
      </c>
      <c r="D158" t="inlineStr">
        <is>
          <t>5.4, 94%</t>
        </is>
      </c>
      <c r="E158" t="n">
        <v>85</v>
      </c>
      <c r="F158" t="inlineStr">
        <is>
          <t>Study flow 2</t>
        </is>
      </c>
      <c r="G158" t="inlineStr">
        <is>
          <t>Processed</t>
        </is>
      </c>
      <c r="H158" t="inlineStr">
        <is>
          <t>Completed</t>
        </is>
      </c>
      <c r="I158" t="inlineStr">
        <is>
          <t>Laptop</t>
        </is>
      </c>
      <c r="J158" t="inlineStr">
        <is>
          <t>Firefox</t>
        </is>
      </c>
      <c r="K158">
        <f>IF(H158="Completed",11,VALUE(MID(H158,6,FIND(" ",H158,6)-6)))</f>
        <v/>
      </c>
      <c r="L158">
        <f>IF(G158="Processed",1,0)</f>
        <v/>
      </c>
      <c r="M158">
        <f>IF(F158="Study flow 1","Narrative first","Visual first")</f>
        <v/>
      </c>
      <c r="N158">
        <f>IF(D158="","",VALUE(LEFT(D158,FIND(",",D158)-1)))</f>
        <v/>
      </c>
      <c r="O158">
        <f>IF(D158="","",VALUE(SUBSTITUTE(MID(D158,FIND(",",D158)+2,10),"%","")))</f>
        <v/>
      </c>
    </row>
    <row r="159">
      <c r="A159" t="inlineStr">
        <is>
          <t>RESP0158</t>
        </is>
      </c>
      <c r="B159" s="4" t="n">
        <v>46455.83494212963</v>
      </c>
      <c r="C159" s="4" t="n"/>
      <c r="F159" t="inlineStr">
        <is>
          <t>Study flow 1</t>
        </is>
      </c>
      <c r="G159" t="inlineStr">
        <is>
          <t>Abandoned</t>
        </is>
      </c>
      <c r="H159" t="inlineStr">
        <is>
          <t>STEP 4 Respondent camera setup</t>
        </is>
      </c>
      <c r="I159" t="inlineStr">
        <is>
          <t>Desktop</t>
        </is>
      </c>
      <c r="J159" t="inlineStr">
        <is>
          <t>Chrome</t>
        </is>
      </c>
      <c r="K159">
        <f>IF(H159="Completed",11,VALUE(MID(H159,6,FIND(" ",H159,6)-6)))</f>
        <v/>
      </c>
      <c r="L159">
        <f>IF(G159="Processed",1,0)</f>
        <v/>
      </c>
      <c r="M159">
        <f>IF(F159="Study flow 1","Narrative first","Visual first")</f>
        <v/>
      </c>
      <c r="N159">
        <f>IF(D159="","",VALUE(LEFT(D159,FIND(",",D159)-1)))</f>
        <v/>
      </c>
      <c r="O159">
        <f>IF(D159="","",VALUE(SUBSTITUTE(MID(D159,FIND(",",D159)+2,10),"%","")))</f>
        <v/>
      </c>
    </row>
    <row r="160">
      <c r="A160" t="inlineStr">
        <is>
          <t>RESP0159</t>
        </is>
      </c>
      <c r="B160" s="4" t="n">
        <v>46455.83494212963</v>
      </c>
      <c r="C160" s="4" t="n"/>
      <c r="F160" t="inlineStr">
        <is>
          <t>Study flow 1</t>
        </is>
      </c>
      <c r="G160" t="inlineStr">
        <is>
          <t>Abandoned</t>
        </is>
      </c>
      <c r="H160" t="inlineStr">
        <is>
          <t>STEP 4 Respondent camera setup</t>
        </is>
      </c>
      <c r="I160" t="inlineStr">
        <is>
          <t>Laptop</t>
        </is>
      </c>
      <c r="J160" t="inlineStr">
        <is>
          <t>Safari</t>
        </is>
      </c>
      <c r="K160">
        <f>IF(H160="Completed",11,VALUE(MID(H160,6,FIND(" ",H160,6)-6)))</f>
        <v/>
      </c>
      <c r="L160">
        <f>IF(G160="Processed",1,0)</f>
        <v/>
      </c>
      <c r="M160">
        <f>IF(F160="Study flow 1","Narrative first","Visual first")</f>
        <v/>
      </c>
      <c r="N160">
        <f>IF(D160="","",VALUE(LEFT(D160,FIND(",",D160)-1)))</f>
        <v/>
      </c>
      <c r="O160">
        <f>IF(D160="","",VALUE(SUBSTITUTE(MID(D160,FIND(",",D160)+2,10),"%","")))</f>
        <v/>
      </c>
    </row>
    <row r="161">
      <c r="A161" t="inlineStr">
        <is>
          <t>RESP0160</t>
        </is>
      </c>
      <c r="B161" s="4" t="n">
        <v>46455.86983796296</v>
      </c>
      <c r="C161" s="4" t="n"/>
      <c r="F161" t="inlineStr">
        <is>
          <t>Study flow 2</t>
        </is>
      </c>
      <c r="G161" t="inlineStr">
        <is>
          <t>Abandoned</t>
        </is>
      </c>
      <c r="H161" t="inlineStr">
        <is>
          <t>STEP 8 Positioning check</t>
        </is>
      </c>
      <c r="I161" t="inlineStr">
        <is>
          <t>Desktop</t>
        </is>
      </c>
      <c r="J161" t="inlineStr">
        <is>
          <t>Chrome</t>
        </is>
      </c>
      <c r="K161">
        <f>IF(H161="Completed",11,VALUE(MID(H161,6,FIND(" ",H161,6)-6)))</f>
        <v/>
      </c>
      <c r="L161">
        <f>IF(G161="Processed",1,0)</f>
        <v/>
      </c>
      <c r="M161">
        <f>IF(F161="Study flow 1","Narrative first","Visual first")</f>
        <v/>
      </c>
      <c r="N161">
        <f>IF(D161="","",VALUE(LEFT(D161,FIND(",",D161)-1)))</f>
        <v/>
      </c>
      <c r="O161">
        <f>IF(D161="","",VALUE(SUBSTITUTE(MID(D161,FIND(",",D161)+2,10),"%","")))</f>
        <v/>
      </c>
    </row>
    <row r="162">
      <c r="A162" t="inlineStr">
        <is>
          <t>RESP0161</t>
        </is>
      </c>
      <c r="B162" s="4" t="n">
        <v>46455.87177083334</v>
      </c>
      <c r="C162" s="4" t="n">
        <v>46455.87761574074</v>
      </c>
      <c r="D162" t="inlineStr">
        <is>
          <t>0.9, 98%</t>
        </is>
      </c>
      <c r="E162" t="n">
        <v>59</v>
      </c>
      <c r="F162" t="inlineStr">
        <is>
          <t>Study flow 1</t>
        </is>
      </c>
      <c r="G162" t="inlineStr">
        <is>
          <t>Processed</t>
        </is>
      </c>
      <c r="H162" t="inlineStr">
        <is>
          <t>Completed</t>
        </is>
      </c>
      <c r="I162" t="inlineStr">
        <is>
          <t>Desktop</t>
        </is>
      </c>
      <c r="J162" t="inlineStr">
        <is>
          <t>Edge</t>
        </is>
      </c>
      <c r="K162">
        <f>IF(H162="Completed",11,VALUE(MID(H162,6,FIND(" ",H162,6)-6)))</f>
        <v/>
      </c>
      <c r="L162">
        <f>IF(G162="Processed",1,0)</f>
        <v/>
      </c>
      <c r="M162">
        <f>IF(F162="Study flow 1","Narrative first","Visual first")</f>
        <v/>
      </c>
      <c r="N162">
        <f>IF(D162="","",VALUE(LEFT(D162,FIND(",",D162)-1)))</f>
        <v/>
      </c>
      <c r="O162">
        <f>IF(D162="","",VALUE(SUBSTITUTE(MID(D162,FIND(",",D162)+2,10),"%","")))</f>
        <v/>
      </c>
    </row>
    <row r="163">
      <c r="A163" t="inlineStr">
        <is>
          <t>RESP0162</t>
        </is>
      </c>
      <c r="B163" s="4" t="n">
        <v>46455.88890046296</v>
      </c>
      <c r="C163" s="4" t="n"/>
      <c r="F163" t="inlineStr">
        <is>
          <t>Study flow 1</t>
        </is>
      </c>
      <c r="G163" t="inlineStr">
        <is>
          <t>Abandoned</t>
        </is>
      </c>
      <c r="H163" t="inlineStr">
        <is>
          <t>STEP 8 Positioning check</t>
        </is>
      </c>
      <c r="I163" t="inlineStr">
        <is>
          <t>Laptop</t>
        </is>
      </c>
      <c r="J163" t="inlineStr">
        <is>
          <t>Chrome</t>
        </is>
      </c>
      <c r="K163">
        <f>IF(H163="Completed",11,VALUE(MID(H163,6,FIND(" ",H163,6)-6)))</f>
        <v/>
      </c>
      <c r="L163">
        <f>IF(G163="Processed",1,0)</f>
        <v/>
      </c>
      <c r="M163">
        <f>IF(F163="Study flow 1","Narrative first","Visual first")</f>
        <v/>
      </c>
      <c r="N163">
        <f>IF(D163="","",VALUE(LEFT(D163,FIND(",",D163)-1)))</f>
        <v/>
      </c>
      <c r="O163">
        <f>IF(D163="","",VALUE(SUBSTITUTE(MID(D163,FIND(",",D163)+2,10),"%","")))</f>
        <v/>
      </c>
    </row>
    <row r="164">
      <c r="A164" t="inlineStr">
        <is>
          <t>RESP0163</t>
        </is>
      </c>
      <c r="B164" s="4" t="n">
        <v>46455.89223379629</v>
      </c>
      <c r="C164" s="4" t="n">
        <v>46455.89826388889</v>
      </c>
      <c r="D164" t="inlineStr">
        <is>
          <t>1.0, 96%</t>
        </is>
      </c>
      <c r="E164" t="n">
        <v>95</v>
      </c>
      <c r="F164" t="inlineStr">
        <is>
          <t>Study flow 2</t>
        </is>
      </c>
      <c r="G164" t="inlineStr">
        <is>
          <t>Processed</t>
        </is>
      </c>
      <c r="H164" t="inlineStr">
        <is>
          <t>Completed</t>
        </is>
      </c>
      <c r="I164" t="inlineStr">
        <is>
          <t>Laptop</t>
        </is>
      </c>
      <c r="J164" t="inlineStr">
        <is>
          <t>Firefox</t>
        </is>
      </c>
      <c r="K164">
        <f>IF(H164="Completed",11,VALUE(MID(H164,6,FIND(" ",H164,6)-6)))</f>
        <v/>
      </c>
      <c r="L164">
        <f>IF(G164="Processed",1,0)</f>
        <v/>
      </c>
      <c r="M164">
        <f>IF(F164="Study flow 1","Narrative first","Visual first")</f>
        <v/>
      </c>
      <c r="N164">
        <f>IF(D164="","",VALUE(LEFT(D164,FIND(",",D164)-1)))</f>
        <v/>
      </c>
      <c r="O164">
        <f>IF(D164="","",VALUE(SUBSTITUTE(MID(D164,FIND(",",D164)+2,10),"%","")))</f>
        <v/>
      </c>
    </row>
    <row r="165">
      <c r="A165" t="inlineStr">
        <is>
          <t>RESP0164</t>
        </is>
      </c>
      <c r="B165" s="4" t="n">
        <v>46455.89416666667</v>
      </c>
      <c r="C165" s="4" t="n">
        <v>46455.89973379629</v>
      </c>
      <c r="D165" t="inlineStr">
        <is>
          <t>1.1, 99%</t>
        </is>
      </c>
      <c r="E165" t="n">
        <v>97</v>
      </c>
      <c r="F165" t="inlineStr">
        <is>
          <t>Study flow 1</t>
        </is>
      </c>
      <c r="G165" t="inlineStr">
        <is>
          <t>Processed</t>
        </is>
      </c>
      <c r="H165" t="inlineStr">
        <is>
          <t>Completed</t>
        </is>
      </c>
      <c r="I165" t="inlineStr">
        <is>
          <t>Desktop</t>
        </is>
      </c>
      <c r="J165" t="inlineStr">
        <is>
          <t>Edge</t>
        </is>
      </c>
      <c r="K165">
        <f>IF(H165="Completed",11,VALUE(MID(H165,6,FIND(" ",H165,6)-6)))</f>
        <v/>
      </c>
      <c r="L165">
        <f>IF(G165="Processed",1,0)</f>
        <v/>
      </c>
      <c r="M165">
        <f>IF(F165="Study flow 1","Narrative first","Visual first")</f>
        <v/>
      </c>
      <c r="N165">
        <f>IF(D165="","",VALUE(LEFT(D165,FIND(",",D165)-1)))</f>
        <v/>
      </c>
      <c r="O165">
        <f>IF(D165="","",VALUE(SUBSTITUTE(MID(D165,FIND(",",D165)+2,10),"%","")))</f>
        <v/>
      </c>
    </row>
    <row r="166">
      <c r="A166" t="inlineStr">
        <is>
          <t>RESP0165</t>
        </is>
      </c>
      <c r="B166" s="4" t="n">
        <v>46455.89630787037</v>
      </c>
      <c r="C166" s="4" t="n">
        <v>46455.90236111111</v>
      </c>
      <c r="D166" t="inlineStr">
        <is>
          <t>1.9, 95%</t>
        </is>
      </c>
      <c r="E166" t="n">
        <v>98</v>
      </c>
      <c r="F166" t="inlineStr">
        <is>
          <t>Study flow 1</t>
        </is>
      </c>
      <c r="G166" t="inlineStr">
        <is>
          <t>Processed</t>
        </is>
      </c>
      <c r="H166" t="inlineStr">
        <is>
          <t>Completed</t>
        </is>
      </c>
      <c r="I166" t="inlineStr">
        <is>
          <t>Desktop</t>
        </is>
      </c>
      <c r="J166" t="inlineStr">
        <is>
          <t>Chrome</t>
        </is>
      </c>
      <c r="K166">
        <f>IF(H166="Completed",11,VALUE(MID(H166,6,FIND(" ",H166,6)-6)))</f>
        <v/>
      </c>
      <c r="L166">
        <f>IF(G166="Processed",1,0)</f>
        <v/>
      </c>
      <c r="M166">
        <f>IF(F166="Study flow 1","Narrative first","Visual first")</f>
        <v/>
      </c>
      <c r="N166">
        <f>IF(D166="","",VALUE(LEFT(D166,FIND(",",D166)-1)))</f>
        <v/>
      </c>
      <c r="O166">
        <f>IF(D166="","",VALUE(SUBSTITUTE(MID(D166,FIND(",",D166)+2,10),"%","")))</f>
        <v/>
      </c>
    </row>
    <row r="167">
      <c r="A167" t="inlineStr">
        <is>
          <t>RESP0166</t>
        </is>
      </c>
      <c r="B167" s="4" t="n">
        <v>46455.90253472222</v>
      </c>
      <c r="C167" s="4" t="n">
        <v>46455.90907407407</v>
      </c>
      <c r="D167" t="inlineStr">
        <is>
          <t>2.4, 88%</t>
        </is>
      </c>
      <c r="E167" t="n">
        <v>90</v>
      </c>
      <c r="F167" t="inlineStr">
        <is>
          <t>Study flow 2</t>
        </is>
      </c>
      <c r="G167" t="inlineStr">
        <is>
          <t>Processed</t>
        </is>
      </c>
      <c r="H167" t="inlineStr">
        <is>
          <t>Completed</t>
        </is>
      </c>
      <c r="I167" t="inlineStr">
        <is>
          <t>Laptop</t>
        </is>
      </c>
      <c r="J167" t="inlineStr">
        <is>
          <t>Chrome</t>
        </is>
      </c>
      <c r="K167">
        <f>IF(H167="Completed",11,VALUE(MID(H167,6,FIND(" ",H167,6)-6)))</f>
        <v/>
      </c>
      <c r="L167">
        <f>IF(G167="Processed",1,0)</f>
        <v/>
      </c>
      <c r="M167">
        <f>IF(F167="Study flow 1","Narrative first","Visual first")</f>
        <v/>
      </c>
      <c r="N167">
        <f>IF(D167="","",VALUE(LEFT(D167,FIND(",",D167)-1)))</f>
        <v/>
      </c>
      <c r="O167">
        <f>IF(D167="","",VALUE(SUBSTITUTE(MID(D167,FIND(",",D167)+2,10),"%","")))</f>
        <v/>
      </c>
    </row>
    <row r="168">
      <c r="A168" t="inlineStr">
        <is>
          <t>RESP0167</t>
        </is>
      </c>
      <c r="B168" s="4" t="n">
        <v>46455.90513888889</v>
      </c>
      <c r="C168" s="4" t="n">
        <v>46455.91136574074</v>
      </c>
      <c r="D168" t="inlineStr">
        <is>
          <t>2.0, 95%</t>
        </is>
      </c>
      <c r="E168" t="n">
        <v>94</v>
      </c>
      <c r="F168" t="inlineStr">
        <is>
          <t>Study flow 1</t>
        </is>
      </c>
      <c r="G168" t="inlineStr">
        <is>
          <t>Processed</t>
        </is>
      </c>
      <c r="H168" t="inlineStr">
        <is>
          <t>Completed</t>
        </is>
      </c>
      <c r="I168" t="inlineStr">
        <is>
          <t>Laptop</t>
        </is>
      </c>
      <c r="J168" t="inlineStr">
        <is>
          <t>Chrome</t>
        </is>
      </c>
      <c r="K168">
        <f>IF(H168="Completed",11,VALUE(MID(H168,6,FIND(" ",H168,6)-6)))</f>
        <v/>
      </c>
      <c r="L168">
        <f>IF(G168="Processed",1,0)</f>
        <v/>
      </c>
      <c r="M168">
        <f>IF(F168="Study flow 1","Narrative first","Visual first")</f>
        <v/>
      </c>
      <c r="N168">
        <f>IF(D168="","",VALUE(LEFT(D168,FIND(",",D168)-1)))</f>
        <v/>
      </c>
      <c r="O168">
        <f>IF(D168="","",VALUE(SUBSTITUTE(MID(D168,FIND(",",D168)+2,10),"%","")))</f>
        <v/>
      </c>
    </row>
    <row r="169">
      <c r="A169" t="inlineStr">
        <is>
          <t>RESP0168</t>
        </is>
      </c>
      <c r="B169" s="4" t="n">
        <v>46455.91875</v>
      </c>
      <c r="C169" s="4" t="n">
        <v>46455.92439814815</v>
      </c>
      <c r="D169" t="inlineStr">
        <is>
          <t>1.4, 99%</t>
        </is>
      </c>
      <c r="E169" t="n">
        <v>99</v>
      </c>
      <c r="F169" t="inlineStr">
        <is>
          <t>Study flow 1</t>
        </is>
      </c>
      <c r="G169" t="inlineStr">
        <is>
          <t>Processed</t>
        </is>
      </c>
      <c r="H169" t="inlineStr">
        <is>
          <t>Completed</t>
        </is>
      </c>
      <c r="I169" t="inlineStr">
        <is>
          <t>Laptop</t>
        </is>
      </c>
      <c r="J169" t="inlineStr">
        <is>
          <t>Chrome</t>
        </is>
      </c>
      <c r="K169">
        <f>IF(H169="Completed",11,VALUE(MID(H169,6,FIND(" ",H169,6)-6)))</f>
        <v/>
      </c>
      <c r="L169">
        <f>IF(G169="Processed",1,0)</f>
        <v/>
      </c>
      <c r="M169">
        <f>IF(F169="Study flow 1","Narrative first","Visual first")</f>
        <v/>
      </c>
      <c r="N169">
        <f>IF(D169="","",VALUE(LEFT(D169,FIND(",",D169)-1)))</f>
        <v/>
      </c>
      <c r="O169">
        <f>IF(D169="","",VALUE(SUBSTITUTE(MID(D169,FIND(",",D169)+2,10),"%","")))</f>
        <v/>
      </c>
    </row>
    <row r="170">
      <c r="A170" t="inlineStr">
        <is>
          <t>RESP0169</t>
        </is>
      </c>
      <c r="B170" s="4" t="n">
        <v>46455.92760416667</v>
      </c>
      <c r="C170" s="4" t="n">
        <v>46455.93358796297</v>
      </c>
      <c r="D170" t="inlineStr">
        <is>
          <t>0.5, 98%</t>
        </is>
      </c>
      <c r="E170" t="n">
        <v>96</v>
      </c>
      <c r="F170" t="inlineStr">
        <is>
          <t>Study flow 2</t>
        </is>
      </c>
      <c r="G170" t="inlineStr">
        <is>
          <t>Processed</t>
        </is>
      </c>
      <c r="H170" t="inlineStr">
        <is>
          <t>Completed</t>
        </is>
      </c>
      <c r="I170" t="inlineStr">
        <is>
          <t>Laptop</t>
        </is>
      </c>
      <c r="J170" t="inlineStr">
        <is>
          <t>Chrome</t>
        </is>
      </c>
      <c r="K170">
        <f>IF(H170="Completed",11,VALUE(MID(H170,6,FIND(" ",H170,6)-6)))</f>
        <v/>
      </c>
      <c r="L170">
        <f>IF(G170="Processed",1,0)</f>
        <v/>
      </c>
      <c r="M170">
        <f>IF(F170="Study flow 1","Narrative first","Visual first")</f>
        <v/>
      </c>
      <c r="N170">
        <f>IF(D170="","",VALUE(LEFT(D170,FIND(",",D170)-1)))</f>
        <v/>
      </c>
      <c r="O170">
        <f>IF(D170="","",VALUE(SUBSTITUTE(MID(D170,FIND(",",D170)+2,10),"%","")))</f>
        <v/>
      </c>
    </row>
    <row r="171">
      <c r="A171" t="inlineStr">
        <is>
          <t>RESP0170</t>
        </is>
      </c>
      <c r="B171" s="4" t="n">
        <v>46455.95800925926</v>
      </c>
      <c r="C171" s="4" t="n">
        <v>46455.96372685185</v>
      </c>
      <c r="D171" t="inlineStr">
        <is>
          <t>1.6, 98%</t>
        </is>
      </c>
      <c r="E171" t="n">
        <v>99</v>
      </c>
      <c r="F171" t="inlineStr">
        <is>
          <t>Study flow 1</t>
        </is>
      </c>
      <c r="G171" t="inlineStr">
        <is>
          <t>Processed</t>
        </is>
      </c>
      <c r="H171" t="inlineStr">
        <is>
          <t>Completed</t>
        </is>
      </c>
      <c r="I171" t="inlineStr">
        <is>
          <t>Laptop</t>
        </is>
      </c>
      <c r="J171" t="inlineStr">
        <is>
          <t>Chrome</t>
        </is>
      </c>
      <c r="K171">
        <f>IF(H171="Completed",11,VALUE(MID(H171,6,FIND(" ",H171,6)-6)))</f>
        <v/>
      </c>
      <c r="L171">
        <f>IF(G171="Processed",1,0)</f>
        <v/>
      </c>
      <c r="M171">
        <f>IF(F171="Study flow 1","Narrative first","Visual first")</f>
        <v/>
      </c>
      <c r="N171">
        <f>IF(D171="","",VALUE(LEFT(D171,FIND(",",D171)-1)))</f>
        <v/>
      </c>
      <c r="O171">
        <f>IF(D171="","",VALUE(SUBSTITUTE(MID(D171,FIND(",",D171)+2,10),"%","")))</f>
        <v/>
      </c>
    </row>
    <row r="172">
      <c r="A172" t="inlineStr">
        <is>
          <t>RESP0171</t>
        </is>
      </c>
      <c r="B172" s="4" t="n">
        <v>46456.45053240741</v>
      </c>
      <c r="C172" s="4" t="n"/>
      <c r="F172" t="inlineStr">
        <is>
          <t>Study flow 2</t>
        </is>
      </c>
      <c r="G172" t="inlineStr">
        <is>
          <t>Abandoned</t>
        </is>
      </c>
      <c r="H172" t="inlineStr">
        <is>
          <t>STEP 2 Consent screen</t>
        </is>
      </c>
      <c r="I172" t="inlineStr">
        <is>
          <t>Laptop</t>
        </is>
      </c>
      <c r="J172" t="inlineStr">
        <is>
          <t>Chrome</t>
        </is>
      </c>
      <c r="K172">
        <f>IF(H172="Completed",11,VALUE(MID(H172,6,FIND(" ",H172,6)-6)))</f>
        <v/>
      </c>
      <c r="L172">
        <f>IF(G172="Processed",1,0)</f>
        <v/>
      </c>
      <c r="M172">
        <f>IF(F172="Study flow 1","Narrative first","Visual first")</f>
        <v/>
      </c>
      <c r="N172">
        <f>IF(D172="","",VALUE(LEFT(D172,FIND(",",D172)-1)))</f>
        <v/>
      </c>
      <c r="O172">
        <f>IF(D172="","",VALUE(SUBSTITUTE(MID(D172,FIND(",",D172)+2,10),"%","")))</f>
        <v/>
      </c>
    </row>
    <row r="173">
      <c r="A173" t="inlineStr">
        <is>
          <t>RESP0172</t>
        </is>
      </c>
      <c r="B173" s="4" t="n">
        <v>46456.46914351852</v>
      </c>
      <c r="C173" s="4" t="n"/>
      <c r="F173" t="inlineStr">
        <is>
          <t>Study flow 1</t>
        </is>
      </c>
      <c r="G173" t="inlineStr">
        <is>
          <t>Abandoned</t>
        </is>
      </c>
      <c r="H173" t="inlineStr">
        <is>
          <t>STEP 9 Stimuli presentation*</t>
        </is>
      </c>
      <c r="I173" t="inlineStr">
        <is>
          <t>Laptop</t>
        </is>
      </c>
      <c r="J173" t="inlineStr">
        <is>
          <t>Edge</t>
        </is>
      </c>
      <c r="K173">
        <f>IF(H173="Completed",11,VALUE(MID(H173,6,FIND(" ",H173,6)-6)))</f>
        <v/>
      </c>
      <c r="L173">
        <f>IF(G173="Processed",1,0)</f>
        <v/>
      </c>
      <c r="M173">
        <f>IF(F173="Study flow 1","Narrative first","Visual first")</f>
        <v/>
      </c>
      <c r="N173">
        <f>IF(D173="","",VALUE(LEFT(D173,FIND(",",D173)-1)))</f>
        <v/>
      </c>
      <c r="O173">
        <f>IF(D173="","",VALUE(SUBSTITUTE(MID(D173,FIND(",",D173)+2,10),"%","")))</f>
        <v/>
      </c>
    </row>
    <row r="174">
      <c r="A174" t="inlineStr">
        <is>
          <t>RESP0173</t>
        </is>
      </c>
      <c r="B174" s="4" t="n">
        <v>46456.48660879629</v>
      </c>
      <c r="C174" s="4" t="n">
        <v>46456.49233796296</v>
      </c>
      <c r="D174" t="inlineStr">
        <is>
          <t>3.5, 94%</t>
        </is>
      </c>
      <c r="E174" t="n">
        <v>99</v>
      </c>
      <c r="F174" t="inlineStr">
        <is>
          <t>Study flow 2</t>
        </is>
      </c>
      <c r="G174" t="inlineStr">
        <is>
          <t>Processed</t>
        </is>
      </c>
      <c r="H174" t="inlineStr">
        <is>
          <t>Completed</t>
        </is>
      </c>
      <c r="I174" t="inlineStr">
        <is>
          <t>Laptop</t>
        </is>
      </c>
      <c r="J174" t="inlineStr">
        <is>
          <t>Chrome</t>
        </is>
      </c>
      <c r="K174">
        <f>IF(H174="Completed",11,VALUE(MID(H174,6,FIND(" ",H174,6)-6)))</f>
        <v/>
      </c>
      <c r="L174">
        <f>IF(G174="Processed",1,0)</f>
        <v/>
      </c>
      <c r="M174">
        <f>IF(F174="Study flow 1","Narrative first","Visual first")</f>
        <v/>
      </c>
      <c r="N174">
        <f>IF(D174="","",VALUE(LEFT(D174,FIND(",",D174)-1)))</f>
        <v/>
      </c>
      <c r="O174">
        <f>IF(D174="","",VALUE(SUBSTITUTE(MID(D174,FIND(",",D174)+2,10),"%","")))</f>
        <v/>
      </c>
    </row>
    <row r="175">
      <c r="A175" t="inlineStr">
        <is>
          <t>RESP0174</t>
        </is>
      </c>
      <c r="B175" s="4" t="n">
        <v>46456.50942129629</v>
      </c>
      <c r="C175" s="4" t="n">
        <v>46456.51585648148</v>
      </c>
      <c r="D175" t="inlineStr">
        <is>
          <t>3.4, 92%</t>
        </is>
      </c>
      <c r="E175" t="n">
        <v>99</v>
      </c>
      <c r="F175" t="inlineStr">
        <is>
          <t>Study flow 1</t>
        </is>
      </c>
      <c r="G175" t="inlineStr">
        <is>
          <t>Processed</t>
        </is>
      </c>
      <c r="H175" t="inlineStr">
        <is>
          <t>Completed</t>
        </is>
      </c>
      <c r="I175" t="inlineStr">
        <is>
          <t>Desktop</t>
        </is>
      </c>
      <c r="J175" t="inlineStr">
        <is>
          <t>Chrome</t>
        </is>
      </c>
      <c r="K175">
        <f>IF(H175="Completed",11,VALUE(MID(H175,6,FIND(" ",H175,6)-6)))</f>
        <v/>
      </c>
      <c r="L175">
        <f>IF(G175="Processed",1,0)</f>
        <v/>
      </c>
      <c r="M175">
        <f>IF(F175="Study flow 1","Narrative first","Visual first")</f>
        <v/>
      </c>
      <c r="N175">
        <f>IF(D175="","",VALUE(LEFT(D175,FIND(",",D175)-1)))</f>
        <v/>
      </c>
      <c r="O175">
        <f>IF(D175="","",VALUE(SUBSTITUTE(MID(D175,FIND(",",D175)+2,10),"%","")))</f>
        <v/>
      </c>
    </row>
    <row r="176">
      <c r="A176" t="inlineStr">
        <is>
          <t>RESP0175</t>
        </is>
      </c>
      <c r="B176" s="4" t="n">
        <v>46456.51456018518</v>
      </c>
      <c r="C176" s="4" t="n">
        <v>46456.52060185185</v>
      </c>
      <c r="D176" t="inlineStr">
        <is>
          <t>2.5, 94%</t>
        </is>
      </c>
      <c r="E176" t="n">
        <v>92</v>
      </c>
      <c r="F176" t="inlineStr">
        <is>
          <t>Study flow 1</t>
        </is>
      </c>
      <c r="G176" t="inlineStr">
        <is>
          <t>Processed</t>
        </is>
      </c>
      <c r="H176" t="inlineStr">
        <is>
          <t>Completed</t>
        </is>
      </c>
      <c r="I176" t="inlineStr">
        <is>
          <t>Laptop</t>
        </is>
      </c>
      <c r="J176" t="inlineStr">
        <is>
          <t>Safari</t>
        </is>
      </c>
      <c r="K176">
        <f>IF(H176="Completed",11,VALUE(MID(H176,6,FIND(" ",H176,6)-6)))</f>
        <v/>
      </c>
      <c r="L176">
        <f>IF(G176="Processed",1,0)</f>
        <v/>
      </c>
      <c r="M176">
        <f>IF(F176="Study flow 1","Narrative first","Visual first")</f>
        <v/>
      </c>
      <c r="N176">
        <f>IF(D176="","",VALUE(LEFT(D176,FIND(",",D176)-1)))</f>
        <v/>
      </c>
      <c r="O176">
        <f>IF(D176="","",VALUE(SUBSTITUTE(MID(D176,FIND(",",D176)+2,10),"%","")))</f>
        <v/>
      </c>
    </row>
    <row r="177">
      <c r="A177" t="inlineStr">
        <is>
          <t>RESP0176</t>
        </is>
      </c>
      <c r="B177" s="4" t="n">
        <v>46456.54809027778</v>
      </c>
      <c r="C177" s="4" t="n">
        <v>46456.55436342592</v>
      </c>
      <c r="D177" t="inlineStr">
        <is>
          <t>1.4, 93%</t>
        </is>
      </c>
      <c r="E177" t="n">
        <v>97</v>
      </c>
      <c r="F177" t="inlineStr">
        <is>
          <t>Study flow 1</t>
        </is>
      </c>
      <c r="G177" t="inlineStr">
        <is>
          <t>Processed</t>
        </is>
      </c>
      <c r="H177" t="inlineStr">
        <is>
          <t>Completed</t>
        </is>
      </c>
      <c r="I177" t="inlineStr">
        <is>
          <t>Laptop</t>
        </is>
      </c>
      <c r="J177" t="inlineStr">
        <is>
          <t>Chrome</t>
        </is>
      </c>
      <c r="K177">
        <f>IF(H177="Completed",11,VALUE(MID(H177,6,FIND(" ",H177,6)-6)))</f>
        <v/>
      </c>
      <c r="L177">
        <f>IF(G177="Processed",1,0)</f>
        <v/>
      </c>
      <c r="M177">
        <f>IF(F177="Study flow 1","Narrative first","Visual first")</f>
        <v/>
      </c>
      <c r="N177">
        <f>IF(D177="","",VALUE(LEFT(D177,FIND(",",D177)-1)))</f>
        <v/>
      </c>
      <c r="O177">
        <f>IF(D177="","",VALUE(SUBSTITUTE(MID(D177,FIND(",",D177)+2,10),"%","")))</f>
        <v/>
      </c>
    </row>
    <row r="178">
      <c r="A178" t="inlineStr">
        <is>
          <t>RESP0177</t>
        </is>
      </c>
      <c r="B178" s="4" t="n">
        <v>46456.61332175926</v>
      </c>
      <c r="C178" s="4" t="n">
        <v>46456.61989583333</v>
      </c>
      <c r="D178" t="inlineStr">
        <is>
          <t>1.1, 94%</t>
        </is>
      </c>
      <c r="E178" t="n">
        <v>95</v>
      </c>
      <c r="F178" t="inlineStr">
        <is>
          <t>Study flow 2</t>
        </is>
      </c>
      <c r="G178" t="inlineStr">
        <is>
          <t>Processed</t>
        </is>
      </c>
      <c r="H178" t="inlineStr">
        <is>
          <t>Completed</t>
        </is>
      </c>
      <c r="I178" t="inlineStr">
        <is>
          <t>Laptop</t>
        </is>
      </c>
      <c r="J178" t="inlineStr">
        <is>
          <t>Safari</t>
        </is>
      </c>
      <c r="K178">
        <f>IF(H178="Completed",11,VALUE(MID(H178,6,FIND(" ",H178,6)-6)))</f>
        <v/>
      </c>
      <c r="L178">
        <f>IF(G178="Processed",1,0)</f>
        <v/>
      </c>
      <c r="M178">
        <f>IF(F178="Study flow 1","Narrative first","Visual first")</f>
        <v/>
      </c>
      <c r="N178">
        <f>IF(D178="","",VALUE(LEFT(D178,FIND(",",D178)-1)))</f>
        <v/>
      </c>
      <c r="O178">
        <f>IF(D178="","",VALUE(SUBSTITUTE(MID(D178,FIND(",",D178)+2,10),"%","")))</f>
        <v/>
      </c>
    </row>
    <row r="179">
      <c r="A179" t="inlineStr">
        <is>
          <t>RESP0178</t>
        </is>
      </c>
      <c r="B179" s="4" t="n">
        <v>46456.62605324074</v>
      </c>
      <c r="C179" s="4" t="n">
        <v>46456.63138888889</v>
      </c>
      <c r="D179" t="inlineStr">
        <is>
          <t>1.2, 96%</t>
        </is>
      </c>
      <c r="E179" t="n">
        <v>98</v>
      </c>
      <c r="F179" t="inlineStr">
        <is>
          <t>Study flow 1</t>
        </is>
      </c>
      <c r="G179" t="inlineStr">
        <is>
          <t>Processed</t>
        </is>
      </c>
      <c r="H179" t="inlineStr">
        <is>
          <t>Completed</t>
        </is>
      </c>
      <c r="I179" t="inlineStr">
        <is>
          <t>Laptop</t>
        </is>
      </c>
      <c r="J179" t="inlineStr">
        <is>
          <t>Chrome</t>
        </is>
      </c>
      <c r="K179">
        <f>IF(H179="Completed",11,VALUE(MID(H179,6,FIND(" ",H179,6)-6)))</f>
        <v/>
      </c>
      <c r="L179">
        <f>IF(G179="Processed",1,0)</f>
        <v/>
      </c>
      <c r="M179">
        <f>IF(F179="Study flow 1","Narrative first","Visual first")</f>
        <v/>
      </c>
      <c r="N179">
        <f>IF(D179="","",VALUE(LEFT(D179,FIND(",",D179)-1)))</f>
        <v/>
      </c>
      <c r="O179">
        <f>IF(D179="","",VALUE(SUBSTITUTE(MID(D179,FIND(",",D179)+2,10),"%","")))</f>
        <v/>
      </c>
    </row>
    <row r="180">
      <c r="A180" t="inlineStr">
        <is>
          <t>RESP0179</t>
        </is>
      </c>
      <c r="B180" s="4" t="n">
        <v>46456.64332175926</v>
      </c>
      <c r="C180" s="4" t="n">
        <v>46456.6490162037</v>
      </c>
      <c r="D180" t="inlineStr">
        <is>
          <t>1.4, 97%</t>
        </is>
      </c>
      <c r="E180" t="n">
        <v>89</v>
      </c>
      <c r="F180" t="inlineStr">
        <is>
          <t>Study flow 1</t>
        </is>
      </c>
      <c r="G180" t="inlineStr">
        <is>
          <t>Processed</t>
        </is>
      </c>
      <c r="H180" t="inlineStr">
        <is>
          <t>Completed</t>
        </is>
      </c>
      <c r="I180" t="inlineStr">
        <is>
          <t>Laptop</t>
        </is>
      </c>
      <c r="J180" t="inlineStr">
        <is>
          <t>Chrome</t>
        </is>
      </c>
      <c r="K180">
        <f>IF(H180="Completed",11,VALUE(MID(H180,6,FIND(" ",H180,6)-6)))</f>
        <v/>
      </c>
      <c r="L180">
        <f>IF(G180="Processed",1,0)</f>
        <v/>
      </c>
      <c r="M180">
        <f>IF(F180="Study flow 1","Narrative first","Visual first")</f>
        <v/>
      </c>
      <c r="N180">
        <f>IF(D180="","",VALUE(LEFT(D180,FIND(",",D180)-1)))</f>
        <v/>
      </c>
      <c r="O180">
        <f>IF(D180="","",VALUE(SUBSTITUTE(MID(D180,FIND(",",D180)+2,10),"%","")))</f>
        <v/>
      </c>
    </row>
    <row r="181">
      <c r="A181" t="inlineStr">
        <is>
          <t>RESP0180</t>
        </is>
      </c>
      <c r="B181" s="4" t="n">
        <v>46456.68747685185</v>
      </c>
      <c r="C181" s="4" t="n">
        <v>46456.69370370371</v>
      </c>
      <c r="D181" t="inlineStr">
        <is>
          <t>2.4, 97%</t>
        </is>
      </c>
      <c r="E181" t="n">
        <v>99</v>
      </c>
      <c r="F181" t="inlineStr">
        <is>
          <t>Study flow 2</t>
        </is>
      </c>
      <c r="G181" t="inlineStr">
        <is>
          <t>Processed</t>
        </is>
      </c>
      <c r="H181" t="inlineStr">
        <is>
          <t>Completed</t>
        </is>
      </c>
      <c r="I181" t="inlineStr">
        <is>
          <t>Laptop</t>
        </is>
      </c>
      <c r="J181" t="inlineStr">
        <is>
          <t>Chrome</t>
        </is>
      </c>
      <c r="K181">
        <f>IF(H181="Completed",11,VALUE(MID(H181,6,FIND(" ",H181,6)-6)))</f>
        <v/>
      </c>
      <c r="L181">
        <f>IF(G181="Processed",1,0)</f>
        <v/>
      </c>
      <c r="M181">
        <f>IF(F181="Study flow 1","Narrative first","Visual first")</f>
        <v/>
      </c>
      <c r="N181">
        <f>IF(D181="","",VALUE(LEFT(D181,FIND(",",D181)-1)))</f>
        <v/>
      </c>
      <c r="O181">
        <f>IF(D181="","",VALUE(SUBSTITUTE(MID(D181,FIND(",",D181)+2,10),"%","")))</f>
        <v/>
      </c>
    </row>
    <row r="182">
      <c r="A182" t="inlineStr">
        <is>
          <t>RESP0181</t>
        </is>
      </c>
      <c r="B182" s="4" t="n">
        <v>46456.70850694444</v>
      </c>
      <c r="C182" s="4" t="n">
        <v>46456.71420138889</v>
      </c>
      <c r="D182" t="inlineStr">
        <is>
          <t>1.2, 98%</t>
        </is>
      </c>
      <c r="E182" t="n">
        <v>99</v>
      </c>
      <c r="F182" t="inlineStr">
        <is>
          <t>Study flow 1</t>
        </is>
      </c>
      <c r="G182" t="inlineStr">
        <is>
          <t>Processed</t>
        </is>
      </c>
      <c r="H182" t="inlineStr">
        <is>
          <t>Completed</t>
        </is>
      </c>
      <c r="I182" t="inlineStr">
        <is>
          <t>Desktop</t>
        </is>
      </c>
      <c r="J182" t="inlineStr">
        <is>
          <t>Edge</t>
        </is>
      </c>
      <c r="K182">
        <f>IF(H182="Completed",11,VALUE(MID(H182,6,FIND(" ",H182,6)-6)))</f>
        <v/>
      </c>
      <c r="L182">
        <f>IF(G182="Processed",1,0)</f>
        <v/>
      </c>
      <c r="M182">
        <f>IF(F182="Study flow 1","Narrative first","Visual first")</f>
        <v/>
      </c>
      <c r="N182">
        <f>IF(D182="","",VALUE(LEFT(D182,FIND(",",D182)-1)))</f>
        <v/>
      </c>
      <c r="O182">
        <f>IF(D182="","",VALUE(SUBSTITUTE(MID(D182,FIND(",",D182)+2,10),"%","")))</f>
        <v/>
      </c>
    </row>
    <row r="183">
      <c r="A183" t="inlineStr">
        <is>
          <t>RESP0182</t>
        </is>
      </c>
      <c r="B183" s="4" t="n">
        <v>46456.74363425926</v>
      </c>
      <c r="C183" s="4" t="n"/>
      <c r="F183" t="inlineStr">
        <is>
          <t>Study flow 2</t>
        </is>
      </c>
      <c r="G183" t="inlineStr">
        <is>
          <t>Abandoned</t>
        </is>
      </c>
      <c r="H183" t="inlineStr">
        <is>
          <t>STEP 10 Study data upload</t>
        </is>
      </c>
      <c r="I183" t="inlineStr">
        <is>
          <t>Laptop</t>
        </is>
      </c>
      <c r="J183" t="inlineStr">
        <is>
          <t>Chrome</t>
        </is>
      </c>
      <c r="K183">
        <f>IF(H183="Completed",11,VALUE(MID(H183,6,FIND(" ",H183,6)-6)))</f>
        <v/>
      </c>
      <c r="L183">
        <f>IF(G183="Processed",1,0)</f>
        <v/>
      </c>
      <c r="M183">
        <f>IF(F183="Study flow 1","Narrative first","Visual first")</f>
        <v/>
      </c>
      <c r="N183">
        <f>IF(D183="","",VALUE(LEFT(D183,FIND(",",D183)-1)))</f>
        <v/>
      </c>
      <c r="O183">
        <f>IF(D183="","",VALUE(SUBSTITUTE(MID(D183,FIND(",",D183)+2,10),"%","")))</f>
        <v/>
      </c>
    </row>
    <row r="184">
      <c r="A184" t="inlineStr">
        <is>
          <t>RESP0183</t>
        </is>
      </c>
      <c r="B184" s="4" t="n">
        <v>46456.74931712963</v>
      </c>
      <c r="C184" s="4" t="n">
        <v>46456.75493055556</v>
      </c>
      <c r="D184" t="inlineStr">
        <is>
          <t>1.7, 90%</t>
        </is>
      </c>
      <c r="E184" t="n">
        <v>91</v>
      </c>
      <c r="F184" t="inlineStr">
        <is>
          <t>Study flow 1</t>
        </is>
      </c>
      <c r="G184" t="inlineStr">
        <is>
          <t>Processed</t>
        </is>
      </c>
      <c r="H184" t="inlineStr">
        <is>
          <t>Completed</t>
        </is>
      </c>
      <c r="I184" t="inlineStr">
        <is>
          <t>Laptop</t>
        </is>
      </c>
      <c r="J184" t="inlineStr">
        <is>
          <t>Chrome</t>
        </is>
      </c>
      <c r="K184">
        <f>IF(H184="Completed",11,VALUE(MID(H184,6,FIND(" ",H184,6)-6)))</f>
        <v/>
      </c>
      <c r="L184">
        <f>IF(G184="Processed",1,0)</f>
        <v/>
      </c>
      <c r="M184">
        <f>IF(F184="Study flow 1","Narrative first","Visual first")</f>
        <v/>
      </c>
      <c r="N184">
        <f>IF(D184="","",VALUE(LEFT(D184,FIND(",",D184)-1)))</f>
        <v/>
      </c>
      <c r="O184">
        <f>IF(D184="","",VALUE(SUBSTITUTE(MID(D184,FIND(",",D184)+2,10),"%","")))</f>
        <v/>
      </c>
    </row>
    <row r="185">
      <c r="A185" t="inlineStr">
        <is>
          <t>RESP0184</t>
        </is>
      </c>
      <c r="B185" s="4" t="n">
        <v>46456.75302083333</v>
      </c>
      <c r="C185" s="4" t="n">
        <v>46456.75858796296</v>
      </c>
      <c r="D185" t="inlineStr">
        <is>
          <t>2.3, 97%</t>
        </is>
      </c>
      <c r="E185" t="n">
        <v>98</v>
      </c>
      <c r="F185" t="inlineStr">
        <is>
          <t>Study flow 2</t>
        </is>
      </c>
      <c r="G185" t="inlineStr">
        <is>
          <t>Processed</t>
        </is>
      </c>
      <c r="H185" t="inlineStr">
        <is>
          <t>Completed</t>
        </is>
      </c>
      <c r="I185" t="inlineStr">
        <is>
          <t>Laptop</t>
        </is>
      </c>
      <c r="J185" t="inlineStr">
        <is>
          <t>Firefox</t>
        </is>
      </c>
      <c r="K185">
        <f>IF(H185="Completed",11,VALUE(MID(H185,6,FIND(" ",H185,6)-6)))</f>
        <v/>
      </c>
      <c r="L185">
        <f>IF(G185="Processed",1,0)</f>
        <v/>
      </c>
      <c r="M185">
        <f>IF(F185="Study flow 1","Narrative first","Visual first")</f>
        <v/>
      </c>
      <c r="N185">
        <f>IF(D185="","",VALUE(LEFT(D185,FIND(",",D185)-1)))</f>
        <v/>
      </c>
      <c r="O185">
        <f>IF(D185="","",VALUE(SUBSTITUTE(MID(D185,FIND(",",D185)+2,10),"%","")))</f>
        <v/>
      </c>
    </row>
    <row r="186">
      <c r="A186" t="inlineStr">
        <is>
          <t>RESP0185</t>
        </is>
      </c>
      <c r="B186" s="4" t="n">
        <v>46456.76072916666</v>
      </c>
      <c r="C186" s="4" t="n">
        <v>46456.76659722222</v>
      </c>
      <c r="D186" t="inlineStr">
        <is>
          <t>4.3, 78%</t>
        </is>
      </c>
      <c r="E186" t="n">
        <v>91</v>
      </c>
      <c r="F186" t="inlineStr">
        <is>
          <t>Study flow 1</t>
        </is>
      </c>
      <c r="G186" t="inlineStr">
        <is>
          <t>Processed</t>
        </is>
      </c>
      <c r="H186" t="inlineStr">
        <is>
          <t>Completed</t>
        </is>
      </c>
      <c r="I186" t="inlineStr">
        <is>
          <t>Laptop</t>
        </is>
      </c>
      <c r="J186" t="inlineStr">
        <is>
          <t>Chrome</t>
        </is>
      </c>
      <c r="K186">
        <f>IF(H186="Completed",11,VALUE(MID(H186,6,FIND(" ",H186,6)-6)))</f>
        <v/>
      </c>
      <c r="L186">
        <f>IF(G186="Processed",1,0)</f>
        <v/>
      </c>
      <c r="M186">
        <f>IF(F186="Study flow 1","Narrative first","Visual first")</f>
        <v/>
      </c>
      <c r="N186">
        <f>IF(D186="","",VALUE(LEFT(D186,FIND(",",D186)-1)))</f>
        <v/>
      </c>
      <c r="O186">
        <f>IF(D186="","",VALUE(SUBSTITUTE(MID(D186,FIND(",",D186)+2,10),"%","")))</f>
        <v/>
      </c>
    </row>
    <row r="187">
      <c r="A187" t="inlineStr">
        <is>
          <t>RESP0186</t>
        </is>
      </c>
      <c r="B187" s="4" t="n">
        <v>46456.79311342593</v>
      </c>
      <c r="C187" s="4" t="n">
        <v>46456.79913194444</v>
      </c>
      <c r="D187" t="inlineStr">
        <is>
          <t>1.5, 97%</t>
        </is>
      </c>
      <c r="E187" t="n">
        <v>94</v>
      </c>
      <c r="F187" t="inlineStr">
        <is>
          <t>Study flow 2</t>
        </is>
      </c>
      <c r="G187" t="inlineStr">
        <is>
          <t>Processed</t>
        </is>
      </c>
      <c r="H187" t="inlineStr">
        <is>
          <t>Completed</t>
        </is>
      </c>
      <c r="I187" t="inlineStr">
        <is>
          <t>Laptop</t>
        </is>
      </c>
      <c r="J187" t="inlineStr">
        <is>
          <t>Safari</t>
        </is>
      </c>
      <c r="K187">
        <f>IF(H187="Completed",11,VALUE(MID(H187,6,FIND(" ",H187,6)-6)))</f>
        <v/>
      </c>
      <c r="L187">
        <f>IF(G187="Processed",1,0)</f>
        <v/>
      </c>
      <c r="M187">
        <f>IF(F187="Study flow 1","Narrative first","Visual first")</f>
        <v/>
      </c>
      <c r="N187">
        <f>IF(D187="","",VALUE(LEFT(D187,FIND(",",D187)-1)))</f>
        <v/>
      </c>
      <c r="O187">
        <f>IF(D187="","",VALUE(SUBSTITUTE(MID(D187,FIND(",",D187)+2,10),"%","")))</f>
        <v/>
      </c>
    </row>
    <row r="188">
      <c r="A188" t="inlineStr">
        <is>
          <t>RESP0187</t>
        </is>
      </c>
      <c r="B188" s="4" t="n">
        <v>46456.79605324074</v>
      </c>
      <c r="C188" s="4" t="n"/>
      <c r="F188" t="inlineStr">
        <is>
          <t>Study flow 2</t>
        </is>
      </c>
      <c r="G188" t="inlineStr">
        <is>
          <t>Abandoned</t>
        </is>
      </c>
      <c r="H188" t="inlineStr">
        <is>
          <t>STEP 5 Screen size</t>
        </is>
      </c>
      <c r="I188" t="inlineStr">
        <is>
          <t>Desktop</t>
        </is>
      </c>
      <c r="J188" t="inlineStr">
        <is>
          <t>Chrome</t>
        </is>
      </c>
      <c r="K188">
        <f>IF(H188="Completed",11,VALUE(MID(H188,6,FIND(" ",H188,6)-6)))</f>
        <v/>
      </c>
      <c r="L188">
        <f>IF(G188="Processed",1,0)</f>
        <v/>
      </c>
      <c r="M188">
        <f>IF(F188="Study flow 1","Narrative first","Visual first")</f>
        <v/>
      </c>
      <c r="N188">
        <f>IF(D188="","",VALUE(LEFT(D188,FIND(",",D188)-1)))</f>
        <v/>
      </c>
      <c r="O188">
        <f>IF(D188="","",VALUE(SUBSTITUTE(MID(D188,FIND(",",D188)+2,10),"%","")))</f>
        <v/>
      </c>
    </row>
    <row r="189">
      <c r="A189" t="inlineStr">
        <is>
          <t>RESP0188</t>
        </is>
      </c>
      <c r="B189" s="4" t="n">
        <v>46456.80722222223</v>
      </c>
      <c r="C189" s="4" t="n"/>
      <c r="F189" t="inlineStr">
        <is>
          <t>Study flow 1</t>
        </is>
      </c>
      <c r="G189" t="inlineStr">
        <is>
          <t>Abandoned</t>
        </is>
      </c>
      <c r="H189" t="inlineStr">
        <is>
          <t>STEP 4 Respondent camera setup</t>
        </is>
      </c>
      <c r="I189" t="inlineStr">
        <is>
          <t>Laptop</t>
        </is>
      </c>
      <c r="J189" t="inlineStr">
        <is>
          <t>Chrome</t>
        </is>
      </c>
      <c r="K189">
        <f>IF(H189="Completed",11,VALUE(MID(H189,6,FIND(" ",H189,6)-6)))</f>
        <v/>
      </c>
      <c r="L189">
        <f>IF(G189="Processed",1,0)</f>
        <v/>
      </c>
      <c r="M189">
        <f>IF(F189="Study flow 1","Narrative first","Visual first")</f>
        <v/>
      </c>
      <c r="N189">
        <f>IF(D189="","",VALUE(LEFT(D189,FIND(",",D189)-1)))</f>
        <v/>
      </c>
      <c r="O189">
        <f>IF(D189="","",VALUE(SUBSTITUTE(MID(D189,FIND(",",D189)+2,10),"%","")))</f>
        <v/>
      </c>
    </row>
    <row r="190">
      <c r="A190" t="inlineStr">
        <is>
          <t>RESP0189</t>
        </is>
      </c>
      <c r="B190" s="4" t="n">
        <v>46456.82539351852</v>
      </c>
      <c r="C190" s="4" t="n">
        <v>46456.83186342593</v>
      </c>
      <c r="D190" t="inlineStr">
        <is>
          <t>1.6, 93%</t>
        </is>
      </c>
      <c r="E190" t="n">
        <v>96</v>
      </c>
      <c r="F190" t="inlineStr">
        <is>
          <t>Study flow 2</t>
        </is>
      </c>
      <c r="G190" t="inlineStr">
        <is>
          <t>Processed</t>
        </is>
      </c>
      <c r="H190" t="inlineStr">
        <is>
          <t>Completed</t>
        </is>
      </c>
      <c r="I190" t="inlineStr">
        <is>
          <t>Desktop</t>
        </is>
      </c>
      <c r="J190" t="inlineStr">
        <is>
          <t>Chrome</t>
        </is>
      </c>
      <c r="K190">
        <f>IF(H190="Completed",11,VALUE(MID(H190,6,FIND(" ",H190,6)-6)))</f>
        <v/>
      </c>
      <c r="L190">
        <f>IF(G190="Processed",1,0)</f>
        <v/>
      </c>
      <c r="M190">
        <f>IF(F190="Study flow 1","Narrative first","Visual first")</f>
        <v/>
      </c>
      <c r="N190">
        <f>IF(D190="","",VALUE(LEFT(D190,FIND(",",D190)-1)))</f>
        <v/>
      </c>
      <c r="O190">
        <f>IF(D190="","",VALUE(SUBSTITUTE(MID(D190,FIND(",",D190)+2,10),"%","")))</f>
        <v/>
      </c>
    </row>
    <row r="191">
      <c r="A191" t="inlineStr">
        <is>
          <t>RESP0190</t>
        </is>
      </c>
      <c r="B191" s="4" t="n">
        <v>46456.84162037037</v>
      </c>
      <c r="C191" s="4" t="n">
        <v>46456.84707175926</v>
      </c>
      <c r="D191" t="inlineStr">
        <is>
          <t>3.1, 92%</t>
        </is>
      </c>
      <c r="E191" t="n">
        <v>95</v>
      </c>
      <c r="F191" t="inlineStr">
        <is>
          <t>Study flow 1</t>
        </is>
      </c>
      <c r="G191" t="inlineStr">
        <is>
          <t>Processed</t>
        </is>
      </c>
      <c r="H191" t="inlineStr">
        <is>
          <t>Completed</t>
        </is>
      </c>
      <c r="I191" t="inlineStr">
        <is>
          <t>Laptop</t>
        </is>
      </c>
      <c r="J191" t="inlineStr">
        <is>
          <t>Safari</t>
        </is>
      </c>
      <c r="K191">
        <f>IF(H191="Completed",11,VALUE(MID(H191,6,FIND(" ",H191,6)-6)))</f>
        <v/>
      </c>
      <c r="L191">
        <f>IF(G191="Processed",1,0)</f>
        <v/>
      </c>
      <c r="M191">
        <f>IF(F191="Study flow 1","Narrative first","Visual first")</f>
        <v/>
      </c>
      <c r="N191">
        <f>IF(D191="","",VALUE(LEFT(D191,FIND(",",D191)-1)))</f>
        <v/>
      </c>
      <c r="O191">
        <f>IF(D191="","",VALUE(SUBSTITUTE(MID(D191,FIND(",",D191)+2,10),"%","")))</f>
        <v/>
      </c>
    </row>
    <row r="192">
      <c r="A192" t="inlineStr">
        <is>
          <t>RESP0191</t>
        </is>
      </c>
      <c r="B192" s="4" t="n">
        <v>46456.84439814815</v>
      </c>
      <c r="C192" s="4" t="n">
        <v>46456.85003472222</v>
      </c>
      <c r="D192" t="inlineStr">
        <is>
          <t>3.0, 78%</t>
        </is>
      </c>
      <c r="E192" t="n">
        <v>81</v>
      </c>
      <c r="F192" t="inlineStr">
        <is>
          <t>Study flow 2</t>
        </is>
      </c>
      <c r="G192" t="inlineStr">
        <is>
          <t>Processed</t>
        </is>
      </c>
      <c r="H192" t="inlineStr">
        <is>
          <t>Completed</t>
        </is>
      </c>
      <c r="I192" t="inlineStr">
        <is>
          <t>Desktop</t>
        </is>
      </c>
      <c r="J192" t="inlineStr">
        <is>
          <t>Safari</t>
        </is>
      </c>
      <c r="K192">
        <f>IF(H192="Completed",11,VALUE(MID(H192,6,FIND(" ",H192,6)-6)))</f>
        <v/>
      </c>
      <c r="L192">
        <f>IF(G192="Processed",1,0)</f>
        <v/>
      </c>
      <c r="M192">
        <f>IF(F192="Study flow 1","Narrative first","Visual first")</f>
        <v/>
      </c>
      <c r="N192">
        <f>IF(D192="","",VALUE(LEFT(D192,FIND(",",D192)-1)))</f>
        <v/>
      </c>
      <c r="O192">
        <f>IF(D192="","",VALUE(SUBSTITUTE(MID(D192,FIND(",",D192)+2,10),"%","")))</f>
        <v/>
      </c>
    </row>
    <row r="193">
      <c r="A193" t="inlineStr">
        <is>
          <t>RESP0192</t>
        </is>
      </c>
      <c r="B193" s="4" t="n">
        <v>46456.84890046297</v>
      </c>
      <c r="C193" s="4" t="n"/>
      <c r="F193" t="inlineStr">
        <is>
          <t>Study flow 1</t>
        </is>
      </c>
      <c r="G193" t="inlineStr">
        <is>
          <t>Abandoned</t>
        </is>
      </c>
      <c r="H193" t="inlineStr">
        <is>
          <t>STEP 9 Stimuli presentation*</t>
        </is>
      </c>
      <c r="I193" t="inlineStr">
        <is>
          <t>Desktop</t>
        </is>
      </c>
      <c r="J193" t="inlineStr">
        <is>
          <t>Edge</t>
        </is>
      </c>
      <c r="K193">
        <f>IF(H193="Completed",11,VALUE(MID(H193,6,FIND(" ",H193,6)-6)))</f>
        <v/>
      </c>
      <c r="L193">
        <f>IF(G193="Processed",1,0)</f>
        <v/>
      </c>
      <c r="M193">
        <f>IF(F193="Study flow 1","Narrative first","Visual first")</f>
        <v/>
      </c>
      <c r="N193">
        <f>IF(D193="","",VALUE(LEFT(D193,FIND(",",D193)-1)))</f>
        <v/>
      </c>
      <c r="O193">
        <f>IF(D193="","",VALUE(SUBSTITUTE(MID(D193,FIND(",",D193)+2,10),"%","")))</f>
        <v/>
      </c>
    </row>
    <row r="194">
      <c r="A194" t="inlineStr">
        <is>
          <t>RESP0193</t>
        </is>
      </c>
      <c r="B194" s="4" t="n">
        <v>46456.88574074074</v>
      </c>
      <c r="C194" s="4" t="n">
        <v>46456.89077546296</v>
      </c>
      <c r="D194" t="inlineStr">
        <is>
          <t>0.7, 99%</t>
        </is>
      </c>
      <c r="E194" t="n">
        <v>99</v>
      </c>
      <c r="F194" t="inlineStr">
        <is>
          <t>Study flow 1</t>
        </is>
      </c>
      <c r="G194" t="inlineStr">
        <is>
          <t>Processed</t>
        </is>
      </c>
      <c r="H194" t="inlineStr">
        <is>
          <t>Completed</t>
        </is>
      </c>
      <c r="I194" t="inlineStr">
        <is>
          <t>Desktop</t>
        </is>
      </c>
      <c r="J194" t="inlineStr">
        <is>
          <t>Chrome</t>
        </is>
      </c>
      <c r="K194">
        <f>IF(H194="Completed",11,VALUE(MID(H194,6,FIND(" ",H194,6)-6)))</f>
        <v/>
      </c>
      <c r="L194">
        <f>IF(G194="Processed",1,0)</f>
        <v/>
      </c>
      <c r="M194">
        <f>IF(F194="Study flow 1","Narrative first","Visual first")</f>
        <v/>
      </c>
      <c r="N194">
        <f>IF(D194="","",VALUE(LEFT(D194,FIND(",",D194)-1)))</f>
        <v/>
      </c>
      <c r="O194">
        <f>IF(D194="","",VALUE(SUBSTITUTE(MID(D194,FIND(",",D194)+2,10),"%","")))</f>
        <v/>
      </c>
    </row>
    <row r="195">
      <c r="A195" t="inlineStr">
        <is>
          <t>RESP0194</t>
        </is>
      </c>
      <c r="B195" s="4" t="n">
        <v>46456.88912037037</v>
      </c>
      <c r="C195" s="4" t="n"/>
      <c r="F195" t="inlineStr">
        <is>
          <t>Study flow 2</t>
        </is>
      </c>
      <c r="G195" t="inlineStr">
        <is>
          <t>Abandoned</t>
        </is>
      </c>
      <c r="H195" t="inlineStr">
        <is>
          <t>STEP 2 Consent screen</t>
        </is>
      </c>
      <c r="I195" t="inlineStr">
        <is>
          <t>Phone</t>
        </is>
      </c>
      <c r="J195" t="inlineStr">
        <is>
          <t>Safari</t>
        </is>
      </c>
      <c r="K195">
        <f>IF(H195="Completed",11,VALUE(MID(H195,6,FIND(" ",H195,6)-6)))</f>
        <v/>
      </c>
      <c r="L195">
        <f>IF(G195="Processed",1,0)</f>
        <v/>
      </c>
      <c r="M195">
        <f>IF(F195="Study flow 1","Narrative first","Visual first")</f>
        <v/>
      </c>
      <c r="N195">
        <f>IF(D195="","",VALUE(LEFT(D195,FIND(",",D195)-1)))</f>
        <v/>
      </c>
      <c r="O195">
        <f>IF(D195="","",VALUE(SUBSTITUTE(MID(D195,FIND(",",D195)+2,10),"%","")))</f>
        <v/>
      </c>
    </row>
    <row r="196">
      <c r="A196" t="inlineStr">
        <is>
          <t>RESP0195</t>
        </is>
      </c>
      <c r="B196" s="4" t="n">
        <v>46456.89180555556</v>
      </c>
      <c r="C196" s="4" t="n">
        <v>46456.89765046296</v>
      </c>
      <c r="D196" t="inlineStr">
        <is>
          <t>1.3, 96%</t>
        </is>
      </c>
      <c r="E196" t="n">
        <v>98</v>
      </c>
      <c r="F196" t="inlineStr">
        <is>
          <t>Study flow 2</t>
        </is>
      </c>
      <c r="G196" t="inlineStr">
        <is>
          <t>Processed</t>
        </is>
      </c>
      <c r="H196" t="inlineStr">
        <is>
          <t>Completed</t>
        </is>
      </c>
      <c r="I196" t="inlineStr">
        <is>
          <t>Desktop</t>
        </is>
      </c>
      <c r="J196" t="inlineStr">
        <is>
          <t>Edge</t>
        </is>
      </c>
      <c r="K196">
        <f>IF(H196="Completed",11,VALUE(MID(H196,6,FIND(" ",H196,6)-6)))</f>
        <v/>
      </c>
      <c r="L196">
        <f>IF(G196="Processed",1,0)</f>
        <v/>
      </c>
      <c r="M196">
        <f>IF(F196="Study flow 1","Narrative first","Visual first")</f>
        <v/>
      </c>
      <c r="N196">
        <f>IF(D196="","",VALUE(LEFT(D196,FIND(",",D196)-1)))</f>
        <v/>
      </c>
      <c r="O196">
        <f>IF(D196="","",VALUE(SUBSTITUTE(MID(D196,FIND(",",D196)+2,10),"%","")))</f>
        <v/>
      </c>
    </row>
    <row r="197">
      <c r="A197" t="inlineStr">
        <is>
          <t>RESP0196</t>
        </is>
      </c>
      <c r="B197" s="4" t="n">
        <v>46456.93361111111</v>
      </c>
      <c r="C197" s="4" t="n">
        <v>46456.93983796296</v>
      </c>
      <c r="D197" t="inlineStr">
        <is>
          <t>2.3, 96%</t>
        </is>
      </c>
      <c r="E197" t="n">
        <v>97</v>
      </c>
      <c r="F197" t="inlineStr">
        <is>
          <t>Study flow 2</t>
        </is>
      </c>
      <c r="G197" t="inlineStr">
        <is>
          <t>Processed</t>
        </is>
      </c>
      <c r="H197" t="inlineStr">
        <is>
          <t>Completed</t>
        </is>
      </c>
      <c r="I197" t="inlineStr">
        <is>
          <t>Laptop</t>
        </is>
      </c>
      <c r="J197" t="inlineStr">
        <is>
          <t>Chrome</t>
        </is>
      </c>
      <c r="K197">
        <f>IF(H197="Completed",11,VALUE(MID(H197,6,FIND(" ",H197,6)-6)))</f>
        <v/>
      </c>
      <c r="L197">
        <f>IF(G197="Processed",1,0)</f>
        <v/>
      </c>
      <c r="M197">
        <f>IF(F197="Study flow 1","Narrative first","Visual first")</f>
        <v/>
      </c>
      <c r="N197">
        <f>IF(D197="","",VALUE(LEFT(D197,FIND(",",D197)-1)))</f>
        <v/>
      </c>
      <c r="O197">
        <f>IF(D197="","",VALUE(SUBSTITUTE(MID(D197,FIND(",",D197)+2,10),"%","")))</f>
        <v/>
      </c>
    </row>
    <row r="198">
      <c r="A198" t="inlineStr">
        <is>
          <t>RESP0197</t>
        </is>
      </c>
      <c r="B198" s="4" t="n">
        <v>46456.94074074074</v>
      </c>
      <c r="C198" s="4" t="n">
        <v>46456.94766203704</v>
      </c>
      <c r="D198" t="inlineStr">
        <is>
          <t>1.2, 99%</t>
        </is>
      </c>
      <c r="E198" t="n">
        <v>97</v>
      </c>
      <c r="F198" t="inlineStr">
        <is>
          <t>Study flow 1</t>
        </is>
      </c>
      <c r="G198" t="inlineStr">
        <is>
          <t>Processed</t>
        </is>
      </c>
      <c r="H198" t="inlineStr">
        <is>
          <t>Completed</t>
        </is>
      </c>
      <c r="I198" t="inlineStr">
        <is>
          <t>Desktop</t>
        </is>
      </c>
      <c r="J198" t="inlineStr">
        <is>
          <t>Edge</t>
        </is>
      </c>
      <c r="K198">
        <f>IF(H198="Completed",11,VALUE(MID(H198,6,FIND(" ",H198,6)-6)))</f>
        <v/>
      </c>
      <c r="L198">
        <f>IF(G198="Processed",1,0)</f>
        <v/>
      </c>
      <c r="M198">
        <f>IF(F198="Study flow 1","Narrative first","Visual first")</f>
        <v/>
      </c>
      <c r="N198">
        <f>IF(D198="","",VALUE(LEFT(D198,FIND(",",D198)-1)))</f>
        <v/>
      </c>
      <c r="O198">
        <f>IF(D198="","",VALUE(SUBSTITUTE(MID(D198,FIND(",",D198)+2,10),"%","")))</f>
        <v/>
      </c>
    </row>
    <row r="199">
      <c r="A199" t="inlineStr">
        <is>
          <t>RESP0198</t>
        </is>
      </c>
      <c r="B199" s="4" t="n">
        <v>46456.94118055556</v>
      </c>
      <c r="C199" s="4" t="n">
        <v>46456.94734953704</v>
      </c>
      <c r="D199" t="inlineStr">
        <is>
          <t>2.3, 98%</t>
        </is>
      </c>
      <c r="E199" t="n">
        <v>100</v>
      </c>
      <c r="F199" t="inlineStr">
        <is>
          <t>Study flow 2</t>
        </is>
      </c>
      <c r="G199" t="inlineStr">
        <is>
          <t>Processed</t>
        </is>
      </c>
      <c r="H199" t="inlineStr">
        <is>
          <t>Completed</t>
        </is>
      </c>
      <c r="I199" t="inlineStr">
        <is>
          <t>Desktop</t>
        </is>
      </c>
      <c r="J199" t="inlineStr">
        <is>
          <t>Edge</t>
        </is>
      </c>
      <c r="K199">
        <f>IF(H199="Completed",11,VALUE(MID(H199,6,FIND(" ",H199,6)-6)))</f>
        <v/>
      </c>
      <c r="L199">
        <f>IF(G199="Processed",1,0)</f>
        <v/>
      </c>
      <c r="M199">
        <f>IF(F199="Study flow 1","Narrative first","Visual first")</f>
        <v/>
      </c>
      <c r="N199">
        <f>IF(D199="","",VALUE(LEFT(D199,FIND(",",D199)-1)))</f>
        <v/>
      </c>
      <c r="O199">
        <f>IF(D199="","",VALUE(SUBSTITUTE(MID(D199,FIND(",",D199)+2,10),"%","")))</f>
        <v/>
      </c>
    </row>
    <row r="200">
      <c r="A200" t="inlineStr">
        <is>
          <t>RESP0199</t>
        </is>
      </c>
      <c r="B200" s="4" t="n">
        <v>46457.38181712963</v>
      </c>
      <c r="C200" s="4" t="n">
        <v>46457.38805555556</v>
      </c>
      <c r="D200" t="inlineStr">
        <is>
          <t>1.2, 98%</t>
        </is>
      </c>
      <c r="E200" t="n">
        <v>100</v>
      </c>
      <c r="F200" t="inlineStr">
        <is>
          <t>Study flow 2</t>
        </is>
      </c>
      <c r="G200" t="inlineStr">
        <is>
          <t>Processed</t>
        </is>
      </c>
      <c r="H200" t="inlineStr">
        <is>
          <t>Completed</t>
        </is>
      </c>
      <c r="I200" t="inlineStr">
        <is>
          <t>Laptop</t>
        </is>
      </c>
      <c r="J200" t="inlineStr">
        <is>
          <t>Chrome</t>
        </is>
      </c>
      <c r="K200">
        <f>IF(H200="Completed",11,VALUE(MID(H200,6,FIND(" ",H200,6)-6)))</f>
        <v/>
      </c>
      <c r="L200">
        <f>IF(G200="Processed",1,0)</f>
        <v/>
      </c>
      <c r="M200">
        <f>IF(F200="Study flow 1","Narrative first","Visual first")</f>
        <v/>
      </c>
      <c r="N200">
        <f>IF(D200="","",VALUE(LEFT(D200,FIND(",",D200)-1)))</f>
        <v/>
      </c>
      <c r="O200">
        <f>IF(D200="","",VALUE(SUBSTITUTE(MID(D200,FIND(",",D200)+2,10),"%","")))</f>
        <v/>
      </c>
    </row>
    <row r="201">
      <c r="A201" t="inlineStr">
        <is>
          <t>RESP0200</t>
        </is>
      </c>
      <c r="B201" s="4" t="n">
        <v>46457.39210648148</v>
      </c>
      <c r="C201" s="4" t="n"/>
      <c r="F201" t="inlineStr">
        <is>
          <t>Study flow 2</t>
        </is>
      </c>
      <c r="G201" t="inlineStr">
        <is>
          <t>Abandoned</t>
        </is>
      </c>
      <c r="H201" t="inlineStr">
        <is>
          <t>STEP 5 Screen size</t>
        </is>
      </c>
      <c r="I201" t="inlineStr">
        <is>
          <t>Phone</t>
        </is>
      </c>
      <c r="J201" t="inlineStr">
        <is>
          <t>Safari</t>
        </is>
      </c>
      <c r="K201">
        <f>IF(H201="Completed",11,VALUE(MID(H201,6,FIND(" ",H201,6)-6)))</f>
        <v/>
      </c>
      <c r="L201">
        <f>IF(G201="Processed",1,0)</f>
        <v/>
      </c>
      <c r="M201">
        <f>IF(F201="Study flow 1","Narrative first","Visual first")</f>
        <v/>
      </c>
      <c r="N201">
        <f>IF(D201="","",VALUE(LEFT(D201,FIND(",",D201)-1)))</f>
        <v/>
      </c>
      <c r="O201">
        <f>IF(D201="","",VALUE(SUBSTITUTE(MID(D201,FIND(",",D201)+2,10),"%","")))</f>
        <v/>
      </c>
    </row>
    <row r="202">
      <c r="A202" t="inlineStr">
        <is>
          <t>RESP0201</t>
        </is>
      </c>
      <c r="B202" s="4" t="n">
        <v>46457.42034722222</v>
      </c>
      <c r="C202" s="4" t="n">
        <v>46457.42709490741</v>
      </c>
      <c r="D202" t="inlineStr">
        <is>
          <t>1.9, 95%</t>
        </is>
      </c>
      <c r="E202" t="n">
        <v>83</v>
      </c>
      <c r="F202" t="inlineStr">
        <is>
          <t>Study flow 1</t>
        </is>
      </c>
      <c r="G202" t="inlineStr">
        <is>
          <t>Processed</t>
        </is>
      </c>
      <c r="H202" t="inlineStr">
        <is>
          <t>Completed</t>
        </is>
      </c>
      <c r="I202" t="inlineStr">
        <is>
          <t>Laptop</t>
        </is>
      </c>
      <c r="J202" t="inlineStr">
        <is>
          <t>Chrome</t>
        </is>
      </c>
      <c r="K202">
        <f>IF(H202="Completed",11,VALUE(MID(H202,6,FIND(" ",H202,6)-6)))</f>
        <v/>
      </c>
      <c r="L202">
        <f>IF(G202="Processed",1,0)</f>
        <v/>
      </c>
      <c r="M202">
        <f>IF(F202="Study flow 1","Narrative first","Visual first")</f>
        <v/>
      </c>
      <c r="N202">
        <f>IF(D202="","",VALUE(LEFT(D202,FIND(",",D202)-1)))</f>
        <v/>
      </c>
      <c r="O202">
        <f>IF(D202="","",VALUE(SUBSTITUTE(MID(D202,FIND(",",D202)+2,10),"%","")))</f>
        <v/>
      </c>
    </row>
    <row r="203">
      <c r="A203" t="inlineStr">
        <is>
          <t>RESP0202</t>
        </is>
      </c>
      <c r="B203" s="4" t="n">
        <v>46457.47991898148</v>
      </c>
      <c r="C203" s="4" t="n">
        <v>46457.48574074074</v>
      </c>
      <c r="D203" t="inlineStr">
        <is>
          <t>4.4, 80%</t>
        </is>
      </c>
      <c r="E203" t="n">
        <v>80</v>
      </c>
      <c r="F203" t="inlineStr">
        <is>
          <t>Study flow 2</t>
        </is>
      </c>
      <c r="G203" t="inlineStr">
        <is>
          <t>Processed</t>
        </is>
      </c>
      <c r="H203" t="inlineStr">
        <is>
          <t>Completed</t>
        </is>
      </c>
      <c r="I203" t="inlineStr">
        <is>
          <t>Laptop</t>
        </is>
      </c>
      <c r="J203" t="inlineStr">
        <is>
          <t>Chrome</t>
        </is>
      </c>
      <c r="K203">
        <f>IF(H203="Completed",11,VALUE(MID(H203,6,FIND(" ",H203,6)-6)))</f>
        <v/>
      </c>
      <c r="L203">
        <f>IF(G203="Processed",1,0)</f>
        <v/>
      </c>
      <c r="M203">
        <f>IF(F203="Study flow 1","Narrative first","Visual first")</f>
        <v/>
      </c>
      <c r="N203">
        <f>IF(D203="","",VALUE(LEFT(D203,FIND(",",D203)-1)))</f>
        <v/>
      </c>
      <c r="O203">
        <f>IF(D203="","",VALUE(SUBSTITUTE(MID(D203,FIND(",",D203)+2,10),"%","")))</f>
        <v/>
      </c>
    </row>
    <row r="204">
      <c r="A204" t="inlineStr">
        <is>
          <t>RESP0203</t>
        </is>
      </c>
      <c r="B204" s="4" t="n">
        <v>46457.51984953704</v>
      </c>
      <c r="C204" s="4" t="n">
        <v>46457.52540509259</v>
      </c>
      <c r="D204" t="inlineStr">
        <is>
          <t>2.2, 98%</t>
        </is>
      </c>
      <c r="E204" t="n">
        <v>90</v>
      </c>
      <c r="F204" t="inlineStr">
        <is>
          <t>Study flow 2</t>
        </is>
      </c>
      <c r="G204" t="inlineStr">
        <is>
          <t>Processed</t>
        </is>
      </c>
      <c r="H204" t="inlineStr">
        <is>
          <t>Completed</t>
        </is>
      </c>
      <c r="I204" t="inlineStr">
        <is>
          <t>Laptop</t>
        </is>
      </c>
      <c r="J204" t="inlineStr">
        <is>
          <t>Chrome</t>
        </is>
      </c>
      <c r="K204">
        <f>IF(H204="Completed",11,VALUE(MID(H204,6,FIND(" ",H204,6)-6)))</f>
        <v/>
      </c>
      <c r="L204">
        <f>IF(G204="Processed",1,0)</f>
        <v/>
      </c>
      <c r="M204">
        <f>IF(F204="Study flow 1","Narrative first","Visual first")</f>
        <v/>
      </c>
      <c r="N204">
        <f>IF(D204="","",VALUE(LEFT(D204,FIND(",",D204)-1)))</f>
        <v/>
      </c>
      <c r="O204">
        <f>IF(D204="","",VALUE(SUBSTITUTE(MID(D204,FIND(",",D204)+2,10),"%","")))</f>
        <v/>
      </c>
    </row>
    <row r="205">
      <c r="A205" t="inlineStr">
        <is>
          <t>RESP0204</t>
        </is>
      </c>
      <c r="B205" s="4" t="n">
        <v>46457.53145833333</v>
      </c>
      <c r="C205" s="4" t="n">
        <v>46457.53780092593</v>
      </c>
      <c r="D205" t="inlineStr">
        <is>
          <t>1.2, 99%</t>
        </is>
      </c>
      <c r="E205" t="n">
        <v>99</v>
      </c>
      <c r="F205" t="inlineStr">
        <is>
          <t>Study flow 1</t>
        </is>
      </c>
      <c r="G205" t="inlineStr">
        <is>
          <t>Processed</t>
        </is>
      </c>
      <c r="H205" t="inlineStr">
        <is>
          <t>Completed</t>
        </is>
      </c>
      <c r="I205" t="inlineStr">
        <is>
          <t>Laptop</t>
        </is>
      </c>
      <c r="J205" t="inlineStr">
        <is>
          <t>Safari</t>
        </is>
      </c>
      <c r="K205">
        <f>IF(H205="Completed",11,VALUE(MID(H205,6,FIND(" ",H205,6)-6)))</f>
        <v/>
      </c>
      <c r="L205">
        <f>IF(G205="Processed",1,0)</f>
        <v/>
      </c>
      <c r="M205">
        <f>IF(F205="Study flow 1","Narrative first","Visual first")</f>
        <v/>
      </c>
      <c r="N205">
        <f>IF(D205="","",VALUE(LEFT(D205,FIND(",",D205)-1)))</f>
        <v/>
      </c>
      <c r="O205">
        <f>IF(D205="","",VALUE(SUBSTITUTE(MID(D205,FIND(",",D205)+2,10),"%","")))</f>
        <v/>
      </c>
    </row>
    <row r="206">
      <c r="A206" t="inlineStr">
        <is>
          <t>RESP0205</t>
        </is>
      </c>
      <c r="B206" s="4" t="n">
        <v>46457.54527777778</v>
      </c>
      <c r="C206" s="4" t="n"/>
      <c r="F206" t="inlineStr">
        <is>
          <t>Study flow 1</t>
        </is>
      </c>
      <c r="G206" t="inlineStr">
        <is>
          <t>Abandoned</t>
        </is>
      </c>
      <c r="H206" t="inlineStr">
        <is>
          <t>STEP 6 Enter fullscreen</t>
        </is>
      </c>
      <c r="I206" t="inlineStr">
        <is>
          <t>Laptop</t>
        </is>
      </c>
      <c r="J206" t="inlineStr">
        <is>
          <t>Chrome</t>
        </is>
      </c>
      <c r="K206">
        <f>IF(H206="Completed",11,VALUE(MID(H206,6,FIND(" ",H206,6)-6)))</f>
        <v/>
      </c>
      <c r="L206">
        <f>IF(G206="Processed",1,0)</f>
        <v/>
      </c>
      <c r="M206">
        <f>IF(F206="Study flow 1","Narrative first","Visual first")</f>
        <v/>
      </c>
      <c r="N206">
        <f>IF(D206="","",VALUE(LEFT(D206,FIND(",",D206)-1)))</f>
        <v/>
      </c>
      <c r="O206">
        <f>IF(D206="","",VALUE(SUBSTITUTE(MID(D206,FIND(",",D206)+2,10),"%","")))</f>
        <v/>
      </c>
    </row>
    <row r="207">
      <c r="A207" t="inlineStr">
        <is>
          <t>RESP0206</t>
        </is>
      </c>
      <c r="B207" s="4" t="n">
        <v>46457.55148148148</v>
      </c>
      <c r="C207" s="4" t="n">
        <v>46457.55773148148</v>
      </c>
      <c r="D207" t="inlineStr">
        <is>
          <t>1.3, 99%</t>
        </is>
      </c>
      <c r="E207" t="n">
        <v>97</v>
      </c>
      <c r="F207" t="inlineStr">
        <is>
          <t>Study flow 2</t>
        </is>
      </c>
      <c r="G207" t="inlineStr">
        <is>
          <t>Processed</t>
        </is>
      </c>
      <c r="H207" t="inlineStr">
        <is>
          <t>Completed</t>
        </is>
      </c>
      <c r="I207" t="inlineStr">
        <is>
          <t>Desktop</t>
        </is>
      </c>
      <c r="J207" t="inlineStr">
        <is>
          <t>Chrome</t>
        </is>
      </c>
      <c r="K207">
        <f>IF(H207="Completed",11,VALUE(MID(H207,6,FIND(" ",H207,6)-6)))</f>
        <v/>
      </c>
      <c r="L207">
        <f>IF(G207="Processed",1,0)</f>
        <v/>
      </c>
      <c r="M207">
        <f>IF(F207="Study flow 1","Narrative first","Visual first")</f>
        <v/>
      </c>
      <c r="N207">
        <f>IF(D207="","",VALUE(LEFT(D207,FIND(",",D207)-1)))</f>
        <v/>
      </c>
      <c r="O207">
        <f>IF(D207="","",VALUE(SUBSTITUTE(MID(D207,FIND(",",D207)+2,10),"%","")))</f>
        <v/>
      </c>
    </row>
    <row r="208">
      <c r="A208" t="inlineStr">
        <is>
          <t>RESP0207</t>
        </is>
      </c>
      <c r="B208" s="4" t="n">
        <v>46457.60862268518</v>
      </c>
      <c r="C208" s="4" t="n">
        <v>46457.61519675926</v>
      </c>
      <c r="D208" t="inlineStr">
        <is>
          <t>2.3, 96%</t>
        </is>
      </c>
      <c r="E208" t="n">
        <v>99</v>
      </c>
      <c r="F208" t="inlineStr">
        <is>
          <t>Study flow 1</t>
        </is>
      </c>
      <c r="G208" t="inlineStr">
        <is>
          <t>Processed</t>
        </is>
      </c>
      <c r="H208" t="inlineStr">
        <is>
          <t>Completed</t>
        </is>
      </c>
      <c r="I208" t="inlineStr">
        <is>
          <t>Laptop</t>
        </is>
      </c>
      <c r="J208" t="inlineStr">
        <is>
          <t>Chrome</t>
        </is>
      </c>
      <c r="K208">
        <f>IF(H208="Completed",11,VALUE(MID(H208,6,FIND(" ",H208,6)-6)))</f>
        <v/>
      </c>
      <c r="L208">
        <f>IF(G208="Processed",1,0)</f>
        <v/>
      </c>
      <c r="M208">
        <f>IF(F208="Study flow 1","Narrative first","Visual first")</f>
        <v/>
      </c>
      <c r="N208">
        <f>IF(D208="","",VALUE(LEFT(D208,FIND(",",D208)-1)))</f>
        <v/>
      </c>
      <c r="O208">
        <f>IF(D208="","",VALUE(SUBSTITUTE(MID(D208,FIND(",",D208)+2,10),"%","")))</f>
        <v/>
      </c>
    </row>
    <row r="209">
      <c r="A209" t="inlineStr">
        <is>
          <t>RESP0208</t>
        </is>
      </c>
      <c r="B209" s="4" t="n">
        <v>46457.65699074074</v>
      </c>
      <c r="C209" s="4" t="n">
        <v>46457.6625</v>
      </c>
      <c r="D209" t="inlineStr">
        <is>
          <t>2.0, 94%</t>
        </is>
      </c>
      <c r="E209" t="n">
        <v>93</v>
      </c>
      <c r="F209" t="inlineStr">
        <is>
          <t>Study flow 2</t>
        </is>
      </c>
      <c r="G209" t="inlineStr">
        <is>
          <t>Processed</t>
        </is>
      </c>
      <c r="H209" t="inlineStr">
        <is>
          <t>Completed</t>
        </is>
      </c>
      <c r="I209" t="inlineStr">
        <is>
          <t>Laptop</t>
        </is>
      </c>
      <c r="J209" t="inlineStr">
        <is>
          <t>Firefox</t>
        </is>
      </c>
      <c r="K209">
        <f>IF(H209="Completed",11,VALUE(MID(H209,6,FIND(" ",H209,6)-6)))</f>
        <v/>
      </c>
      <c r="L209">
        <f>IF(G209="Processed",1,0)</f>
        <v/>
      </c>
      <c r="M209">
        <f>IF(F209="Study flow 1","Narrative first","Visual first")</f>
        <v/>
      </c>
      <c r="N209">
        <f>IF(D209="","",VALUE(LEFT(D209,FIND(",",D209)-1)))</f>
        <v/>
      </c>
      <c r="O209">
        <f>IF(D209="","",VALUE(SUBSTITUTE(MID(D209,FIND(",",D209)+2,10),"%","")))</f>
        <v/>
      </c>
    </row>
    <row r="210">
      <c r="A210" t="inlineStr">
        <is>
          <t>RESP0209</t>
        </is>
      </c>
      <c r="B210" s="4" t="n">
        <v>46457.70148148148</v>
      </c>
      <c r="C210" s="4" t="n"/>
      <c r="F210" t="inlineStr">
        <is>
          <t>Study flow 2</t>
        </is>
      </c>
      <c r="G210" t="inlineStr">
        <is>
          <t>Abandoned</t>
        </is>
      </c>
      <c r="H210" t="inlineStr">
        <is>
          <t>STEP 5 Screen size</t>
        </is>
      </c>
      <c r="I210" t="inlineStr">
        <is>
          <t>Phone</t>
        </is>
      </c>
      <c r="J210" t="inlineStr">
        <is>
          <t>Safari</t>
        </is>
      </c>
      <c r="K210">
        <f>IF(H210="Completed",11,VALUE(MID(H210,6,FIND(" ",H210,6)-6)))</f>
        <v/>
      </c>
      <c r="L210">
        <f>IF(G210="Processed",1,0)</f>
        <v/>
      </c>
      <c r="M210">
        <f>IF(F210="Study flow 1","Narrative first","Visual first")</f>
        <v/>
      </c>
      <c r="N210">
        <f>IF(D210="","",VALUE(LEFT(D210,FIND(",",D210)-1)))</f>
        <v/>
      </c>
      <c r="O210">
        <f>IF(D210="","",VALUE(SUBSTITUTE(MID(D210,FIND(",",D210)+2,10),"%","")))</f>
        <v/>
      </c>
    </row>
    <row r="211">
      <c r="A211" t="inlineStr">
        <is>
          <t>RESP0210</t>
        </is>
      </c>
      <c r="B211" s="4" t="n">
        <v>46457.74576388889</v>
      </c>
      <c r="C211" s="4" t="n">
        <v>46457.75131944445</v>
      </c>
      <c r="D211" t="inlineStr">
        <is>
          <t>3.5, 97%</t>
        </is>
      </c>
      <c r="E211" t="n">
        <v>99</v>
      </c>
      <c r="F211" t="inlineStr">
        <is>
          <t>Study flow 1</t>
        </is>
      </c>
      <c r="G211" t="inlineStr">
        <is>
          <t>Processed</t>
        </is>
      </c>
      <c r="H211" t="inlineStr">
        <is>
          <t>Completed</t>
        </is>
      </c>
      <c r="I211" t="inlineStr">
        <is>
          <t>Desktop</t>
        </is>
      </c>
      <c r="J211" t="inlineStr">
        <is>
          <t>Firefox</t>
        </is>
      </c>
      <c r="K211">
        <f>IF(H211="Completed",11,VALUE(MID(H211,6,FIND(" ",H211,6)-6)))</f>
        <v/>
      </c>
      <c r="L211">
        <f>IF(G211="Processed",1,0)</f>
        <v/>
      </c>
      <c r="M211">
        <f>IF(F211="Study flow 1","Narrative first","Visual first")</f>
        <v/>
      </c>
      <c r="N211">
        <f>IF(D211="","",VALUE(LEFT(D211,FIND(",",D211)-1)))</f>
        <v/>
      </c>
      <c r="O211">
        <f>IF(D211="","",VALUE(SUBSTITUTE(MID(D211,FIND(",",D211)+2,10),"%","")))</f>
        <v/>
      </c>
    </row>
    <row r="212">
      <c r="A212" t="inlineStr">
        <is>
          <t>RESP0211</t>
        </is>
      </c>
      <c r="B212" s="4" t="n">
        <v>46457.7487962963</v>
      </c>
      <c r="C212" s="4" t="n">
        <v>46457.75478009259</v>
      </c>
      <c r="D212" t="inlineStr">
        <is>
          <t>1.0, 99%</t>
        </is>
      </c>
      <c r="E212" t="n">
        <v>100</v>
      </c>
      <c r="F212" t="inlineStr">
        <is>
          <t>Study flow 2</t>
        </is>
      </c>
      <c r="G212" t="inlineStr">
        <is>
          <t>Processed</t>
        </is>
      </c>
      <c r="H212" t="inlineStr">
        <is>
          <t>Completed</t>
        </is>
      </c>
      <c r="I212" t="inlineStr">
        <is>
          <t>Laptop</t>
        </is>
      </c>
      <c r="J212" t="inlineStr">
        <is>
          <t>Chrome</t>
        </is>
      </c>
      <c r="K212">
        <f>IF(H212="Completed",11,VALUE(MID(H212,6,FIND(" ",H212,6)-6)))</f>
        <v/>
      </c>
      <c r="L212">
        <f>IF(G212="Processed",1,0)</f>
        <v/>
      </c>
      <c r="M212">
        <f>IF(F212="Study flow 1","Narrative first","Visual first")</f>
        <v/>
      </c>
      <c r="N212">
        <f>IF(D212="","",VALUE(LEFT(D212,FIND(",",D212)-1)))</f>
        <v/>
      </c>
      <c r="O212">
        <f>IF(D212="","",VALUE(SUBSTITUTE(MID(D212,FIND(",",D212)+2,10),"%","")))</f>
        <v/>
      </c>
    </row>
    <row r="213">
      <c r="A213" t="inlineStr">
        <is>
          <t>RESP0212</t>
        </is>
      </c>
      <c r="B213" s="4" t="n">
        <v>46457.75540509259</v>
      </c>
      <c r="C213" s="4" t="n">
        <v>46457.76061342593</v>
      </c>
      <c r="D213" t="inlineStr">
        <is>
          <t>2.0, 95%</t>
        </is>
      </c>
      <c r="E213" t="n">
        <v>98</v>
      </c>
      <c r="F213" t="inlineStr">
        <is>
          <t>Study flow 1</t>
        </is>
      </c>
      <c r="G213" t="inlineStr">
        <is>
          <t>Processed</t>
        </is>
      </c>
      <c r="H213" t="inlineStr">
        <is>
          <t>Completed</t>
        </is>
      </c>
      <c r="I213" t="inlineStr">
        <is>
          <t>Laptop</t>
        </is>
      </c>
      <c r="J213" t="inlineStr">
        <is>
          <t>Chrome</t>
        </is>
      </c>
      <c r="K213">
        <f>IF(H213="Completed",11,VALUE(MID(H213,6,FIND(" ",H213,6)-6)))</f>
        <v/>
      </c>
      <c r="L213">
        <f>IF(G213="Processed",1,0)</f>
        <v/>
      </c>
      <c r="M213">
        <f>IF(F213="Study flow 1","Narrative first","Visual first")</f>
        <v/>
      </c>
      <c r="N213">
        <f>IF(D213="","",VALUE(LEFT(D213,FIND(",",D213)-1)))</f>
        <v/>
      </c>
      <c r="O213">
        <f>IF(D213="","",VALUE(SUBSTITUTE(MID(D213,FIND(",",D213)+2,10),"%","")))</f>
        <v/>
      </c>
    </row>
    <row r="214">
      <c r="A214" t="inlineStr">
        <is>
          <t>RESP0213</t>
        </is>
      </c>
      <c r="B214" s="4" t="n">
        <v>46457.76289351852</v>
      </c>
      <c r="C214" s="4" t="n"/>
      <c r="F214" t="inlineStr">
        <is>
          <t>Study flow 2</t>
        </is>
      </c>
      <c r="G214" t="inlineStr">
        <is>
          <t>Abandoned</t>
        </is>
      </c>
      <c r="H214" t="inlineStr">
        <is>
          <t>STEP 8 Positioning check</t>
        </is>
      </c>
      <c r="I214" t="inlineStr">
        <is>
          <t>Desktop</t>
        </is>
      </c>
      <c r="J214" t="inlineStr">
        <is>
          <t>Chrome</t>
        </is>
      </c>
      <c r="K214">
        <f>IF(H214="Completed",11,VALUE(MID(H214,6,FIND(" ",H214,6)-6)))</f>
        <v/>
      </c>
      <c r="L214">
        <f>IF(G214="Processed",1,0)</f>
        <v/>
      </c>
      <c r="M214">
        <f>IF(F214="Study flow 1","Narrative first","Visual first")</f>
        <v/>
      </c>
      <c r="N214">
        <f>IF(D214="","",VALUE(LEFT(D214,FIND(",",D214)-1)))</f>
        <v/>
      </c>
      <c r="O214">
        <f>IF(D214="","",VALUE(SUBSTITUTE(MID(D214,FIND(",",D214)+2,10),"%","")))</f>
        <v/>
      </c>
    </row>
    <row r="215">
      <c r="A215" t="inlineStr">
        <is>
          <t>RESP0214</t>
        </is>
      </c>
      <c r="B215" s="4" t="n">
        <v>46457.77553240741</v>
      </c>
      <c r="C215" s="4" t="n">
        <v>46457.78113425926</v>
      </c>
      <c r="D215" t="inlineStr">
        <is>
          <t>1.4, 98%</t>
        </is>
      </c>
      <c r="E215" t="n">
        <v>99</v>
      </c>
      <c r="F215" t="inlineStr">
        <is>
          <t>Study flow 2</t>
        </is>
      </c>
      <c r="G215" t="inlineStr">
        <is>
          <t>Processed</t>
        </is>
      </c>
      <c r="H215" t="inlineStr">
        <is>
          <t>Completed</t>
        </is>
      </c>
      <c r="I215" t="inlineStr">
        <is>
          <t>Desktop</t>
        </is>
      </c>
      <c r="J215" t="inlineStr">
        <is>
          <t>Firefox</t>
        </is>
      </c>
      <c r="K215">
        <f>IF(H215="Completed",11,VALUE(MID(H215,6,FIND(" ",H215,6)-6)))</f>
        <v/>
      </c>
      <c r="L215">
        <f>IF(G215="Processed",1,0)</f>
        <v/>
      </c>
      <c r="M215">
        <f>IF(F215="Study flow 1","Narrative first","Visual first")</f>
        <v/>
      </c>
      <c r="N215">
        <f>IF(D215="","",VALUE(LEFT(D215,FIND(",",D215)-1)))</f>
        <v/>
      </c>
      <c r="O215">
        <f>IF(D215="","",VALUE(SUBSTITUTE(MID(D215,FIND(",",D215)+2,10),"%","")))</f>
        <v/>
      </c>
    </row>
    <row r="216">
      <c r="A216" t="inlineStr">
        <is>
          <t>RESP0215</t>
        </is>
      </c>
      <c r="B216" s="4" t="n">
        <v>46457.78541666667</v>
      </c>
      <c r="C216" s="4" t="n"/>
      <c r="F216" t="inlineStr">
        <is>
          <t>Study flow 2</t>
        </is>
      </c>
      <c r="G216" t="inlineStr">
        <is>
          <t>Abandoned</t>
        </is>
      </c>
      <c r="H216" t="inlineStr">
        <is>
          <t>STEP 5 Screen size</t>
        </is>
      </c>
      <c r="I216" t="inlineStr">
        <is>
          <t>Phone</t>
        </is>
      </c>
      <c r="J216" t="inlineStr">
        <is>
          <t>Safari</t>
        </is>
      </c>
      <c r="K216">
        <f>IF(H216="Completed",11,VALUE(MID(H216,6,FIND(" ",H216,6)-6)))</f>
        <v/>
      </c>
      <c r="L216">
        <f>IF(G216="Processed",1,0)</f>
        <v/>
      </c>
      <c r="M216">
        <f>IF(F216="Study flow 1","Narrative first","Visual first")</f>
        <v/>
      </c>
      <c r="N216">
        <f>IF(D216="","",VALUE(LEFT(D216,FIND(",",D216)-1)))</f>
        <v/>
      </c>
      <c r="O216">
        <f>IF(D216="","",VALUE(SUBSTITUTE(MID(D216,FIND(",",D216)+2,10),"%","")))</f>
        <v/>
      </c>
    </row>
    <row r="217">
      <c r="A217" t="inlineStr">
        <is>
          <t>RESP0216</t>
        </is>
      </c>
      <c r="B217" s="4" t="n">
        <v>46457.78913194445</v>
      </c>
      <c r="C217" s="4" t="n"/>
      <c r="F217" t="inlineStr">
        <is>
          <t>Study flow 2</t>
        </is>
      </c>
      <c r="G217" t="inlineStr">
        <is>
          <t>Abandoned</t>
        </is>
      </c>
      <c r="H217" t="inlineStr">
        <is>
          <t>STEP 5 Screen size</t>
        </is>
      </c>
      <c r="I217" t="inlineStr">
        <is>
          <t>Phone</t>
        </is>
      </c>
      <c r="J217" t="inlineStr">
        <is>
          <t>Safari</t>
        </is>
      </c>
      <c r="K217">
        <f>IF(H217="Completed",11,VALUE(MID(H217,6,FIND(" ",H217,6)-6)))</f>
        <v/>
      </c>
      <c r="L217">
        <f>IF(G217="Processed",1,0)</f>
        <v/>
      </c>
      <c r="M217">
        <f>IF(F217="Study flow 1","Narrative first","Visual first")</f>
        <v/>
      </c>
      <c r="N217">
        <f>IF(D217="","",VALUE(LEFT(D217,FIND(",",D217)-1)))</f>
        <v/>
      </c>
      <c r="O217">
        <f>IF(D217="","",VALUE(SUBSTITUTE(MID(D217,FIND(",",D217)+2,10),"%","")))</f>
        <v/>
      </c>
    </row>
    <row r="218">
      <c r="A218" t="inlineStr">
        <is>
          <t>RESP0217</t>
        </is>
      </c>
      <c r="B218" s="4" t="n">
        <v>46457.79008101852</v>
      </c>
      <c r="C218" s="4" t="n"/>
      <c r="F218" t="inlineStr">
        <is>
          <t>Study flow 1</t>
        </is>
      </c>
      <c r="G218" t="inlineStr">
        <is>
          <t>Abandoned</t>
        </is>
      </c>
      <c r="H218" t="inlineStr">
        <is>
          <t>STEP 9 Stimuli presentation*</t>
        </is>
      </c>
      <c r="I218" t="inlineStr">
        <is>
          <t>Laptop</t>
        </is>
      </c>
      <c r="J218" t="inlineStr">
        <is>
          <t>Firefox</t>
        </is>
      </c>
      <c r="K218">
        <f>IF(H218="Completed",11,VALUE(MID(H218,6,FIND(" ",H218,6)-6)))</f>
        <v/>
      </c>
      <c r="L218">
        <f>IF(G218="Processed",1,0)</f>
        <v/>
      </c>
      <c r="M218">
        <f>IF(F218="Study flow 1","Narrative first","Visual first")</f>
        <v/>
      </c>
      <c r="N218">
        <f>IF(D218="","",VALUE(LEFT(D218,FIND(",",D218)-1)))</f>
        <v/>
      </c>
      <c r="O218">
        <f>IF(D218="","",VALUE(SUBSTITUTE(MID(D218,FIND(",",D218)+2,10),"%","")))</f>
        <v/>
      </c>
    </row>
    <row r="219">
      <c r="A219" t="inlineStr">
        <is>
          <t>RESP0218</t>
        </is>
      </c>
      <c r="B219" s="4" t="n">
        <v>46457.82684027778</v>
      </c>
      <c r="C219" s="4" t="n">
        <v>46457.83321759259</v>
      </c>
      <c r="D219" t="inlineStr">
        <is>
          <t>3.8, 71%</t>
        </is>
      </c>
      <c r="E219" t="n">
        <v>82</v>
      </c>
      <c r="F219" t="inlineStr">
        <is>
          <t>Study flow 2</t>
        </is>
      </c>
      <c r="G219" t="inlineStr">
        <is>
          <t>Processed</t>
        </is>
      </c>
      <c r="H219" t="inlineStr">
        <is>
          <t>Completed</t>
        </is>
      </c>
      <c r="I219" t="inlineStr">
        <is>
          <t>Laptop</t>
        </is>
      </c>
      <c r="J219" t="inlineStr">
        <is>
          <t>Firefox</t>
        </is>
      </c>
      <c r="K219">
        <f>IF(H219="Completed",11,VALUE(MID(H219,6,FIND(" ",H219,6)-6)))</f>
        <v/>
      </c>
      <c r="L219">
        <f>IF(G219="Processed",1,0)</f>
        <v/>
      </c>
      <c r="M219">
        <f>IF(F219="Study flow 1","Narrative first","Visual first")</f>
        <v/>
      </c>
      <c r="N219">
        <f>IF(D219="","",VALUE(LEFT(D219,FIND(",",D219)-1)))</f>
        <v/>
      </c>
      <c r="O219">
        <f>IF(D219="","",VALUE(SUBSTITUTE(MID(D219,FIND(",",D219)+2,10),"%","")))</f>
        <v/>
      </c>
    </row>
    <row r="220">
      <c r="A220" t="inlineStr">
        <is>
          <t>RESP0219</t>
        </is>
      </c>
      <c r="B220" s="4" t="n">
        <v>46457.830625</v>
      </c>
      <c r="C220" s="4" t="n">
        <v>46457.83649305555</v>
      </c>
      <c r="D220" t="inlineStr">
        <is>
          <t>5.3, 96%</t>
        </is>
      </c>
      <c r="E220" t="n">
        <v>97</v>
      </c>
      <c r="F220" t="inlineStr">
        <is>
          <t>Study flow 2</t>
        </is>
      </c>
      <c r="G220" t="inlineStr">
        <is>
          <t>Processed</t>
        </is>
      </c>
      <c r="H220" t="inlineStr">
        <is>
          <t>Completed</t>
        </is>
      </c>
      <c r="I220" t="inlineStr">
        <is>
          <t>Laptop</t>
        </is>
      </c>
      <c r="J220" t="inlineStr">
        <is>
          <t>Chrome</t>
        </is>
      </c>
      <c r="K220">
        <f>IF(H220="Completed",11,VALUE(MID(H220,6,FIND(" ",H220,6)-6)))</f>
        <v/>
      </c>
      <c r="L220">
        <f>IF(G220="Processed",1,0)</f>
        <v/>
      </c>
      <c r="M220">
        <f>IF(F220="Study flow 1","Narrative first","Visual first")</f>
        <v/>
      </c>
      <c r="N220">
        <f>IF(D220="","",VALUE(LEFT(D220,FIND(",",D220)-1)))</f>
        <v/>
      </c>
      <c r="O220">
        <f>IF(D220="","",VALUE(SUBSTITUTE(MID(D220,FIND(",",D220)+2,10),"%","")))</f>
        <v/>
      </c>
    </row>
    <row r="221">
      <c r="A221" t="inlineStr">
        <is>
          <t>RESP0220</t>
        </is>
      </c>
      <c r="B221" s="4" t="n">
        <v>46457.83708333333</v>
      </c>
      <c r="C221" s="4" t="n"/>
      <c r="F221" t="inlineStr">
        <is>
          <t>Study flow 1</t>
        </is>
      </c>
      <c r="G221" t="inlineStr">
        <is>
          <t>Abandoned</t>
        </is>
      </c>
      <c r="H221" t="inlineStr">
        <is>
          <t>STEP 1 Testing upload</t>
        </is>
      </c>
      <c r="I221" t="inlineStr">
        <is>
          <t>Desktop</t>
        </is>
      </c>
      <c r="J221" t="inlineStr">
        <is>
          <t>Edge</t>
        </is>
      </c>
      <c r="K221">
        <f>IF(H221="Completed",11,VALUE(MID(H221,6,FIND(" ",H221,6)-6)))</f>
        <v/>
      </c>
      <c r="L221">
        <f>IF(G221="Processed",1,0)</f>
        <v/>
      </c>
      <c r="M221">
        <f>IF(F221="Study flow 1","Narrative first","Visual first")</f>
        <v/>
      </c>
      <c r="N221">
        <f>IF(D221="","",VALUE(LEFT(D221,FIND(",",D221)-1)))</f>
        <v/>
      </c>
      <c r="O221">
        <f>IF(D221="","",VALUE(SUBSTITUTE(MID(D221,FIND(",",D221)+2,10),"%","")))</f>
        <v/>
      </c>
    </row>
    <row r="222">
      <c r="A222" t="inlineStr">
        <is>
          <t>RESP0221</t>
        </is>
      </c>
      <c r="B222" s="4" t="n">
        <v>46457.83954861111</v>
      </c>
      <c r="C222" s="4" t="n"/>
      <c r="F222" t="inlineStr">
        <is>
          <t>Study flow 2</t>
        </is>
      </c>
      <c r="G222" t="inlineStr">
        <is>
          <t>Abandoned</t>
        </is>
      </c>
      <c r="H222" t="inlineStr">
        <is>
          <t>STEP 5 Screen size</t>
        </is>
      </c>
      <c r="I222" t="inlineStr">
        <is>
          <t>Phone</t>
        </is>
      </c>
      <c r="J222" t="inlineStr">
        <is>
          <t>Safari</t>
        </is>
      </c>
      <c r="K222">
        <f>IF(H222="Completed",11,VALUE(MID(H222,6,FIND(" ",H222,6)-6)))</f>
        <v/>
      </c>
      <c r="L222">
        <f>IF(G222="Processed",1,0)</f>
        <v/>
      </c>
      <c r="M222">
        <f>IF(F222="Study flow 1","Narrative first","Visual first")</f>
        <v/>
      </c>
      <c r="N222">
        <f>IF(D222="","",VALUE(LEFT(D222,FIND(",",D222)-1)))</f>
        <v/>
      </c>
      <c r="O222">
        <f>IF(D222="","",VALUE(SUBSTITUTE(MID(D222,FIND(",",D222)+2,10),"%","")))</f>
        <v/>
      </c>
    </row>
    <row r="223">
      <c r="A223" t="inlineStr">
        <is>
          <t>RESP0222</t>
        </is>
      </c>
      <c r="B223" s="4" t="n">
        <v>46457.84296296296</v>
      </c>
      <c r="C223" s="4" t="n">
        <v>46457.84896990741</v>
      </c>
      <c r="D223" t="inlineStr">
        <is>
          <t>2.6, 91%</t>
        </is>
      </c>
      <c r="E223" t="n">
        <v>99</v>
      </c>
      <c r="F223" t="inlineStr">
        <is>
          <t>Study flow 1</t>
        </is>
      </c>
      <c r="G223" t="inlineStr">
        <is>
          <t>Processed</t>
        </is>
      </c>
      <c r="H223" t="inlineStr">
        <is>
          <t>Completed</t>
        </is>
      </c>
      <c r="I223" t="inlineStr">
        <is>
          <t>Laptop</t>
        </is>
      </c>
      <c r="J223" t="inlineStr">
        <is>
          <t>Chrome</t>
        </is>
      </c>
      <c r="K223">
        <f>IF(H223="Completed",11,VALUE(MID(H223,6,FIND(" ",H223,6)-6)))</f>
        <v/>
      </c>
      <c r="L223">
        <f>IF(G223="Processed",1,0)</f>
        <v/>
      </c>
      <c r="M223">
        <f>IF(F223="Study flow 1","Narrative first","Visual first")</f>
        <v/>
      </c>
      <c r="N223">
        <f>IF(D223="","",VALUE(LEFT(D223,FIND(",",D223)-1)))</f>
        <v/>
      </c>
      <c r="O223">
        <f>IF(D223="","",VALUE(SUBSTITUTE(MID(D223,FIND(",",D223)+2,10),"%","")))</f>
        <v/>
      </c>
    </row>
    <row r="224">
      <c r="A224" t="inlineStr">
        <is>
          <t>RESP0223</t>
        </is>
      </c>
      <c r="B224" s="4" t="n">
        <v>46457.84454861111</v>
      </c>
      <c r="C224" s="4" t="n">
        <v>46457.85003472222</v>
      </c>
      <c r="D224" t="inlineStr">
        <is>
          <t>1.3, 95%</t>
        </is>
      </c>
      <c r="E224" t="n">
        <v>91</v>
      </c>
      <c r="F224" t="inlineStr">
        <is>
          <t>Study flow 2</t>
        </is>
      </c>
      <c r="G224" t="inlineStr">
        <is>
          <t>Processed</t>
        </is>
      </c>
      <c r="H224" t="inlineStr">
        <is>
          <t>Completed</t>
        </is>
      </c>
      <c r="I224" t="inlineStr">
        <is>
          <t>Laptop</t>
        </is>
      </c>
      <c r="J224" t="inlineStr">
        <is>
          <t>Chrome</t>
        </is>
      </c>
      <c r="K224">
        <f>IF(H224="Completed",11,VALUE(MID(H224,6,FIND(" ",H224,6)-6)))</f>
        <v/>
      </c>
      <c r="L224">
        <f>IF(G224="Processed",1,0)</f>
        <v/>
      </c>
      <c r="M224">
        <f>IF(F224="Study flow 1","Narrative first","Visual first")</f>
        <v/>
      </c>
      <c r="N224">
        <f>IF(D224="","",VALUE(LEFT(D224,FIND(",",D224)-1)))</f>
        <v/>
      </c>
      <c r="O224">
        <f>IF(D224="","",VALUE(SUBSTITUTE(MID(D224,FIND(",",D224)+2,10),"%","")))</f>
        <v/>
      </c>
    </row>
    <row r="225">
      <c r="A225" t="inlineStr">
        <is>
          <t>RESP0224</t>
        </is>
      </c>
      <c r="B225" s="4" t="n">
        <v>46457.85056712963</v>
      </c>
      <c r="C225" s="4" t="n">
        <v>46457.85678240741</v>
      </c>
      <c r="D225" t="inlineStr">
        <is>
          <t>0.7, 98%</t>
        </is>
      </c>
      <c r="E225" t="n">
        <v>100</v>
      </c>
      <c r="F225" t="inlineStr">
        <is>
          <t>Study flow 1</t>
        </is>
      </c>
      <c r="G225" t="inlineStr">
        <is>
          <t>Processed</t>
        </is>
      </c>
      <c r="H225" t="inlineStr">
        <is>
          <t>Completed</t>
        </is>
      </c>
      <c r="I225" t="inlineStr">
        <is>
          <t>Laptop</t>
        </is>
      </c>
      <c r="J225" t="inlineStr">
        <is>
          <t>Chrome</t>
        </is>
      </c>
      <c r="K225">
        <f>IF(H225="Completed",11,VALUE(MID(H225,6,FIND(" ",H225,6)-6)))</f>
        <v/>
      </c>
      <c r="L225">
        <f>IF(G225="Processed",1,0)</f>
        <v/>
      </c>
      <c r="M225">
        <f>IF(F225="Study flow 1","Narrative first","Visual first")</f>
        <v/>
      </c>
      <c r="N225">
        <f>IF(D225="","",VALUE(LEFT(D225,FIND(",",D225)-1)))</f>
        <v/>
      </c>
      <c r="O225">
        <f>IF(D225="","",VALUE(SUBSTITUTE(MID(D225,FIND(",",D225)+2,10),"%","")))</f>
        <v/>
      </c>
    </row>
    <row r="226">
      <c r="A226" t="inlineStr">
        <is>
          <t>RESP0225</t>
        </is>
      </c>
      <c r="B226" s="4" t="n">
        <v>46457.85524305556</v>
      </c>
      <c r="C226" s="4" t="n">
        <v>46457.86184027778</v>
      </c>
      <c r="F226" t="inlineStr">
        <is>
          <t>Study flow 2</t>
        </is>
      </c>
      <c r="G226" t="inlineStr">
        <is>
          <t>Errors</t>
        </is>
      </c>
      <c r="H226" t="inlineStr">
        <is>
          <t>STEP 10 Study data upload</t>
        </is>
      </c>
      <c r="I226" t="inlineStr">
        <is>
          <t>Laptop</t>
        </is>
      </c>
      <c r="J226" t="inlineStr">
        <is>
          <t>Firefox</t>
        </is>
      </c>
      <c r="K226">
        <f>IF(H226="Completed",11,VALUE(MID(H226,6,FIND(" ",H226,6)-6)))</f>
        <v/>
      </c>
      <c r="L226">
        <f>IF(G226="Processed",1,0)</f>
        <v/>
      </c>
      <c r="M226">
        <f>IF(F226="Study flow 1","Narrative first","Visual first")</f>
        <v/>
      </c>
      <c r="N226">
        <f>IF(D226="","",VALUE(LEFT(D226,FIND(",",D226)-1)))</f>
        <v/>
      </c>
      <c r="O226">
        <f>IF(D226="","",VALUE(SUBSTITUTE(MID(D226,FIND(",",D226)+2,10),"%","")))</f>
        <v/>
      </c>
    </row>
    <row r="227">
      <c r="A227" t="inlineStr">
        <is>
          <t>RESP0226</t>
        </is>
      </c>
      <c r="B227" s="4" t="n">
        <v>46457.85765046296</v>
      </c>
      <c r="C227" s="4" t="n">
        <v>46457.86399305556</v>
      </c>
      <c r="D227" t="inlineStr">
        <is>
          <t>2.0, 98%</t>
        </is>
      </c>
      <c r="E227" t="n">
        <v>99</v>
      </c>
      <c r="F227" t="inlineStr">
        <is>
          <t>Study flow 1</t>
        </is>
      </c>
      <c r="G227" t="inlineStr">
        <is>
          <t>Processed</t>
        </is>
      </c>
      <c r="H227" t="inlineStr">
        <is>
          <t>Completed</t>
        </is>
      </c>
      <c r="I227" t="inlineStr">
        <is>
          <t>Laptop</t>
        </is>
      </c>
      <c r="J227" t="inlineStr">
        <is>
          <t>Chrome</t>
        </is>
      </c>
      <c r="K227">
        <f>IF(H227="Completed",11,VALUE(MID(H227,6,FIND(" ",H227,6)-6)))</f>
        <v/>
      </c>
      <c r="L227">
        <f>IF(G227="Processed",1,0)</f>
        <v/>
      </c>
      <c r="M227">
        <f>IF(F227="Study flow 1","Narrative first","Visual first")</f>
        <v/>
      </c>
      <c r="N227">
        <f>IF(D227="","",VALUE(LEFT(D227,FIND(",",D227)-1)))</f>
        <v/>
      </c>
      <c r="O227">
        <f>IF(D227="","",VALUE(SUBSTITUTE(MID(D227,FIND(",",D227)+2,10),"%","")))</f>
        <v/>
      </c>
    </row>
    <row r="228">
      <c r="A228" t="inlineStr">
        <is>
          <t>RESP0227</t>
        </is>
      </c>
      <c r="B228" s="4" t="n">
        <v>46457.86075231482</v>
      </c>
      <c r="C228" s="4" t="n">
        <v>46457.86693287037</v>
      </c>
      <c r="D228" t="inlineStr">
        <is>
          <t>0.7, 98%</t>
        </is>
      </c>
      <c r="E228" t="n">
        <v>98</v>
      </c>
      <c r="F228" t="inlineStr">
        <is>
          <t>Study flow 1</t>
        </is>
      </c>
      <c r="G228" t="inlineStr">
        <is>
          <t>Processed</t>
        </is>
      </c>
      <c r="H228" t="inlineStr">
        <is>
          <t>Completed</t>
        </is>
      </c>
      <c r="I228" t="inlineStr">
        <is>
          <t>Laptop</t>
        </is>
      </c>
      <c r="J228" t="inlineStr">
        <is>
          <t>Chrome</t>
        </is>
      </c>
      <c r="K228">
        <f>IF(H228="Completed",11,VALUE(MID(H228,6,FIND(" ",H228,6)-6)))</f>
        <v/>
      </c>
      <c r="L228">
        <f>IF(G228="Processed",1,0)</f>
        <v/>
      </c>
      <c r="M228">
        <f>IF(F228="Study flow 1","Narrative first","Visual first")</f>
        <v/>
      </c>
      <c r="N228">
        <f>IF(D228="","",VALUE(LEFT(D228,FIND(",",D228)-1)))</f>
        <v/>
      </c>
      <c r="O228">
        <f>IF(D228="","",VALUE(SUBSTITUTE(MID(D228,FIND(",",D228)+2,10),"%","")))</f>
        <v/>
      </c>
    </row>
    <row r="229">
      <c r="A229" t="inlineStr">
        <is>
          <t>RESP0228</t>
        </is>
      </c>
      <c r="B229" s="4" t="n">
        <v>46457.86170138889</v>
      </c>
      <c r="C229" s="4" t="n">
        <v>46457.86761574074</v>
      </c>
      <c r="D229" t="inlineStr">
        <is>
          <t>1.3, 96%</t>
        </is>
      </c>
      <c r="E229" t="n">
        <v>99</v>
      </c>
      <c r="F229" t="inlineStr">
        <is>
          <t>Study flow 2</t>
        </is>
      </c>
      <c r="G229" t="inlineStr">
        <is>
          <t>Processed</t>
        </is>
      </c>
      <c r="H229" t="inlineStr">
        <is>
          <t>Completed</t>
        </is>
      </c>
      <c r="I229" t="inlineStr">
        <is>
          <t>Laptop</t>
        </is>
      </c>
      <c r="J229" t="inlineStr">
        <is>
          <t>Edge</t>
        </is>
      </c>
      <c r="K229">
        <f>IF(H229="Completed",11,VALUE(MID(H229,6,FIND(" ",H229,6)-6)))</f>
        <v/>
      </c>
      <c r="L229">
        <f>IF(G229="Processed",1,0)</f>
        <v/>
      </c>
      <c r="M229">
        <f>IF(F229="Study flow 1","Narrative first","Visual first")</f>
        <v/>
      </c>
      <c r="N229">
        <f>IF(D229="","",VALUE(LEFT(D229,FIND(",",D229)-1)))</f>
        <v/>
      </c>
      <c r="O229">
        <f>IF(D229="","",VALUE(SUBSTITUTE(MID(D229,FIND(",",D229)+2,10),"%","")))</f>
        <v/>
      </c>
    </row>
    <row r="230">
      <c r="A230" t="inlineStr">
        <is>
          <t>RESP0229</t>
        </is>
      </c>
      <c r="B230" s="4" t="n">
        <v>46457.90090277778</v>
      </c>
      <c r="C230" s="4" t="n">
        <v>46457.90668981482</v>
      </c>
      <c r="D230" t="inlineStr">
        <is>
          <t>1.0, 99%</t>
        </is>
      </c>
      <c r="E230" t="n">
        <v>100</v>
      </c>
      <c r="F230" t="inlineStr">
        <is>
          <t>Study flow 2</t>
        </is>
      </c>
      <c r="G230" t="inlineStr">
        <is>
          <t>Processed</t>
        </is>
      </c>
      <c r="H230" t="inlineStr">
        <is>
          <t>Completed</t>
        </is>
      </c>
      <c r="I230" t="inlineStr">
        <is>
          <t>Laptop</t>
        </is>
      </c>
      <c r="J230" t="inlineStr">
        <is>
          <t>Safari</t>
        </is>
      </c>
      <c r="K230">
        <f>IF(H230="Completed",11,VALUE(MID(H230,6,FIND(" ",H230,6)-6)))</f>
        <v/>
      </c>
      <c r="L230">
        <f>IF(G230="Processed",1,0)</f>
        <v/>
      </c>
      <c r="M230">
        <f>IF(F230="Study flow 1","Narrative first","Visual first")</f>
        <v/>
      </c>
      <c r="N230">
        <f>IF(D230="","",VALUE(LEFT(D230,FIND(",",D230)-1)))</f>
        <v/>
      </c>
      <c r="O230">
        <f>IF(D230="","",VALUE(SUBSTITUTE(MID(D230,FIND(",",D230)+2,10),"%","")))</f>
        <v/>
      </c>
    </row>
    <row r="231">
      <c r="A231" t="inlineStr">
        <is>
          <t>RESP0230</t>
        </is>
      </c>
      <c r="B231" s="4" t="n">
        <v>46457.94922453703</v>
      </c>
      <c r="C231" s="4" t="n"/>
      <c r="F231" t="inlineStr">
        <is>
          <t>Study flow 1</t>
        </is>
      </c>
      <c r="G231" t="inlineStr">
        <is>
          <t>Abandoned</t>
        </is>
      </c>
      <c r="H231" t="inlineStr">
        <is>
          <t>STEP 1 Testing upload</t>
        </is>
      </c>
      <c r="I231" t="inlineStr">
        <is>
          <t>Laptop</t>
        </is>
      </c>
      <c r="J231" t="inlineStr">
        <is>
          <t>Firefox</t>
        </is>
      </c>
      <c r="K231">
        <f>IF(H231="Completed",11,VALUE(MID(H231,6,FIND(" ",H231,6)-6)))</f>
        <v/>
      </c>
      <c r="L231">
        <f>IF(G231="Processed",1,0)</f>
        <v/>
      </c>
      <c r="M231">
        <f>IF(F231="Study flow 1","Narrative first","Visual first")</f>
        <v/>
      </c>
      <c r="N231">
        <f>IF(D231="","",VALUE(LEFT(D231,FIND(",",D231)-1)))</f>
        <v/>
      </c>
      <c r="O231">
        <f>IF(D231="","",VALUE(SUBSTITUTE(MID(D231,FIND(",",D231)+2,10),"%","")))</f>
        <v/>
      </c>
    </row>
    <row r="232">
      <c r="A232" t="inlineStr">
        <is>
          <t>RESP0231</t>
        </is>
      </c>
      <c r="B232" s="4" t="n">
        <v>46458.41137731481</v>
      </c>
      <c r="C232" s="4" t="n"/>
      <c r="F232" t="inlineStr">
        <is>
          <t>Study flow 2</t>
        </is>
      </c>
      <c r="G232" t="inlineStr">
        <is>
          <t>Abandoned</t>
        </is>
      </c>
      <c r="H232" t="inlineStr">
        <is>
          <t>STEP 5 Screen size</t>
        </is>
      </c>
      <c r="I232" t="inlineStr">
        <is>
          <t>Laptop</t>
        </is>
      </c>
      <c r="J232" t="inlineStr">
        <is>
          <t>Chrome</t>
        </is>
      </c>
      <c r="K232">
        <f>IF(H232="Completed",11,VALUE(MID(H232,6,FIND(" ",H232,6)-6)))</f>
        <v/>
      </c>
      <c r="L232">
        <f>IF(G232="Processed",1,0)</f>
        <v/>
      </c>
      <c r="M232">
        <f>IF(F232="Study flow 1","Narrative first","Visual first")</f>
        <v/>
      </c>
      <c r="N232">
        <f>IF(D232="","",VALUE(LEFT(D232,FIND(",",D232)-1)))</f>
        <v/>
      </c>
      <c r="O232">
        <f>IF(D232="","",VALUE(SUBSTITUTE(MID(D232,FIND(",",D232)+2,10),"%","")))</f>
        <v/>
      </c>
    </row>
    <row r="233">
      <c r="A233" t="inlineStr">
        <is>
          <t>RESP0232</t>
        </is>
      </c>
      <c r="B233" s="4" t="n">
        <v>46458.43042824074</v>
      </c>
      <c r="C233" s="4" t="n"/>
      <c r="F233" t="inlineStr">
        <is>
          <t>Study flow 1</t>
        </is>
      </c>
      <c r="G233" t="inlineStr">
        <is>
          <t>Abandoned</t>
        </is>
      </c>
      <c r="H233" t="inlineStr">
        <is>
          <t>STEP 5 Screen size</t>
        </is>
      </c>
      <c r="I233" t="inlineStr">
        <is>
          <t>Tablet</t>
        </is>
      </c>
      <c r="J233" t="inlineStr">
        <is>
          <t>Chrome</t>
        </is>
      </c>
      <c r="K233">
        <f>IF(H233="Completed",11,VALUE(MID(H233,6,FIND(" ",H233,6)-6)))</f>
        <v/>
      </c>
      <c r="L233">
        <f>IF(G233="Processed",1,0)</f>
        <v/>
      </c>
      <c r="M233">
        <f>IF(F233="Study flow 1","Narrative first","Visual first")</f>
        <v/>
      </c>
      <c r="N233">
        <f>IF(D233="","",VALUE(LEFT(D233,FIND(",",D233)-1)))</f>
        <v/>
      </c>
      <c r="O233">
        <f>IF(D233="","",VALUE(SUBSTITUTE(MID(D233,FIND(",",D233)+2,10),"%","")))</f>
        <v/>
      </c>
    </row>
    <row r="234">
      <c r="A234" t="inlineStr">
        <is>
          <t>RESP0233</t>
        </is>
      </c>
      <c r="B234" s="4" t="n">
        <v>46458.48001157407</v>
      </c>
      <c r="C234" s="4" t="n"/>
      <c r="F234" t="inlineStr">
        <is>
          <t>Study flow 1</t>
        </is>
      </c>
      <c r="G234" t="inlineStr">
        <is>
          <t>Abandoned</t>
        </is>
      </c>
      <c r="H234" t="inlineStr">
        <is>
          <t>STEP 2 Consent screen</t>
        </is>
      </c>
      <c r="I234" t="inlineStr">
        <is>
          <t>Laptop</t>
        </is>
      </c>
      <c r="J234" t="inlineStr">
        <is>
          <t>Chrome</t>
        </is>
      </c>
      <c r="K234">
        <f>IF(H234="Completed",11,VALUE(MID(H234,6,FIND(" ",H234,6)-6)))</f>
        <v/>
      </c>
      <c r="L234">
        <f>IF(G234="Processed",1,0)</f>
        <v/>
      </c>
      <c r="M234">
        <f>IF(F234="Study flow 1","Narrative first","Visual first")</f>
        <v/>
      </c>
      <c r="N234">
        <f>IF(D234="","",VALUE(LEFT(D234,FIND(",",D234)-1)))</f>
        <v/>
      </c>
      <c r="O234">
        <f>IF(D234="","",VALUE(SUBSTITUTE(MID(D234,FIND(",",D234)+2,10),"%","")))</f>
        <v/>
      </c>
    </row>
    <row r="235">
      <c r="A235" t="inlineStr">
        <is>
          <t>RESP0234</t>
        </is>
      </c>
      <c r="B235" s="4" t="n">
        <v>46458.48296296296</v>
      </c>
      <c r="C235" s="4" t="n">
        <v>46458.489375</v>
      </c>
      <c r="D235" t="inlineStr">
        <is>
          <t>1.5, 98%</t>
        </is>
      </c>
      <c r="E235" t="n">
        <v>99</v>
      </c>
      <c r="F235" t="inlineStr">
        <is>
          <t>Study flow 1</t>
        </is>
      </c>
      <c r="G235" t="inlineStr">
        <is>
          <t>Processed</t>
        </is>
      </c>
      <c r="H235" t="inlineStr">
        <is>
          <t>Completed</t>
        </is>
      </c>
      <c r="I235" t="inlineStr">
        <is>
          <t>Laptop</t>
        </is>
      </c>
      <c r="J235" t="inlineStr">
        <is>
          <t>Chrome</t>
        </is>
      </c>
      <c r="K235">
        <f>IF(H235="Completed",11,VALUE(MID(H235,6,FIND(" ",H235,6)-6)))</f>
        <v/>
      </c>
      <c r="L235">
        <f>IF(G235="Processed",1,0)</f>
        <v/>
      </c>
      <c r="M235">
        <f>IF(F235="Study flow 1","Narrative first","Visual first")</f>
        <v/>
      </c>
      <c r="N235">
        <f>IF(D235="","",VALUE(LEFT(D235,FIND(",",D235)-1)))</f>
        <v/>
      </c>
      <c r="O235">
        <f>IF(D235="","",VALUE(SUBSTITUTE(MID(D235,FIND(",",D235)+2,10),"%","")))</f>
        <v/>
      </c>
    </row>
    <row r="236">
      <c r="A236" t="inlineStr">
        <is>
          <t>RESP0235</t>
        </is>
      </c>
      <c r="B236" s="4" t="n">
        <v>46458.50193287037</v>
      </c>
      <c r="C236" s="4" t="n"/>
      <c r="F236" t="inlineStr">
        <is>
          <t>Study flow 1</t>
        </is>
      </c>
      <c r="G236" t="inlineStr">
        <is>
          <t>Abandoned</t>
        </is>
      </c>
      <c r="H236" t="inlineStr">
        <is>
          <t>STEP 2 Consent screen</t>
        </is>
      </c>
      <c r="I236" t="inlineStr">
        <is>
          <t>Laptop</t>
        </is>
      </c>
      <c r="J236" t="inlineStr">
        <is>
          <t>Chrome</t>
        </is>
      </c>
      <c r="K236">
        <f>IF(H236="Completed",11,VALUE(MID(H236,6,FIND(" ",H236,6)-6)))</f>
        <v/>
      </c>
      <c r="L236">
        <f>IF(G236="Processed",1,0)</f>
        <v/>
      </c>
      <c r="M236">
        <f>IF(F236="Study flow 1","Narrative first","Visual first")</f>
        <v/>
      </c>
      <c r="N236">
        <f>IF(D236="","",VALUE(LEFT(D236,FIND(",",D236)-1)))</f>
        <v/>
      </c>
      <c r="O236">
        <f>IF(D236="","",VALUE(SUBSTITUTE(MID(D236,FIND(",",D236)+2,10),"%","")))</f>
        <v/>
      </c>
    </row>
    <row r="237">
      <c r="A237" t="inlineStr">
        <is>
          <t>RESP0236</t>
        </is>
      </c>
      <c r="B237" s="4" t="n">
        <v>46458.50530092593</v>
      </c>
      <c r="C237" s="4" t="n">
        <v>46458.51152777778</v>
      </c>
      <c r="D237" t="inlineStr">
        <is>
          <t>2.8, 91%</t>
        </is>
      </c>
      <c r="E237" t="n">
        <v>90</v>
      </c>
      <c r="F237" t="inlineStr">
        <is>
          <t>Study flow 2</t>
        </is>
      </c>
      <c r="G237" t="inlineStr">
        <is>
          <t>Processed</t>
        </is>
      </c>
      <c r="H237" t="inlineStr">
        <is>
          <t>Completed</t>
        </is>
      </c>
      <c r="I237" t="inlineStr">
        <is>
          <t>Desktop</t>
        </is>
      </c>
      <c r="J237" t="inlineStr">
        <is>
          <t>Edge</t>
        </is>
      </c>
      <c r="K237">
        <f>IF(H237="Completed",11,VALUE(MID(H237,6,FIND(" ",H237,6)-6)))</f>
        <v/>
      </c>
      <c r="L237">
        <f>IF(G237="Processed",1,0)</f>
        <v/>
      </c>
      <c r="M237">
        <f>IF(F237="Study flow 1","Narrative first","Visual first")</f>
        <v/>
      </c>
      <c r="N237">
        <f>IF(D237="","",VALUE(LEFT(D237,FIND(",",D237)-1)))</f>
        <v/>
      </c>
      <c r="O237">
        <f>IF(D237="","",VALUE(SUBSTITUTE(MID(D237,FIND(",",D237)+2,10),"%","")))</f>
        <v/>
      </c>
    </row>
    <row r="238">
      <c r="A238" t="inlineStr">
        <is>
          <t>RESP0237</t>
        </is>
      </c>
      <c r="B238" s="4" t="n">
        <v>46458.52908564815</v>
      </c>
      <c r="C238" s="4" t="n">
        <v>46458.53515046297</v>
      </c>
      <c r="D238" t="inlineStr">
        <is>
          <t>0.9, 98%</t>
        </is>
      </c>
      <c r="E238" t="n">
        <v>97</v>
      </c>
      <c r="F238" t="inlineStr">
        <is>
          <t>Study flow 2</t>
        </is>
      </c>
      <c r="G238" t="inlineStr">
        <is>
          <t>Processed</t>
        </is>
      </c>
      <c r="H238" t="inlineStr">
        <is>
          <t>Completed</t>
        </is>
      </c>
      <c r="I238" t="inlineStr">
        <is>
          <t>Laptop</t>
        </is>
      </c>
      <c r="J238" t="inlineStr">
        <is>
          <t>Edge</t>
        </is>
      </c>
      <c r="K238">
        <f>IF(H238="Completed",11,VALUE(MID(H238,6,FIND(" ",H238,6)-6)))</f>
        <v/>
      </c>
      <c r="L238">
        <f>IF(G238="Processed",1,0)</f>
        <v/>
      </c>
      <c r="M238">
        <f>IF(F238="Study flow 1","Narrative first","Visual first")</f>
        <v/>
      </c>
      <c r="N238">
        <f>IF(D238="","",VALUE(LEFT(D238,FIND(",",D238)-1)))</f>
        <v/>
      </c>
      <c r="O238">
        <f>IF(D238="","",VALUE(SUBSTITUTE(MID(D238,FIND(",",D238)+2,10),"%","")))</f>
        <v/>
      </c>
    </row>
    <row r="239">
      <c r="A239" t="inlineStr">
        <is>
          <t>RESP0238</t>
        </is>
      </c>
      <c r="B239" s="4" t="n">
        <v>46458.54832175926</v>
      </c>
      <c r="C239" s="4" t="n">
        <v>46458.55412037037</v>
      </c>
      <c r="D239" t="inlineStr">
        <is>
          <t>2.8, 88%</t>
        </is>
      </c>
      <c r="E239" t="n">
        <v>94</v>
      </c>
      <c r="F239" t="inlineStr">
        <is>
          <t>Study flow 1</t>
        </is>
      </c>
      <c r="G239" t="inlineStr">
        <is>
          <t>Processed</t>
        </is>
      </c>
      <c r="H239" t="inlineStr">
        <is>
          <t>Completed</t>
        </is>
      </c>
      <c r="I239" t="inlineStr">
        <is>
          <t>Laptop</t>
        </is>
      </c>
      <c r="J239" t="inlineStr">
        <is>
          <t>Chrome</t>
        </is>
      </c>
      <c r="K239">
        <f>IF(H239="Completed",11,VALUE(MID(H239,6,FIND(" ",H239,6)-6)))</f>
        <v/>
      </c>
      <c r="L239">
        <f>IF(G239="Processed",1,0)</f>
        <v/>
      </c>
      <c r="M239">
        <f>IF(F239="Study flow 1","Narrative first","Visual first")</f>
        <v/>
      </c>
      <c r="N239">
        <f>IF(D239="","",VALUE(LEFT(D239,FIND(",",D239)-1)))</f>
        <v/>
      </c>
      <c r="O239">
        <f>IF(D239="","",VALUE(SUBSTITUTE(MID(D239,FIND(",",D239)+2,10),"%","")))</f>
        <v/>
      </c>
    </row>
    <row r="240">
      <c r="A240" t="inlineStr">
        <is>
          <t>RESP0239</t>
        </is>
      </c>
      <c r="B240" s="4" t="n">
        <v>46458.56052083334</v>
      </c>
      <c r="C240" s="4" t="n"/>
      <c r="F240" t="inlineStr">
        <is>
          <t>Study flow 2</t>
        </is>
      </c>
      <c r="G240" t="inlineStr">
        <is>
          <t>Abandoned</t>
        </is>
      </c>
      <c r="H240" t="inlineStr">
        <is>
          <t>STEP 5 Screen size</t>
        </is>
      </c>
      <c r="I240" t="inlineStr">
        <is>
          <t>Phone</t>
        </is>
      </c>
      <c r="J240" t="inlineStr">
        <is>
          <t>Safari</t>
        </is>
      </c>
      <c r="K240">
        <f>IF(H240="Completed",11,VALUE(MID(H240,6,FIND(" ",H240,6)-6)))</f>
        <v/>
      </c>
      <c r="L240">
        <f>IF(G240="Processed",1,0)</f>
        <v/>
      </c>
      <c r="M240">
        <f>IF(F240="Study flow 1","Narrative first","Visual first")</f>
        <v/>
      </c>
      <c r="N240">
        <f>IF(D240="","",VALUE(LEFT(D240,FIND(",",D240)-1)))</f>
        <v/>
      </c>
      <c r="O240">
        <f>IF(D240="","",VALUE(SUBSTITUTE(MID(D240,FIND(",",D240)+2,10),"%","")))</f>
        <v/>
      </c>
    </row>
    <row r="241">
      <c r="A241" t="inlineStr">
        <is>
          <t>RESP0240</t>
        </is>
      </c>
      <c r="B241" s="4" t="n">
        <v>46458.56153935185</v>
      </c>
      <c r="C241" s="4" t="n">
        <v>46458.56744212963</v>
      </c>
      <c r="D241" t="inlineStr">
        <is>
          <t>1.5, 98%</t>
        </is>
      </c>
      <c r="E241" t="n">
        <v>98</v>
      </c>
      <c r="F241" t="inlineStr">
        <is>
          <t>Study flow 2</t>
        </is>
      </c>
      <c r="G241" t="inlineStr">
        <is>
          <t>Processed</t>
        </is>
      </c>
      <c r="H241" t="inlineStr">
        <is>
          <t>Completed</t>
        </is>
      </c>
      <c r="I241" t="inlineStr">
        <is>
          <t>Desktop</t>
        </is>
      </c>
      <c r="J241" t="inlineStr">
        <is>
          <t>Chrome</t>
        </is>
      </c>
      <c r="K241">
        <f>IF(H241="Completed",11,VALUE(MID(H241,6,FIND(" ",H241,6)-6)))</f>
        <v/>
      </c>
      <c r="L241">
        <f>IF(G241="Processed",1,0)</f>
        <v/>
      </c>
      <c r="M241">
        <f>IF(F241="Study flow 1","Narrative first","Visual first")</f>
        <v/>
      </c>
      <c r="N241">
        <f>IF(D241="","",VALUE(LEFT(D241,FIND(",",D241)-1)))</f>
        <v/>
      </c>
      <c r="O241">
        <f>IF(D241="","",VALUE(SUBSTITUTE(MID(D241,FIND(",",D241)+2,10),"%","")))</f>
        <v/>
      </c>
    </row>
    <row r="242">
      <c r="A242" t="inlineStr">
        <is>
          <t>RESP0241</t>
        </is>
      </c>
      <c r="B242" s="4" t="n">
        <v>46458.62135416667</v>
      </c>
      <c r="C242" s="4" t="n"/>
      <c r="F242" t="inlineStr">
        <is>
          <t>Study flow 2</t>
        </is>
      </c>
      <c r="G242" t="inlineStr">
        <is>
          <t>Abandoned</t>
        </is>
      </c>
      <c r="H242" t="inlineStr">
        <is>
          <t>STEP 9 Stimuli presentation*</t>
        </is>
      </c>
      <c r="I242" t="inlineStr">
        <is>
          <t>Laptop</t>
        </is>
      </c>
      <c r="J242" t="inlineStr">
        <is>
          <t>Chrome</t>
        </is>
      </c>
      <c r="K242">
        <f>IF(H242="Completed",11,VALUE(MID(H242,6,FIND(" ",H242,6)-6)))</f>
        <v/>
      </c>
      <c r="L242">
        <f>IF(G242="Processed",1,0)</f>
        <v/>
      </c>
      <c r="M242">
        <f>IF(F242="Study flow 1","Narrative first","Visual first")</f>
        <v/>
      </c>
      <c r="N242">
        <f>IF(D242="","",VALUE(LEFT(D242,FIND(",",D242)-1)))</f>
        <v/>
      </c>
      <c r="O242">
        <f>IF(D242="","",VALUE(SUBSTITUTE(MID(D242,FIND(",",D242)+2,10),"%","")))</f>
        <v/>
      </c>
    </row>
    <row r="243">
      <c r="A243" t="inlineStr">
        <is>
          <t>RESP0242</t>
        </is>
      </c>
      <c r="B243" s="4" t="n">
        <v>46458.63887731481</v>
      </c>
      <c r="C243" s="4" t="n"/>
      <c r="F243" t="inlineStr">
        <is>
          <t>Study flow 2</t>
        </is>
      </c>
      <c r="G243" t="inlineStr">
        <is>
          <t>Abandoned</t>
        </is>
      </c>
      <c r="H243" t="inlineStr">
        <is>
          <t>STEP 5 Screen size</t>
        </is>
      </c>
      <c r="I243" t="inlineStr">
        <is>
          <t>Phone</t>
        </is>
      </c>
      <c r="J243" t="inlineStr">
        <is>
          <t>Safari</t>
        </is>
      </c>
      <c r="K243">
        <f>IF(H243="Completed",11,VALUE(MID(H243,6,FIND(" ",H243,6)-6)))</f>
        <v/>
      </c>
      <c r="L243">
        <f>IF(G243="Processed",1,0)</f>
        <v/>
      </c>
      <c r="M243">
        <f>IF(F243="Study flow 1","Narrative first","Visual first")</f>
        <v/>
      </c>
      <c r="N243">
        <f>IF(D243="","",VALUE(LEFT(D243,FIND(",",D243)-1)))</f>
        <v/>
      </c>
      <c r="O243">
        <f>IF(D243="","",VALUE(SUBSTITUTE(MID(D243,FIND(",",D243)+2,10),"%","")))</f>
        <v/>
      </c>
    </row>
    <row r="244">
      <c r="A244" t="inlineStr">
        <is>
          <t>RESP0243</t>
        </is>
      </c>
      <c r="B244" s="4" t="n">
        <v>46458.66221064814</v>
      </c>
      <c r="C244" s="4" t="n">
        <v>46458.66787037037</v>
      </c>
      <c r="D244" t="inlineStr">
        <is>
          <t>0.9, 94%</t>
        </is>
      </c>
      <c r="E244" t="n">
        <v>99</v>
      </c>
      <c r="F244" t="inlineStr">
        <is>
          <t>Study flow 2</t>
        </is>
      </c>
      <c r="G244" t="inlineStr">
        <is>
          <t>Processed</t>
        </is>
      </c>
      <c r="H244" t="inlineStr">
        <is>
          <t>Completed</t>
        </is>
      </c>
      <c r="I244" t="inlineStr">
        <is>
          <t>Laptop</t>
        </is>
      </c>
      <c r="J244" t="inlineStr">
        <is>
          <t>Chrome</t>
        </is>
      </c>
      <c r="K244">
        <f>IF(H244="Completed",11,VALUE(MID(H244,6,FIND(" ",H244,6)-6)))</f>
        <v/>
      </c>
      <c r="L244">
        <f>IF(G244="Processed",1,0)</f>
        <v/>
      </c>
      <c r="M244">
        <f>IF(F244="Study flow 1","Narrative first","Visual first")</f>
        <v/>
      </c>
      <c r="N244">
        <f>IF(D244="","",VALUE(LEFT(D244,FIND(",",D244)-1)))</f>
        <v/>
      </c>
      <c r="O244">
        <f>IF(D244="","",VALUE(SUBSTITUTE(MID(D244,FIND(",",D244)+2,10),"%","")))</f>
        <v/>
      </c>
    </row>
    <row r="245">
      <c r="A245" t="inlineStr">
        <is>
          <t>RESP0244</t>
        </is>
      </c>
      <c r="B245" s="4" t="n">
        <v>46458.67820601852</v>
      </c>
      <c r="C245" s="4" t="n"/>
      <c r="F245" t="inlineStr">
        <is>
          <t>Study flow 2</t>
        </is>
      </c>
      <c r="G245" t="inlineStr">
        <is>
          <t>Abandoned</t>
        </is>
      </c>
      <c r="H245" t="inlineStr">
        <is>
          <t>STEP 5 Screen size</t>
        </is>
      </c>
      <c r="I245" t="inlineStr">
        <is>
          <t>Phone</t>
        </is>
      </c>
      <c r="J245" t="inlineStr">
        <is>
          <t>Safari</t>
        </is>
      </c>
      <c r="K245">
        <f>IF(H245="Completed",11,VALUE(MID(H245,6,FIND(" ",H245,6)-6)))</f>
        <v/>
      </c>
      <c r="L245">
        <f>IF(G245="Processed",1,0)</f>
        <v/>
      </c>
      <c r="M245">
        <f>IF(F245="Study flow 1","Narrative first","Visual first")</f>
        <v/>
      </c>
      <c r="N245">
        <f>IF(D245="","",VALUE(LEFT(D245,FIND(",",D245)-1)))</f>
        <v/>
      </c>
      <c r="O245">
        <f>IF(D245="","",VALUE(SUBSTITUTE(MID(D245,FIND(",",D245)+2,10),"%","")))</f>
        <v/>
      </c>
    </row>
    <row r="246">
      <c r="A246" t="inlineStr">
        <is>
          <t>RESP0245</t>
        </is>
      </c>
      <c r="B246" s="4" t="n">
        <v>46458.69552083333</v>
      </c>
      <c r="C246" s="4" t="n">
        <v>46458.70190972222</v>
      </c>
      <c r="D246" t="inlineStr">
        <is>
          <t>1.9, 96%</t>
        </is>
      </c>
      <c r="E246" t="n">
        <v>91</v>
      </c>
      <c r="F246" t="inlineStr">
        <is>
          <t>Study flow 1</t>
        </is>
      </c>
      <c r="G246" t="inlineStr">
        <is>
          <t>Processed</t>
        </is>
      </c>
      <c r="H246" t="inlineStr">
        <is>
          <t>Completed</t>
        </is>
      </c>
      <c r="I246" t="inlineStr">
        <is>
          <t>Laptop</t>
        </is>
      </c>
      <c r="J246" t="inlineStr">
        <is>
          <t>Chrome</t>
        </is>
      </c>
      <c r="K246">
        <f>IF(H246="Completed",11,VALUE(MID(H246,6,FIND(" ",H246,6)-6)))</f>
        <v/>
      </c>
      <c r="L246">
        <f>IF(G246="Processed",1,0)</f>
        <v/>
      </c>
      <c r="M246">
        <f>IF(F246="Study flow 1","Narrative first","Visual first")</f>
        <v/>
      </c>
      <c r="N246">
        <f>IF(D246="","",VALUE(LEFT(D246,FIND(",",D246)-1)))</f>
        <v/>
      </c>
      <c r="O246">
        <f>IF(D246="","",VALUE(SUBSTITUTE(MID(D246,FIND(",",D246)+2,10),"%","")))</f>
        <v/>
      </c>
    </row>
    <row r="247">
      <c r="A247" t="inlineStr">
        <is>
          <t>RESP0246</t>
        </is>
      </c>
      <c r="B247" s="4" t="n">
        <v>46458.71633101852</v>
      </c>
      <c r="C247" s="4" t="n"/>
      <c r="F247" t="inlineStr">
        <is>
          <t>Study flow 1</t>
        </is>
      </c>
      <c r="G247" t="inlineStr">
        <is>
          <t>Abandoned</t>
        </is>
      </c>
      <c r="H247" t="inlineStr">
        <is>
          <t>STEP 2 Consent screen</t>
        </is>
      </c>
      <c r="I247" t="inlineStr">
        <is>
          <t>Laptop</t>
        </is>
      </c>
      <c r="J247" t="inlineStr">
        <is>
          <t>Edge</t>
        </is>
      </c>
      <c r="K247">
        <f>IF(H247="Completed",11,VALUE(MID(H247,6,FIND(" ",H247,6)-6)))</f>
        <v/>
      </c>
      <c r="L247">
        <f>IF(G247="Processed",1,0)</f>
        <v/>
      </c>
      <c r="M247">
        <f>IF(F247="Study flow 1","Narrative first","Visual first")</f>
        <v/>
      </c>
      <c r="N247">
        <f>IF(D247="","",VALUE(LEFT(D247,FIND(",",D247)-1)))</f>
        <v/>
      </c>
      <c r="O247">
        <f>IF(D247="","",VALUE(SUBSTITUTE(MID(D247,FIND(",",D247)+2,10),"%","")))</f>
        <v/>
      </c>
    </row>
    <row r="248">
      <c r="A248" t="inlineStr">
        <is>
          <t>RESP0247</t>
        </is>
      </c>
      <c r="B248" s="4" t="n">
        <v>46458.80164351852</v>
      </c>
      <c r="C248" s="4" t="n">
        <v>46458.80789351852</v>
      </c>
      <c r="D248" t="inlineStr">
        <is>
          <t>3.0, 92%</t>
        </is>
      </c>
      <c r="E248" t="n">
        <v>99</v>
      </c>
      <c r="F248" t="inlineStr">
        <is>
          <t>Study flow 2</t>
        </is>
      </c>
      <c r="G248" t="inlineStr">
        <is>
          <t>Processed</t>
        </is>
      </c>
      <c r="H248" t="inlineStr">
        <is>
          <t>Completed</t>
        </is>
      </c>
      <c r="I248" t="inlineStr">
        <is>
          <t>Laptop</t>
        </is>
      </c>
      <c r="J248" t="inlineStr">
        <is>
          <t>Edge</t>
        </is>
      </c>
      <c r="K248">
        <f>IF(H248="Completed",11,VALUE(MID(H248,6,FIND(" ",H248,6)-6)))</f>
        <v/>
      </c>
      <c r="L248">
        <f>IF(G248="Processed",1,0)</f>
        <v/>
      </c>
      <c r="M248">
        <f>IF(F248="Study flow 1","Narrative first","Visual first")</f>
        <v/>
      </c>
      <c r="N248">
        <f>IF(D248="","",VALUE(LEFT(D248,FIND(",",D248)-1)))</f>
        <v/>
      </c>
      <c r="O248">
        <f>IF(D248="","",VALUE(SUBSTITUTE(MID(D248,FIND(",",D248)+2,10),"%","")))</f>
        <v/>
      </c>
    </row>
    <row r="249">
      <c r="A249" t="inlineStr">
        <is>
          <t>RESP0248</t>
        </is>
      </c>
      <c r="B249" s="4" t="n">
        <v>46458.80359953704</v>
      </c>
      <c r="C249" s="4" t="n">
        <v>46458.81021990741</v>
      </c>
      <c r="D249" t="inlineStr">
        <is>
          <t>0.9, 98%</t>
        </is>
      </c>
      <c r="E249" t="n">
        <v>97</v>
      </c>
      <c r="F249" t="inlineStr">
        <is>
          <t>Study flow 2</t>
        </is>
      </c>
      <c r="G249" t="inlineStr">
        <is>
          <t>Processed</t>
        </is>
      </c>
      <c r="H249" t="inlineStr">
        <is>
          <t>Completed</t>
        </is>
      </c>
      <c r="I249" t="inlineStr">
        <is>
          <t>Laptop</t>
        </is>
      </c>
      <c r="J249" t="inlineStr">
        <is>
          <t>Chrome</t>
        </is>
      </c>
      <c r="K249">
        <f>IF(H249="Completed",11,VALUE(MID(H249,6,FIND(" ",H249,6)-6)))</f>
        <v/>
      </c>
      <c r="L249">
        <f>IF(G249="Processed",1,0)</f>
        <v/>
      </c>
      <c r="M249">
        <f>IF(F249="Study flow 1","Narrative first","Visual first")</f>
        <v/>
      </c>
      <c r="N249">
        <f>IF(D249="","",VALUE(LEFT(D249,FIND(",",D249)-1)))</f>
        <v/>
      </c>
      <c r="O249">
        <f>IF(D249="","",VALUE(SUBSTITUTE(MID(D249,FIND(",",D249)+2,10),"%","")))</f>
        <v/>
      </c>
    </row>
    <row r="250">
      <c r="A250" t="inlineStr">
        <is>
          <t>RESP0249</t>
        </is>
      </c>
      <c r="B250" s="4" t="n">
        <v>46458.80721064815</v>
      </c>
      <c r="C250" s="4" t="n">
        <v>46458.8137037037</v>
      </c>
      <c r="D250" t="inlineStr">
        <is>
          <t>1.8, 93%</t>
        </is>
      </c>
      <c r="E250" t="n">
        <v>95</v>
      </c>
      <c r="F250" t="inlineStr">
        <is>
          <t>Study flow 2</t>
        </is>
      </c>
      <c r="G250" t="inlineStr">
        <is>
          <t>Processed</t>
        </is>
      </c>
      <c r="H250" t="inlineStr">
        <is>
          <t>Completed</t>
        </is>
      </c>
      <c r="I250" t="inlineStr">
        <is>
          <t>Laptop</t>
        </is>
      </c>
      <c r="J250" t="inlineStr">
        <is>
          <t>Chrome</t>
        </is>
      </c>
      <c r="K250">
        <f>IF(H250="Completed",11,VALUE(MID(H250,6,FIND(" ",H250,6)-6)))</f>
        <v/>
      </c>
      <c r="L250">
        <f>IF(G250="Processed",1,0)</f>
        <v/>
      </c>
      <c r="M250">
        <f>IF(F250="Study flow 1","Narrative first","Visual first")</f>
        <v/>
      </c>
      <c r="N250">
        <f>IF(D250="","",VALUE(LEFT(D250,FIND(",",D250)-1)))</f>
        <v/>
      </c>
      <c r="O250">
        <f>IF(D250="","",VALUE(SUBSTITUTE(MID(D250,FIND(",",D250)+2,10),"%","")))</f>
        <v/>
      </c>
    </row>
    <row r="251">
      <c r="A251" t="inlineStr">
        <is>
          <t>RESP0250</t>
        </is>
      </c>
      <c r="B251" s="4" t="n">
        <v>46458.84832175926</v>
      </c>
      <c r="C251" s="4" t="n"/>
      <c r="F251" t="inlineStr">
        <is>
          <t>Study flow 2</t>
        </is>
      </c>
      <c r="G251" t="inlineStr">
        <is>
          <t>Abandoned</t>
        </is>
      </c>
      <c r="H251" t="inlineStr">
        <is>
          <t>STEP 5 Screen size</t>
        </is>
      </c>
      <c r="I251" t="inlineStr">
        <is>
          <t>Phone</t>
        </is>
      </c>
      <c r="J251" t="inlineStr">
        <is>
          <t>Safari</t>
        </is>
      </c>
      <c r="K251">
        <f>IF(H251="Completed",11,VALUE(MID(H251,6,FIND(" ",H251,6)-6)))</f>
        <v/>
      </c>
      <c r="L251">
        <f>IF(G251="Processed",1,0)</f>
        <v/>
      </c>
      <c r="M251">
        <f>IF(F251="Study flow 1","Narrative first","Visual first")</f>
        <v/>
      </c>
      <c r="N251">
        <f>IF(D251="","",VALUE(LEFT(D251,FIND(",",D251)-1)))</f>
        <v/>
      </c>
      <c r="O251">
        <f>IF(D251="","",VALUE(SUBSTITUTE(MID(D251,FIND(",",D251)+2,10),"%","")))</f>
        <v/>
      </c>
    </row>
    <row r="252">
      <c r="A252" t="inlineStr">
        <is>
          <t>RESP0251</t>
        </is>
      </c>
      <c r="B252" s="4" t="n">
        <v>46458.86178240741</v>
      </c>
      <c r="C252" s="4" t="n">
        <v>46458.86791666667</v>
      </c>
      <c r="D252" t="inlineStr">
        <is>
          <t>1.7, 93%</t>
        </is>
      </c>
      <c r="E252" t="n">
        <v>97</v>
      </c>
      <c r="F252" t="inlineStr">
        <is>
          <t>Study flow 1</t>
        </is>
      </c>
      <c r="G252" t="inlineStr">
        <is>
          <t>Processed</t>
        </is>
      </c>
      <c r="H252" t="inlineStr">
        <is>
          <t>Completed</t>
        </is>
      </c>
      <c r="I252" t="inlineStr">
        <is>
          <t>Desktop</t>
        </is>
      </c>
      <c r="J252" t="inlineStr">
        <is>
          <t>Chrome</t>
        </is>
      </c>
      <c r="K252">
        <f>IF(H252="Completed",11,VALUE(MID(H252,6,FIND(" ",H252,6)-6)))</f>
        <v/>
      </c>
      <c r="L252">
        <f>IF(G252="Processed",1,0)</f>
        <v/>
      </c>
      <c r="M252">
        <f>IF(F252="Study flow 1","Narrative first","Visual first")</f>
        <v/>
      </c>
      <c r="N252">
        <f>IF(D252="","",VALUE(LEFT(D252,FIND(",",D252)-1)))</f>
        <v/>
      </c>
      <c r="O252">
        <f>IF(D252="","",VALUE(SUBSTITUTE(MID(D252,FIND(",",D252)+2,10),"%","")))</f>
        <v/>
      </c>
    </row>
    <row r="253">
      <c r="A253" t="inlineStr">
        <is>
          <t>RESP0252</t>
        </is>
      </c>
      <c r="B253" s="4" t="n">
        <v>46458.86704861111</v>
      </c>
      <c r="C253" s="4" t="n">
        <v>46458.87263888889</v>
      </c>
      <c r="D253" t="inlineStr">
        <is>
          <t>2.4, 93%</t>
        </is>
      </c>
      <c r="E253" t="n">
        <v>97</v>
      </c>
      <c r="F253" t="inlineStr">
        <is>
          <t>Study flow 2</t>
        </is>
      </c>
      <c r="G253" t="inlineStr">
        <is>
          <t>Processed</t>
        </is>
      </c>
      <c r="H253" t="inlineStr">
        <is>
          <t>Completed</t>
        </is>
      </c>
      <c r="I253" t="inlineStr">
        <is>
          <t>Laptop</t>
        </is>
      </c>
      <c r="J253" t="inlineStr">
        <is>
          <t>Safari</t>
        </is>
      </c>
      <c r="K253">
        <f>IF(H253="Completed",11,VALUE(MID(H253,6,FIND(" ",H253,6)-6)))</f>
        <v/>
      </c>
      <c r="L253">
        <f>IF(G253="Processed",1,0)</f>
        <v/>
      </c>
      <c r="M253">
        <f>IF(F253="Study flow 1","Narrative first","Visual first")</f>
        <v/>
      </c>
      <c r="N253">
        <f>IF(D253="","",VALUE(LEFT(D253,FIND(",",D253)-1)))</f>
        <v/>
      </c>
      <c r="O253">
        <f>IF(D253="","",VALUE(SUBSTITUTE(MID(D253,FIND(",",D253)+2,10),"%","")))</f>
        <v/>
      </c>
    </row>
    <row r="254">
      <c r="A254" t="inlineStr">
        <is>
          <t>RESP0253</t>
        </is>
      </c>
      <c r="B254" s="4" t="n">
        <v>46458.87123842593</v>
      </c>
      <c r="C254" s="4" t="n">
        <v>46458.87659722222</v>
      </c>
      <c r="D254" t="inlineStr">
        <is>
          <t>1.1, 97%</t>
        </is>
      </c>
      <c r="E254" t="n">
        <v>99</v>
      </c>
      <c r="F254" t="inlineStr">
        <is>
          <t>Study flow 2</t>
        </is>
      </c>
      <c r="G254" t="inlineStr">
        <is>
          <t>Processed</t>
        </is>
      </c>
      <c r="H254" t="inlineStr">
        <is>
          <t>Completed</t>
        </is>
      </c>
      <c r="I254" t="inlineStr">
        <is>
          <t>Desktop</t>
        </is>
      </c>
      <c r="J254" t="inlineStr">
        <is>
          <t>Firefox</t>
        </is>
      </c>
      <c r="K254">
        <f>IF(H254="Completed",11,VALUE(MID(H254,6,FIND(" ",H254,6)-6)))</f>
        <v/>
      </c>
      <c r="L254">
        <f>IF(G254="Processed",1,0)</f>
        <v/>
      </c>
      <c r="M254">
        <f>IF(F254="Study flow 1","Narrative first","Visual first")</f>
        <v/>
      </c>
      <c r="N254">
        <f>IF(D254="","",VALUE(LEFT(D254,FIND(",",D254)-1)))</f>
        <v/>
      </c>
      <c r="O254">
        <f>IF(D254="","",VALUE(SUBSTITUTE(MID(D254,FIND(",",D254)+2,10),"%","")))</f>
        <v/>
      </c>
    </row>
    <row r="255">
      <c r="A255" t="inlineStr">
        <is>
          <t>RESP0254</t>
        </is>
      </c>
      <c r="B255" s="4" t="n">
        <v>46458.87524305555</v>
      </c>
      <c r="C255" s="4" t="n">
        <v>46458.88101851852</v>
      </c>
      <c r="D255" t="inlineStr">
        <is>
          <t>0.5, 99%</t>
        </is>
      </c>
      <c r="E255" t="n">
        <v>95</v>
      </c>
      <c r="F255" t="inlineStr">
        <is>
          <t>Study flow 2</t>
        </is>
      </c>
      <c r="G255" t="inlineStr">
        <is>
          <t>Processed</t>
        </is>
      </c>
      <c r="H255" t="inlineStr">
        <is>
          <t>Completed</t>
        </is>
      </c>
      <c r="I255" t="inlineStr">
        <is>
          <t>Laptop</t>
        </is>
      </c>
      <c r="J255" t="inlineStr">
        <is>
          <t>Edge</t>
        </is>
      </c>
      <c r="K255">
        <f>IF(H255="Completed",11,VALUE(MID(H255,6,FIND(" ",H255,6)-6)))</f>
        <v/>
      </c>
      <c r="L255">
        <f>IF(G255="Processed",1,0)</f>
        <v/>
      </c>
      <c r="M255">
        <f>IF(F255="Study flow 1","Narrative first","Visual first")</f>
        <v/>
      </c>
      <c r="N255">
        <f>IF(D255="","",VALUE(LEFT(D255,FIND(",",D255)-1)))</f>
        <v/>
      </c>
      <c r="O255">
        <f>IF(D255="","",VALUE(SUBSTITUTE(MID(D255,FIND(",",D255)+2,10),"%","")))</f>
        <v/>
      </c>
    </row>
    <row r="256">
      <c r="A256" t="inlineStr">
        <is>
          <t>RESP0255</t>
        </is>
      </c>
      <c r="B256" s="4" t="n">
        <v>46458.87547453704</v>
      </c>
      <c r="C256" s="4" t="n">
        <v>46458.88188657408</v>
      </c>
      <c r="D256" t="inlineStr">
        <is>
          <t>2.8, 93%</t>
        </is>
      </c>
      <c r="E256" t="n">
        <v>94</v>
      </c>
      <c r="F256" t="inlineStr">
        <is>
          <t>Study flow 1</t>
        </is>
      </c>
      <c r="G256" t="inlineStr">
        <is>
          <t>Processed</t>
        </is>
      </c>
      <c r="H256" t="inlineStr">
        <is>
          <t>Completed</t>
        </is>
      </c>
      <c r="I256" t="inlineStr">
        <is>
          <t>Laptop</t>
        </is>
      </c>
      <c r="J256" t="inlineStr">
        <is>
          <t>Chrome</t>
        </is>
      </c>
      <c r="K256">
        <f>IF(H256="Completed",11,VALUE(MID(H256,6,FIND(" ",H256,6)-6)))</f>
        <v/>
      </c>
      <c r="L256">
        <f>IF(G256="Processed",1,0)</f>
        <v/>
      </c>
      <c r="M256">
        <f>IF(F256="Study flow 1","Narrative first","Visual first")</f>
        <v/>
      </c>
      <c r="N256">
        <f>IF(D256="","",VALUE(LEFT(D256,FIND(",",D256)-1)))</f>
        <v/>
      </c>
      <c r="O256">
        <f>IF(D256="","",VALUE(SUBSTITUTE(MID(D256,FIND(",",D256)+2,10),"%","")))</f>
        <v/>
      </c>
    </row>
    <row r="257">
      <c r="A257" t="inlineStr">
        <is>
          <t>RESP0256</t>
        </is>
      </c>
      <c r="B257" s="4" t="n">
        <v>46458.90394675926</v>
      </c>
      <c r="C257" s="4" t="n">
        <v>46458.91030092593</v>
      </c>
      <c r="D257" t="inlineStr">
        <is>
          <t>1.7, 98%</t>
        </is>
      </c>
      <c r="E257" t="n">
        <v>95</v>
      </c>
      <c r="F257" t="inlineStr">
        <is>
          <t>Study flow 2</t>
        </is>
      </c>
      <c r="G257" t="inlineStr">
        <is>
          <t>Processed</t>
        </is>
      </c>
      <c r="H257" t="inlineStr">
        <is>
          <t>Completed</t>
        </is>
      </c>
      <c r="I257" t="inlineStr">
        <is>
          <t>Laptop</t>
        </is>
      </c>
      <c r="J257" t="inlineStr">
        <is>
          <t>Edge</t>
        </is>
      </c>
      <c r="K257">
        <f>IF(H257="Completed",11,VALUE(MID(H257,6,FIND(" ",H257,6)-6)))</f>
        <v/>
      </c>
      <c r="L257">
        <f>IF(G257="Processed",1,0)</f>
        <v/>
      </c>
      <c r="M257">
        <f>IF(F257="Study flow 1","Narrative first","Visual first")</f>
        <v/>
      </c>
      <c r="N257">
        <f>IF(D257="","",VALUE(LEFT(D257,FIND(",",D257)-1)))</f>
        <v/>
      </c>
      <c r="O257">
        <f>IF(D257="","",VALUE(SUBSTITUTE(MID(D257,FIND(",",D257)+2,10),"%","")))</f>
        <v/>
      </c>
    </row>
    <row r="258">
      <c r="A258" t="inlineStr">
        <is>
          <t>RESP0257</t>
        </is>
      </c>
      <c r="B258" s="4" t="n">
        <v>46458.91377314815</v>
      </c>
      <c r="C258" s="4" t="n"/>
      <c r="F258" t="inlineStr">
        <is>
          <t>Study flow 1</t>
        </is>
      </c>
      <c r="G258" t="inlineStr">
        <is>
          <t>Abandoned</t>
        </is>
      </c>
      <c r="H258" t="inlineStr">
        <is>
          <t>STEP 10 Study data upload</t>
        </is>
      </c>
      <c r="I258" t="inlineStr">
        <is>
          <t>Desktop</t>
        </is>
      </c>
      <c r="J258" t="inlineStr">
        <is>
          <t>Chrome</t>
        </is>
      </c>
      <c r="K258">
        <f>IF(H258="Completed",11,VALUE(MID(H258,6,FIND(" ",H258,6)-6)))</f>
        <v/>
      </c>
      <c r="L258">
        <f>IF(G258="Processed",1,0)</f>
        <v/>
      </c>
      <c r="M258">
        <f>IF(F258="Study flow 1","Narrative first","Visual first")</f>
        <v/>
      </c>
      <c r="N258">
        <f>IF(D258="","",VALUE(LEFT(D258,FIND(",",D258)-1)))</f>
        <v/>
      </c>
      <c r="O258">
        <f>IF(D258="","",VALUE(SUBSTITUTE(MID(D258,FIND(",",D258)+2,10),"%","")))</f>
        <v/>
      </c>
    </row>
    <row r="259">
      <c r="A259" t="inlineStr">
        <is>
          <t>RESP0258</t>
        </is>
      </c>
      <c r="B259" s="4" t="n">
        <v>46458.93296296296</v>
      </c>
      <c r="C259" s="4" t="n">
        <v>46458.93868055556</v>
      </c>
      <c r="D259" t="inlineStr">
        <is>
          <t>3.5, 96%</t>
        </is>
      </c>
      <c r="E259" t="n">
        <v>99</v>
      </c>
      <c r="F259" t="inlineStr">
        <is>
          <t>Study flow 1</t>
        </is>
      </c>
      <c r="G259" t="inlineStr">
        <is>
          <t>Processed</t>
        </is>
      </c>
      <c r="H259" t="inlineStr">
        <is>
          <t>Completed</t>
        </is>
      </c>
      <c r="I259" t="inlineStr">
        <is>
          <t>Laptop</t>
        </is>
      </c>
      <c r="J259" t="inlineStr">
        <is>
          <t>Firefox</t>
        </is>
      </c>
      <c r="K259">
        <f>IF(H259="Completed",11,VALUE(MID(H259,6,FIND(" ",H259,6)-6)))</f>
        <v/>
      </c>
      <c r="L259">
        <f>IF(G259="Processed",1,0)</f>
        <v/>
      </c>
      <c r="M259">
        <f>IF(F259="Study flow 1","Narrative first","Visual first")</f>
        <v/>
      </c>
      <c r="N259">
        <f>IF(D259="","",VALUE(LEFT(D259,FIND(",",D259)-1)))</f>
        <v/>
      </c>
      <c r="O259">
        <f>IF(D259="","",VALUE(SUBSTITUTE(MID(D259,FIND(",",D259)+2,10),"%","")))</f>
        <v/>
      </c>
    </row>
    <row r="260">
      <c r="A260" t="inlineStr">
        <is>
          <t>RESP0259</t>
        </is>
      </c>
      <c r="B260" s="4" t="n">
        <v>46458.93431712963</v>
      </c>
      <c r="C260" s="4" t="n"/>
      <c r="F260" t="inlineStr">
        <is>
          <t>Study flow 2</t>
        </is>
      </c>
      <c r="G260" t="inlineStr">
        <is>
          <t>Abandoned</t>
        </is>
      </c>
      <c r="H260" t="inlineStr">
        <is>
          <t>STEP 2 Consent screen</t>
        </is>
      </c>
      <c r="I260" t="inlineStr">
        <is>
          <t>Laptop</t>
        </is>
      </c>
      <c r="J260" t="inlineStr">
        <is>
          <t>Chrome</t>
        </is>
      </c>
      <c r="K260">
        <f>IF(H260="Completed",11,VALUE(MID(H260,6,FIND(" ",H260,6)-6)))</f>
        <v/>
      </c>
      <c r="L260">
        <f>IF(G260="Processed",1,0)</f>
        <v/>
      </c>
      <c r="M260">
        <f>IF(F260="Study flow 1","Narrative first","Visual first")</f>
        <v/>
      </c>
      <c r="N260">
        <f>IF(D260="","",VALUE(LEFT(D260,FIND(",",D260)-1)))</f>
        <v/>
      </c>
      <c r="O260">
        <f>IF(D260="","",VALUE(SUBSTITUTE(MID(D260,FIND(",",D260)+2,10),"%","")))</f>
        <v/>
      </c>
    </row>
    <row r="261">
      <c r="A261" t="inlineStr">
        <is>
          <t>RESP0260</t>
        </is>
      </c>
      <c r="B261" s="4" t="n">
        <v>46458.93849537037</v>
      </c>
      <c r="C261" s="4" t="n">
        <v>46458.94422453704</v>
      </c>
      <c r="D261" t="inlineStr">
        <is>
          <t>4.6, 69%</t>
        </is>
      </c>
      <c r="E261" t="n">
        <v>80</v>
      </c>
      <c r="F261" t="inlineStr">
        <is>
          <t>Study flow 1</t>
        </is>
      </c>
      <c r="G261" t="inlineStr">
        <is>
          <t>Processed</t>
        </is>
      </c>
      <c r="H261" t="inlineStr">
        <is>
          <t>Completed</t>
        </is>
      </c>
      <c r="I261" t="inlineStr">
        <is>
          <t>Laptop</t>
        </is>
      </c>
      <c r="J261" t="inlineStr">
        <is>
          <t>Firefox</t>
        </is>
      </c>
      <c r="K261">
        <f>IF(H261="Completed",11,VALUE(MID(H261,6,FIND(" ",H261,6)-6)))</f>
        <v/>
      </c>
      <c r="L261">
        <f>IF(G261="Processed",1,0)</f>
        <v/>
      </c>
      <c r="M261">
        <f>IF(F261="Study flow 1","Narrative first","Visual first")</f>
        <v/>
      </c>
      <c r="N261">
        <f>IF(D261="","",VALUE(LEFT(D261,FIND(",",D261)-1)))</f>
        <v/>
      </c>
      <c r="O261">
        <f>IF(D261="","",VALUE(SUBSTITUTE(MID(D261,FIND(",",D261)+2,10),"%","")))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24" customWidth="1" min="4" max="4"/>
    <col width="28" customWidth="1" min="5" max="5"/>
    <col width="26" customWidth="1" min="6" max="6"/>
    <col width="18" customWidth="1" min="7" max="7"/>
  </cols>
  <sheetData>
    <row r="1">
      <c r="A1" s="2" t="inlineStr">
        <is>
          <t>Respondent Name</t>
        </is>
      </c>
      <c r="B1" s="2" t="inlineStr">
        <is>
          <t>Block</t>
        </is>
      </c>
      <c r="C1" s="2" t="inlineStr">
        <is>
          <t>Slide position</t>
        </is>
      </c>
      <c r="D1" s="2" t="inlineStr">
        <is>
          <t>Slide</t>
        </is>
      </c>
      <c r="E1" s="2" t="inlineStr">
        <is>
          <t>Eye tracking accuracy (degrees)</t>
        </is>
      </c>
      <c r="F1" s="2" t="inlineStr">
        <is>
          <t>Eye tracking quality (%)</t>
        </is>
      </c>
      <c r="G1" s="2" t="inlineStr">
        <is>
          <t>Face quality (%)</t>
        </is>
      </c>
    </row>
    <row r="2">
      <c r="A2" t="inlineStr">
        <is>
          <t>RESP0001</t>
        </is>
      </c>
      <c r="B2" t="inlineStr">
        <is>
          <t>Study flow 2</t>
        </is>
      </c>
      <c r="C2" t="n">
        <v>1</v>
      </c>
      <c r="D2" t="inlineStr">
        <is>
          <t>Pre-study calibration</t>
        </is>
      </c>
      <c r="E2" t="n">
        <v>0.9399999999999999</v>
      </c>
      <c r="F2" t="n">
        <v>93.90000000000001</v>
      </c>
      <c r="G2" t="n">
        <v>98.90000000000001</v>
      </c>
    </row>
    <row r="3">
      <c r="A3" t="inlineStr">
        <is>
          <t>RESP0001</t>
        </is>
      </c>
      <c r="B3" t="inlineStr">
        <is>
          <t>Study flow 2</t>
        </is>
      </c>
      <c r="C3" t="n">
        <v>2</v>
      </c>
      <c r="D3" t="inlineStr">
        <is>
          <t>Instructions1</t>
        </is>
      </c>
      <c r="E3" t="inlineStr">
        <is>
          <t>NA</t>
        </is>
      </c>
      <c r="F3" t="n">
        <v>90</v>
      </c>
      <c r="G3" t="n">
        <v>98.5</v>
      </c>
    </row>
    <row r="4">
      <c r="A4" t="inlineStr">
        <is>
          <t>RESP0001</t>
        </is>
      </c>
      <c r="B4" t="inlineStr">
        <is>
          <t>Study flow 2</t>
        </is>
      </c>
      <c r="C4" t="n">
        <v>3</v>
      </c>
      <c r="D4" t="inlineStr">
        <is>
          <t>foodwaste_visual</t>
        </is>
      </c>
      <c r="E4" t="inlineStr">
        <is>
          <t>NA</t>
        </is>
      </c>
      <c r="F4" t="n">
        <v>97.8</v>
      </c>
      <c r="G4" t="n">
        <v>99</v>
      </c>
    </row>
    <row r="5">
      <c r="A5" t="inlineStr">
        <is>
          <t>RESP0001</t>
        </is>
      </c>
      <c r="B5" t="inlineStr">
        <is>
          <t>Study flow 2</t>
        </is>
      </c>
      <c r="C5" t="n">
        <v>4</v>
      </c>
      <c r="D5" t="inlineStr">
        <is>
          <t>foodwaste_narrative</t>
        </is>
      </c>
      <c r="E5" t="inlineStr">
        <is>
          <t>NA</t>
        </is>
      </c>
      <c r="F5" t="n">
        <v>95.3</v>
      </c>
      <c r="G5" t="n">
        <v>98.8</v>
      </c>
    </row>
    <row r="6">
      <c r="A6" t="inlineStr">
        <is>
          <t>RESP0001</t>
        </is>
      </c>
      <c r="B6" t="inlineStr">
        <is>
          <t>Study flow 2</t>
        </is>
      </c>
      <c r="C6" t="n">
        <v>5</v>
      </c>
      <c r="D6" t="inlineStr">
        <is>
          <t>infographic</t>
        </is>
      </c>
      <c r="E6" t="inlineStr">
        <is>
          <t>NA</t>
        </is>
      </c>
      <c r="F6" t="n">
        <v>96.5</v>
      </c>
      <c r="G6" t="n">
        <v>98.8</v>
      </c>
    </row>
    <row r="7">
      <c r="A7" t="inlineStr">
        <is>
          <t>RESP0001</t>
        </is>
      </c>
      <c r="B7" t="inlineStr">
        <is>
          <t>Study flow 2</t>
        </is>
      </c>
      <c r="C7" t="n">
        <v>6</v>
      </c>
      <c r="D7" t="inlineStr">
        <is>
          <t>Questionnaire</t>
        </is>
      </c>
      <c r="E7" t="inlineStr">
        <is>
          <t>NA</t>
        </is>
      </c>
      <c r="F7" t="n">
        <v>96.2</v>
      </c>
      <c r="G7" t="n">
        <v>98.40000000000001</v>
      </c>
    </row>
    <row r="8">
      <c r="A8" t="inlineStr">
        <is>
          <t>RESP0001</t>
        </is>
      </c>
      <c r="B8" t="inlineStr">
        <is>
          <t>Study flow 2</t>
        </is>
      </c>
      <c r="C8" t="n">
        <v>7</v>
      </c>
      <c r="D8" t="inlineStr">
        <is>
          <t>Post-study calibration</t>
        </is>
      </c>
      <c r="E8" t="n">
        <v>1.7</v>
      </c>
      <c r="F8" t="n">
        <v>95.2</v>
      </c>
      <c r="G8" t="n">
        <v>98.90000000000001</v>
      </c>
    </row>
    <row r="9">
      <c r="A9" t="inlineStr">
        <is>
          <t>RESP0002</t>
        </is>
      </c>
      <c r="B9" t="inlineStr">
        <is>
          <t>Study flow 1</t>
        </is>
      </c>
      <c r="C9" t="n">
        <v>1</v>
      </c>
      <c r="D9" t="inlineStr">
        <is>
          <t>Pre-study calibration</t>
        </is>
      </c>
      <c r="E9" t="n">
        <v>2</v>
      </c>
      <c r="F9" t="n">
        <v>91.5</v>
      </c>
      <c r="G9" t="n">
        <v>98.8</v>
      </c>
    </row>
    <row r="10">
      <c r="A10" t="inlineStr">
        <is>
          <t>RESP0002</t>
        </is>
      </c>
      <c r="B10" t="inlineStr">
        <is>
          <t>Study flow 1</t>
        </is>
      </c>
      <c r="C10" t="n">
        <v>2</v>
      </c>
      <c r="D10" t="inlineStr">
        <is>
          <t>Instructions1</t>
        </is>
      </c>
      <c r="E10" t="inlineStr">
        <is>
          <t>NA</t>
        </is>
      </c>
      <c r="F10" t="n">
        <v>94.40000000000001</v>
      </c>
      <c r="G10" t="n">
        <v>98.2</v>
      </c>
    </row>
    <row r="11">
      <c r="A11" t="inlineStr">
        <is>
          <t>RESP0002</t>
        </is>
      </c>
      <c r="B11" t="inlineStr">
        <is>
          <t>Study flow 1</t>
        </is>
      </c>
      <c r="C11" t="n">
        <v>3</v>
      </c>
      <c r="D11" t="inlineStr">
        <is>
          <t>foodwaste_narrative</t>
        </is>
      </c>
      <c r="E11" t="inlineStr">
        <is>
          <t>NA</t>
        </is>
      </c>
      <c r="F11" t="n">
        <v>96.3</v>
      </c>
      <c r="G11" t="n">
        <v>97.59999999999999</v>
      </c>
    </row>
    <row r="12">
      <c r="A12" t="inlineStr">
        <is>
          <t>RESP0002</t>
        </is>
      </c>
      <c r="B12" t="inlineStr">
        <is>
          <t>Study flow 1</t>
        </is>
      </c>
      <c r="C12" t="n">
        <v>4</v>
      </c>
      <c r="D12" t="inlineStr">
        <is>
          <t>foodwaste_visual</t>
        </is>
      </c>
      <c r="E12" t="inlineStr">
        <is>
          <t>NA</t>
        </is>
      </c>
      <c r="F12" t="n">
        <v>94.3</v>
      </c>
      <c r="G12" t="n">
        <v>98.8</v>
      </c>
    </row>
    <row r="13">
      <c r="A13" t="inlineStr">
        <is>
          <t>RESP0002</t>
        </is>
      </c>
      <c r="B13" t="inlineStr">
        <is>
          <t>Study flow 1</t>
        </is>
      </c>
      <c r="C13" t="n">
        <v>5</v>
      </c>
      <c r="D13" t="inlineStr">
        <is>
          <t>infographic</t>
        </is>
      </c>
      <c r="E13" t="inlineStr">
        <is>
          <t>NA</t>
        </is>
      </c>
      <c r="F13" t="n">
        <v>96.8</v>
      </c>
      <c r="G13" t="n">
        <v>98.3</v>
      </c>
    </row>
    <row r="14">
      <c r="A14" t="inlineStr">
        <is>
          <t>RESP0002</t>
        </is>
      </c>
      <c r="B14" t="inlineStr">
        <is>
          <t>Study flow 1</t>
        </is>
      </c>
      <c r="C14" t="n">
        <v>6</v>
      </c>
      <c r="D14" t="inlineStr">
        <is>
          <t>Questionnaire</t>
        </is>
      </c>
      <c r="E14" t="inlineStr">
        <is>
          <t>NA</t>
        </is>
      </c>
      <c r="F14" t="n">
        <v>95.90000000000001</v>
      </c>
      <c r="G14" t="n">
        <v>98.3</v>
      </c>
    </row>
    <row r="15">
      <c r="A15" t="inlineStr">
        <is>
          <t>RESP0002</t>
        </is>
      </c>
      <c r="B15" t="inlineStr">
        <is>
          <t>Study flow 1</t>
        </is>
      </c>
      <c r="C15" t="n">
        <v>7</v>
      </c>
      <c r="D15" t="inlineStr">
        <is>
          <t>Post-study calibration</t>
        </is>
      </c>
      <c r="E15" t="n">
        <v>3.45</v>
      </c>
      <c r="F15" t="n">
        <v>93.3</v>
      </c>
      <c r="G15" t="n">
        <v>98.3</v>
      </c>
    </row>
    <row r="16">
      <c r="A16" t="inlineStr">
        <is>
          <t>RESP0003</t>
        </is>
      </c>
      <c r="B16" t="inlineStr">
        <is>
          <t>Study flow 2</t>
        </is>
      </c>
      <c r="C16" t="n">
        <v>1</v>
      </c>
      <c r="D16" t="inlineStr">
        <is>
          <t>Pre-study calibration</t>
        </is>
      </c>
      <c r="E16" t="n">
        <v>0.89</v>
      </c>
      <c r="F16" t="n">
        <v>95.2</v>
      </c>
      <c r="G16" t="n">
        <v>72</v>
      </c>
    </row>
    <row r="17">
      <c r="A17" t="inlineStr">
        <is>
          <t>RESP0003</t>
        </is>
      </c>
      <c r="B17" t="inlineStr">
        <is>
          <t>Study flow 2</t>
        </is>
      </c>
      <c r="C17" t="n">
        <v>2</v>
      </c>
      <c r="D17" t="inlineStr">
        <is>
          <t>Instructions1</t>
        </is>
      </c>
      <c r="E17" t="inlineStr">
        <is>
          <t>NA</t>
        </is>
      </c>
      <c r="F17" t="n">
        <v>97.2</v>
      </c>
      <c r="G17" t="n">
        <v>89.7</v>
      </c>
    </row>
    <row r="18">
      <c r="A18" t="inlineStr">
        <is>
          <t>RESP0003</t>
        </is>
      </c>
      <c r="B18" t="inlineStr">
        <is>
          <t>Study flow 2</t>
        </is>
      </c>
      <c r="C18" t="n">
        <v>3</v>
      </c>
      <c r="D18" t="inlineStr">
        <is>
          <t>foodwaste_visual</t>
        </is>
      </c>
      <c r="E18" t="inlineStr">
        <is>
          <t>NA</t>
        </is>
      </c>
      <c r="F18" t="n">
        <v>94</v>
      </c>
      <c r="G18" t="n">
        <v>87.40000000000001</v>
      </c>
    </row>
    <row r="19">
      <c r="A19" t="inlineStr">
        <is>
          <t>RESP0003</t>
        </is>
      </c>
      <c r="B19" t="inlineStr">
        <is>
          <t>Study flow 2</t>
        </is>
      </c>
      <c r="C19" t="n">
        <v>4</v>
      </c>
      <c r="D19" t="inlineStr">
        <is>
          <t>foodwaste_narrative</t>
        </is>
      </c>
      <c r="E19" t="inlineStr">
        <is>
          <t>NA</t>
        </is>
      </c>
      <c r="F19" t="n">
        <v>95</v>
      </c>
      <c r="G19" t="n">
        <v>79.7</v>
      </c>
    </row>
    <row r="20">
      <c r="A20" t="inlineStr">
        <is>
          <t>RESP0003</t>
        </is>
      </c>
      <c r="B20" t="inlineStr">
        <is>
          <t>Study flow 2</t>
        </is>
      </c>
      <c r="C20" t="n">
        <v>5</v>
      </c>
      <c r="D20" t="inlineStr">
        <is>
          <t>infographic</t>
        </is>
      </c>
      <c r="E20" t="inlineStr">
        <is>
          <t>NA</t>
        </is>
      </c>
      <c r="F20" t="n">
        <v>96.90000000000001</v>
      </c>
      <c r="G20" t="n">
        <v>92.59999999999999</v>
      </c>
    </row>
    <row r="21">
      <c r="A21" t="inlineStr">
        <is>
          <t>RESP0003</t>
        </is>
      </c>
      <c r="B21" t="inlineStr">
        <is>
          <t>Study flow 2</t>
        </is>
      </c>
      <c r="C21" t="n">
        <v>6</v>
      </c>
      <c r="D21" t="inlineStr">
        <is>
          <t>Questionnaire</t>
        </is>
      </c>
      <c r="E21" t="inlineStr">
        <is>
          <t>NA</t>
        </is>
      </c>
      <c r="F21" t="n">
        <v>96.90000000000001</v>
      </c>
      <c r="G21" t="n">
        <v>87.09999999999999</v>
      </c>
    </row>
    <row r="22">
      <c r="A22" t="inlineStr">
        <is>
          <t>RESP0003</t>
        </is>
      </c>
      <c r="B22" t="inlineStr">
        <is>
          <t>Study flow 2</t>
        </is>
      </c>
      <c r="C22" t="n">
        <v>7</v>
      </c>
      <c r="D22" t="inlineStr">
        <is>
          <t>Post-study calibration</t>
        </is>
      </c>
      <c r="E22" t="n">
        <v>2.06</v>
      </c>
      <c r="F22" t="n">
        <v>94.40000000000001</v>
      </c>
      <c r="G22" t="n">
        <v>95.2</v>
      </c>
    </row>
    <row r="23">
      <c r="A23" t="inlineStr">
        <is>
          <t>RESP0004</t>
        </is>
      </c>
      <c r="B23" t="inlineStr">
        <is>
          <t>Study flow 2</t>
        </is>
      </c>
      <c r="C23" t="n">
        <v>1</v>
      </c>
      <c r="D23" t="inlineStr">
        <is>
          <t>Pre-study calibration</t>
        </is>
      </c>
      <c r="E23" t="n">
        <v>2.31</v>
      </c>
      <c r="F23" t="n">
        <v>96.8</v>
      </c>
      <c r="G23" t="n">
        <v>93.8</v>
      </c>
    </row>
    <row r="24">
      <c r="A24" t="inlineStr">
        <is>
          <t>RESP0004</t>
        </is>
      </c>
      <c r="B24" t="inlineStr">
        <is>
          <t>Study flow 2</t>
        </is>
      </c>
      <c r="C24" t="n">
        <v>2</v>
      </c>
      <c r="D24" t="inlineStr">
        <is>
          <t>Instructions1</t>
        </is>
      </c>
      <c r="E24" t="inlineStr">
        <is>
          <t>NA</t>
        </is>
      </c>
      <c r="F24" t="n">
        <v>96</v>
      </c>
      <c r="G24" t="n">
        <v>96.90000000000001</v>
      </c>
    </row>
    <row r="25">
      <c r="A25" t="inlineStr">
        <is>
          <t>RESP0004</t>
        </is>
      </c>
      <c r="B25" t="inlineStr">
        <is>
          <t>Study flow 2</t>
        </is>
      </c>
      <c r="C25" t="n">
        <v>3</v>
      </c>
      <c r="D25" t="inlineStr">
        <is>
          <t>foodwaste_visual</t>
        </is>
      </c>
      <c r="E25" t="inlineStr">
        <is>
          <t>NA</t>
        </is>
      </c>
      <c r="F25" t="n">
        <v>93.5</v>
      </c>
      <c r="G25" t="n">
        <v>96.5</v>
      </c>
    </row>
    <row r="26">
      <c r="A26" t="inlineStr">
        <is>
          <t>RESP0004</t>
        </is>
      </c>
      <c r="B26" t="inlineStr">
        <is>
          <t>Study flow 2</t>
        </is>
      </c>
      <c r="C26" t="n">
        <v>4</v>
      </c>
      <c r="D26" t="inlineStr">
        <is>
          <t>foodwaste_narrative</t>
        </is>
      </c>
      <c r="E26" t="inlineStr">
        <is>
          <t>NA</t>
        </is>
      </c>
      <c r="F26" t="n">
        <v>91.2</v>
      </c>
      <c r="G26" t="n">
        <v>96.59999999999999</v>
      </c>
    </row>
    <row r="27">
      <c r="A27" t="inlineStr">
        <is>
          <t>RESP0004</t>
        </is>
      </c>
      <c r="B27" t="inlineStr">
        <is>
          <t>Study flow 2</t>
        </is>
      </c>
      <c r="C27" t="n">
        <v>5</v>
      </c>
      <c r="D27" t="inlineStr">
        <is>
          <t>infographic</t>
        </is>
      </c>
      <c r="E27" t="inlineStr">
        <is>
          <t>NA</t>
        </is>
      </c>
      <c r="F27" t="n">
        <v>97.40000000000001</v>
      </c>
      <c r="G27" t="n">
        <v>95.40000000000001</v>
      </c>
    </row>
    <row r="28">
      <c r="A28" t="inlineStr">
        <is>
          <t>RESP0004</t>
        </is>
      </c>
      <c r="B28" t="inlineStr">
        <is>
          <t>Study flow 2</t>
        </is>
      </c>
      <c r="C28" t="n">
        <v>6</v>
      </c>
      <c r="D28" t="inlineStr">
        <is>
          <t>Questionnaire</t>
        </is>
      </c>
      <c r="E28" t="inlineStr">
        <is>
          <t>NA</t>
        </is>
      </c>
      <c r="F28" t="n">
        <v>97.09999999999999</v>
      </c>
      <c r="G28" t="n">
        <v>94.3</v>
      </c>
    </row>
    <row r="29">
      <c r="A29" t="inlineStr">
        <is>
          <t>RESP0004</t>
        </is>
      </c>
      <c r="B29" t="inlineStr">
        <is>
          <t>Study flow 2</t>
        </is>
      </c>
      <c r="C29" t="n">
        <v>7</v>
      </c>
      <c r="D29" t="inlineStr">
        <is>
          <t>Post-study calibration</t>
        </is>
      </c>
      <c r="E29" t="n">
        <v>3.73</v>
      </c>
      <c r="F29" t="n">
        <v>96.40000000000001</v>
      </c>
      <c r="G29" t="n">
        <v>95.2</v>
      </c>
    </row>
    <row r="30">
      <c r="A30" t="inlineStr">
        <is>
          <t>RESP0005</t>
        </is>
      </c>
      <c r="B30" t="inlineStr">
        <is>
          <t>Study flow 2</t>
        </is>
      </c>
      <c r="C30" t="n">
        <v>1</v>
      </c>
      <c r="D30" t="inlineStr">
        <is>
          <t>Pre-study calibration</t>
        </is>
      </c>
      <c r="E30" t="n">
        <v>0.93</v>
      </c>
      <c r="F30" t="n">
        <v>98.40000000000001</v>
      </c>
      <c r="G30" t="n">
        <v>93.3</v>
      </c>
    </row>
    <row r="31">
      <c r="A31" t="inlineStr">
        <is>
          <t>RESP0005</t>
        </is>
      </c>
      <c r="B31" t="inlineStr">
        <is>
          <t>Study flow 2</t>
        </is>
      </c>
      <c r="C31" t="n">
        <v>2</v>
      </c>
      <c r="D31" t="inlineStr">
        <is>
          <t>Instructions1</t>
        </is>
      </c>
      <c r="E31" t="inlineStr">
        <is>
          <t>NA</t>
        </is>
      </c>
      <c r="F31" t="n">
        <v>98.90000000000001</v>
      </c>
      <c r="G31" t="n">
        <v>88.3</v>
      </c>
    </row>
    <row r="32">
      <c r="A32" t="inlineStr">
        <is>
          <t>RESP0005</t>
        </is>
      </c>
      <c r="B32" t="inlineStr">
        <is>
          <t>Study flow 2</t>
        </is>
      </c>
      <c r="C32" t="n">
        <v>3</v>
      </c>
      <c r="D32" t="inlineStr">
        <is>
          <t>foodwaste_visual</t>
        </is>
      </c>
      <c r="E32" t="inlineStr">
        <is>
          <t>NA</t>
        </is>
      </c>
      <c r="F32" t="n">
        <v>98.90000000000001</v>
      </c>
      <c r="G32" t="n">
        <v>93</v>
      </c>
    </row>
    <row r="33">
      <c r="A33" t="inlineStr">
        <is>
          <t>RESP0005</t>
        </is>
      </c>
      <c r="B33" t="inlineStr">
        <is>
          <t>Study flow 2</t>
        </is>
      </c>
      <c r="C33" t="n">
        <v>4</v>
      </c>
      <c r="D33" t="inlineStr">
        <is>
          <t>foodwaste_narrative</t>
        </is>
      </c>
      <c r="E33" t="inlineStr">
        <is>
          <t>NA</t>
        </is>
      </c>
      <c r="F33" t="n">
        <v>98.7</v>
      </c>
      <c r="G33" t="n">
        <v>90.59999999999999</v>
      </c>
    </row>
    <row r="34">
      <c r="A34" t="inlineStr">
        <is>
          <t>RESP0005</t>
        </is>
      </c>
      <c r="B34" t="inlineStr">
        <is>
          <t>Study flow 2</t>
        </is>
      </c>
      <c r="C34" t="n">
        <v>5</v>
      </c>
      <c r="D34" t="inlineStr">
        <is>
          <t>infographic</t>
        </is>
      </c>
      <c r="E34" t="inlineStr">
        <is>
          <t>NA</t>
        </is>
      </c>
      <c r="F34" t="n">
        <v>99.09999999999999</v>
      </c>
      <c r="G34" t="n">
        <v>93.40000000000001</v>
      </c>
    </row>
    <row r="35">
      <c r="A35" t="inlineStr">
        <is>
          <t>RESP0005</t>
        </is>
      </c>
      <c r="B35" t="inlineStr">
        <is>
          <t>Study flow 2</t>
        </is>
      </c>
      <c r="C35" t="n">
        <v>6</v>
      </c>
      <c r="D35" t="inlineStr">
        <is>
          <t>Questionnaire</t>
        </is>
      </c>
      <c r="E35" t="inlineStr">
        <is>
          <t>NA</t>
        </is>
      </c>
      <c r="F35" t="n">
        <v>98.7</v>
      </c>
      <c r="G35" t="n">
        <v>92.7</v>
      </c>
    </row>
    <row r="36">
      <c r="A36" t="inlineStr">
        <is>
          <t>RESP0005</t>
        </is>
      </c>
      <c r="B36" t="inlineStr">
        <is>
          <t>Study flow 2</t>
        </is>
      </c>
      <c r="C36" t="n">
        <v>7</v>
      </c>
      <c r="D36" t="inlineStr">
        <is>
          <t>Post-study calibration</t>
        </is>
      </c>
      <c r="E36" t="n">
        <v>1.19</v>
      </c>
      <c r="F36" t="n">
        <v>99</v>
      </c>
      <c r="G36" t="n">
        <v>90.09999999999999</v>
      </c>
    </row>
    <row r="37">
      <c r="A37" t="inlineStr">
        <is>
          <t>RESP0006</t>
        </is>
      </c>
      <c r="B37" t="inlineStr">
        <is>
          <t>Study flow 2</t>
        </is>
      </c>
      <c r="C37" t="n">
        <v>1</v>
      </c>
      <c r="D37" t="inlineStr">
        <is>
          <t>Pre-study calibration</t>
        </is>
      </c>
      <c r="E37" t="n">
        <v>1.6</v>
      </c>
      <c r="F37" t="n">
        <v>96.5</v>
      </c>
      <c r="G37" t="n">
        <v>98.40000000000001</v>
      </c>
    </row>
    <row r="38">
      <c r="A38" t="inlineStr">
        <is>
          <t>RESP0006</t>
        </is>
      </c>
      <c r="B38" t="inlineStr">
        <is>
          <t>Study flow 2</t>
        </is>
      </c>
      <c r="C38" t="n">
        <v>2</v>
      </c>
      <c r="D38" t="inlineStr">
        <is>
          <t>Instructions1</t>
        </is>
      </c>
      <c r="E38" t="inlineStr">
        <is>
          <t>NA</t>
        </is>
      </c>
      <c r="F38" t="n">
        <v>97.3</v>
      </c>
      <c r="G38" t="n">
        <v>98.2</v>
      </c>
    </row>
    <row r="39">
      <c r="A39" t="inlineStr">
        <is>
          <t>RESP0006</t>
        </is>
      </c>
      <c r="B39" t="inlineStr">
        <is>
          <t>Study flow 2</t>
        </is>
      </c>
      <c r="C39" t="n">
        <v>3</v>
      </c>
      <c r="D39" t="inlineStr">
        <is>
          <t>foodwaste_visual</t>
        </is>
      </c>
      <c r="E39" t="inlineStr">
        <is>
          <t>NA</t>
        </is>
      </c>
      <c r="F39" t="n">
        <v>97.40000000000001</v>
      </c>
      <c r="G39" t="n">
        <v>99</v>
      </c>
    </row>
    <row r="40">
      <c r="A40" t="inlineStr">
        <is>
          <t>RESP0006</t>
        </is>
      </c>
      <c r="B40" t="inlineStr">
        <is>
          <t>Study flow 2</t>
        </is>
      </c>
      <c r="C40" t="n">
        <v>4</v>
      </c>
      <c r="D40" t="inlineStr">
        <is>
          <t>foodwaste_narrative</t>
        </is>
      </c>
      <c r="E40" t="inlineStr">
        <is>
          <t>NA</t>
        </is>
      </c>
      <c r="F40" t="n">
        <v>98.09999999999999</v>
      </c>
      <c r="G40" t="n">
        <v>99.3</v>
      </c>
    </row>
    <row r="41">
      <c r="A41" t="inlineStr">
        <is>
          <t>RESP0006</t>
        </is>
      </c>
      <c r="B41" t="inlineStr">
        <is>
          <t>Study flow 2</t>
        </is>
      </c>
      <c r="C41" t="n">
        <v>5</v>
      </c>
      <c r="D41" t="inlineStr">
        <is>
          <t>infographic</t>
        </is>
      </c>
      <c r="E41" t="inlineStr">
        <is>
          <t>NA</t>
        </is>
      </c>
      <c r="F41" t="n">
        <v>96.40000000000001</v>
      </c>
      <c r="G41" t="n">
        <v>99</v>
      </c>
    </row>
    <row r="42">
      <c r="A42" t="inlineStr">
        <is>
          <t>RESP0006</t>
        </is>
      </c>
      <c r="B42" t="inlineStr">
        <is>
          <t>Study flow 2</t>
        </is>
      </c>
      <c r="C42" t="n">
        <v>6</v>
      </c>
      <c r="D42" t="inlineStr">
        <is>
          <t>Questionnaire</t>
        </is>
      </c>
      <c r="E42" t="inlineStr">
        <is>
          <t>NA</t>
        </is>
      </c>
      <c r="F42" t="n">
        <v>97.2</v>
      </c>
      <c r="G42" t="n">
        <v>98.3</v>
      </c>
    </row>
    <row r="43">
      <c r="A43" t="inlineStr">
        <is>
          <t>RESP0006</t>
        </is>
      </c>
      <c r="B43" t="inlineStr">
        <is>
          <t>Study flow 2</t>
        </is>
      </c>
      <c r="C43" t="n">
        <v>7</v>
      </c>
      <c r="D43" t="inlineStr">
        <is>
          <t>Post-study calibration</t>
        </is>
      </c>
      <c r="E43" t="n">
        <v>1.86</v>
      </c>
      <c r="F43" t="n">
        <v>96.59999999999999</v>
      </c>
      <c r="G43" t="n">
        <v>98.40000000000001</v>
      </c>
    </row>
    <row r="44">
      <c r="A44" t="inlineStr">
        <is>
          <t>RESP0007</t>
        </is>
      </c>
      <c r="B44" t="inlineStr">
        <is>
          <t>Study flow 1</t>
        </is>
      </c>
      <c r="C44" t="n">
        <v>1</v>
      </c>
      <c r="D44" t="inlineStr">
        <is>
          <t>Pre-study calibration</t>
        </is>
      </c>
      <c r="E44" t="n">
        <v>1.24</v>
      </c>
      <c r="F44" t="n">
        <v>97.59999999999999</v>
      </c>
      <c r="G44" t="n">
        <v>97.8</v>
      </c>
    </row>
    <row r="45">
      <c r="A45" t="inlineStr">
        <is>
          <t>RESP0007</t>
        </is>
      </c>
      <c r="B45" t="inlineStr">
        <is>
          <t>Study flow 1</t>
        </is>
      </c>
      <c r="C45" t="n">
        <v>2</v>
      </c>
      <c r="D45" t="inlineStr">
        <is>
          <t>Instructions1</t>
        </is>
      </c>
      <c r="E45" t="inlineStr">
        <is>
          <t>NA</t>
        </is>
      </c>
      <c r="F45" t="n">
        <v>98</v>
      </c>
      <c r="G45" t="n">
        <v>96.40000000000001</v>
      </c>
    </row>
    <row r="46">
      <c r="A46" t="inlineStr">
        <is>
          <t>RESP0007</t>
        </is>
      </c>
      <c r="B46" t="inlineStr">
        <is>
          <t>Study flow 1</t>
        </is>
      </c>
      <c r="C46" t="n">
        <v>3</v>
      </c>
      <c r="D46" t="inlineStr">
        <is>
          <t>foodwaste_narrative</t>
        </is>
      </c>
      <c r="E46" t="inlineStr">
        <is>
          <t>NA</t>
        </is>
      </c>
      <c r="F46" t="n">
        <v>94.09999999999999</v>
      </c>
      <c r="G46" t="n">
        <v>94.90000000000001</v>
      </c>
    </row>
    <row r="47">
      <c r="A47" t="inlineStr">
        <is>
          <t>RESP0007</t>
        </is>
      </c>
      <c r="B47" t="inlineStr">
        <is>
          <t>Study flow 1</t>
        </is>
      </c>
      <c r="C47" t="n">
        <v>4</v>
      </c>
      <c r="D47" t="inlineStr">
        <is>
          <t>foodwaste_visual</t>
        </is>
      </c>
      <c r="E47" t="inlineStr">
        <is>
          <t>NA</t>
        </is>
      </c>
      <c r="F47" t="n">
        <v>95.2</v>
      </c>
      <c r="G47" t="n">
        <v>97.2</v>
      </c>
    </row>
    <row r="48">
      <c r="A48" t="inlineStr">
        <is>
          <t>RESP0007</t>
        </is>
      </c>
      <c r="B48" t="inlineStr">
        <is>
          <t>Study flow 1</t>
        </is>
      </c>
      <c r="C48" t="n">
        <v>5</v>
      </c>
      <c r="D48" t="inlineStr">
        <is>
          <t>infographic</t>
        </is>
      </c>
      <c r="E48" t="inlineStr">
        <is>
          <t>NA</t>
        </is>
      </c>
      <c r="F48" t="n">
        <v>96.7</v>
      </c>
      <c r="G48" t="n">
        <v>93.59999999999999</v>
      </c>
    </row>
    <row r="49">
      <c r="A49" t="inlineStr">
        <is>
          <t>RESP0007</t>
        </is>
      </c>
      <c r="B49" t="inlineStr">
        <is>
          <t>Study flow 1</t>
        </is>
      </c>
      <c r="C49" t="n">
        <v>6</v>
      </c>
      <c r="D49" t="inlineStr">
        <is>
          <t>Questionnaire</t>
        </is>
      </c>
      <c r="E49" t="inlineStr">
        <is>
          <t>NA</t>
        </is>
      </c>
      <c r="F49" t="n">
        <v>97.59999999999999</v>
      </c>
      <c r="G49" t="n">
        <v>97.3</v>
      </c>
    </row>
    <row r="50">
      <c r="A50" t="inlineStr">
        <is>
          <t>RESP0007</t>
        </is>
      </c>
      <c r="B50" t="inlineStr">
        <is>
          <t>Study flow 1</t>
        </is>
      </c>
      <c r="C50" t="n">
        <v>7</v>
      </c>
      <c r="D50" t="inlineStr">
        <is>
          <t>Post-study calibration</t>
        </is>
      </c>
      <c r="E50" t="n">
        <v>2.36</v>
      </c>
      <c r="F50" t="n">
        <v>97.90000000000001</v>
      </c>
      <c r="G50" t="n">
        <v>98.2</v>
      </c>
    </row>
    <row r="51">
      <c r="A51" t="inlineStr">
        <is>
          <t>RESP0009</t>
        </is>
      </c>
      <c r="B51" t="inlineStr">
        <is>
          <t>Study flow 1</t>
        </is>
      </c>
      <c r="C51" t="n">
        <v>1</v>
      </c>
      <c r="D51" t="inlineStr">
        <is>
          <t>Pre-study calibration</t>
        </is>
      </c>
      <c r="E51" t="n">
        <v>2.77</v>
      </c>
      <c r="F51" t="n">
        <v>97</v>
      </c>
      <c r="G51" t="n">
        <v>97.3</v>
      </c>
    </row>
    <row r="52">
      <c r="A52" t="inlineStr">
        <is>
          <t>RESP0009</t>
        </is>
      </c>
      <c r="B52" t="inlineStr">
        <is>
          <t>Study flow 1</t>
        </is>
      </c>
      <c r="C52" t="n">
        <v>2</v>
      </c>
      <c r="D52" t="inlineStr">
        <is>
          <t>Instructions1</t>
        </is>
      </c>
      <c r="E52" t="inlineStr">
        <is>
          <t>NA</t>
        </is>
      </c>
      <c r="F52" t="n">
        <v>95.5</v>
      </c>
      <c r="G52" t="n">
        <v>96.3</v>
      </c>
    </row>
    <row r="53">
      <c r="A53" t="inlineStr">
        <is>
          <t>RESP0009</t>
        </is>
      </c>
      <c r="B53" t="inlineStr">
        <is>
          <t>Study flow 1</t>
        </is>
      </c>
      <c r="C53" t="n">
        <v>3</v>
      </c>
      <c r="D53" t="inlineStr">
        <is>
          <t>foodwaste_narrative</t>
        </is>
      </c>
      <c r="E53" t="inlineStr">
        <is>
          <t>NA</t>
        </is>
      </c>
      <c r="F53" t="n">
        <v>94</v>
      </c>
      <c r="G53" t="n">
        <v>96.59999999999999</v>
      </c>
    </row>
    <row r="54">
      <c r="A54" t="inlineStr">
        <is>
          <t>RESP0009</t>
        </is>
      </c>
      <c r="B54" t="inlineStr">
        <is>
          <t>Study flow 1</t>
        </is>
      </c>
      <c r="C54" t="n">
        <v>4</v>
      </c>
      <c r="D54" t="inlineStr">
        <is>
          <t>foodwaste_visual</t>
        </is>
      </c>
      <c r="E54" t="inlineStr">
        <is>
          <t>NA</t>
        </is>
      </c>
      <c r="F54" t="n">
        <v>90.8</v>
      </c>
      <c r="G54" t="n">
        <v>96.90000000000001</v>
      </c>
    </row>
    <row r="55">
      <c r="A55" t="inlineStr">
        <is>
          <t>RESP0009</t>
        </is>
      </c>
      <c r="B55" t="inlineStr">
        <is>
          <t>Study flow 1</t>
        </is>
      </c>
      <c r="C55" t="n">
        <v>5</v>
      </c>
      <c r="D55" t="inlineStr">
        <is>
          <t>infographic</t>
        </is>
      </c>
      <c r="E55" t="inlineStr">
        <is>
          <t>NA</t>
        </is>
      </c>
      <c r="F55" t="n">
        <v>94</v>
      </c>
      <c r="G55" t="n">
        <v>94.2</v>
      </c>
    </row>
    <row r="56">
      <c r="A56" t="inlineStr">
        <is>
          <t>RESP0009</t>
        </is>
      </c>
      <c r="B56" t="inlineStr">
        <is>
          <t>Study flow 1</t>
        </is>
      </c>
      <c r="C56" t="n">
        <v>6</v>
      </c>
      <c r="D56" t="inlineStr">
        <is>
          <t>Questionnaire</t>
        </is>
      </c>
      <c r="E56" t="inlineStr">
        <is>
          <t>NA</t>
        </is>
      </c>
      <c r="F56" t="n">
        <v>95.40000000000001</v>
      </c>
      <c r="G56" t="n">
        <v>96</v>
      </c>
    </row>
    <row r="57">
      <c r="A57" t="inlineStr">
        <is>
          <t>RESP0009</t>
        </is>
      </c>
      <c r="B57" t="inlineStr">
        <is>
          <t>Study flow 1</t>
        </is>
      </c>
      <c r="C57" t="n">
        <v>7</v>
      </c>
      <c r="D57" t="inlineStr">
        <is>
          <t>Post-study calibration</t>
        </is>
      </c>
      <c r="E57" t="n">
        <v>3.42</v>
      </c>
      <c r="F57" t="n">
        <v>94.3</v>
      </c>
      <c r="G57" t="n">
        <v>99</v>
      </c>
    </row>
    <row r="58">
      <c r="A58" t="inlineStr">
        <is>
          <t>RESP0010</t>
        </is>
      </c>
      <c r="B58" t="inlineStr">
        <is>
          <t>Study flow 1</t>
        </is>
      </c>
      <c r="C58" t="n">
        <v>1</v>
      </c>
      <c r="D58" t="inlineStr">
        <is>
          <t>Pre-study calibration</t>
        </is>
      </c>
      <c r="E58" t="n">
        <v>2.08</v>
      </c>
      <c r="F58" t="n">
        <v>97.5</v>
      </c>
      <c r="G58" t="n">
        <v>99.59999999999999</v>
      </c>
    </row>
    <row r="59">
      <c r="A59" t="inlineStr">
        <is>
          <t>RESP0010</t>
        </is>
      </c>
      <c r="B59" t="inlineStr">
        <is>
          <t>Study flow 1</t>
        </is>
      </c>
      <c r="C59" t="n">
        <v>2</v>
      </c>
      <c r="D59" t="inlineStr">
        <is>
          <t>Instructions1</t>
        </is>
      </c>
      <c r="E59" t="inlineStr">
        <is>
          <t>NA</t>
        </is>
      </c>
      <c r="F59" t="n">
        <v>98</v>
      </c>
      <c r="G59" t="n">
        <v>99.3</v>
      </c>
    </row>
    <row r="60">
      <c r="A60" t="inlineStr">
        <is>
          <t>RESP0010</t>
        </is>
      </c>
      <c r="B60" t="inlineStr">
        <is>
          <t>Study flow 1</t>
        </is>
      </c>
      <c r="C60" t="n">
        <v>3</v>
      </c>
      <c r="D60" t="inlineStr">
        <is>
          <t>foodwaste_narrative</t>
        </is>
      </c>
      <c r="E60" t="inlineStr">
        <is>
          <t>NA</t>
        </is>
      </c>
      <c r="F60" t="n">
        <v>97</v>
      </c>
      <c r="G60" t="n">
        <v>98.5</v>
      </c>
    </row>
    <row r="61">
      <c r="A61" t="inlineStr">
        <is>
          <t>RESP0010</t>
        </is>
      </c>
      <c r="B61" t="inlineStr">
        <is>
          <t>Study flow 1</t>
        </is>
      </c>
      <c r="C61" t="n">
        <v>4</v>
      </c>
      <c r="D61" t="inlineStr">
        <is>
          <t>foodwaste_visual</t>
        </is>
      </c>
      <c r="E61" t="inlineStr">
        <is>
          <t>NA</t>
        </is>
      </c>
      <c r="F61" t="n">
        <v>97.59999999999999</v>
      </c>
      <c r="G61" t="n">
        <v>99.09999999999999</v>
      </c>
    </row>
    <row r="62">
      <c r="A62" t="inlineStr">
        <is>
          <t>RESP0010</t>
        </is>
      </c>
      <c r="B62" t="inlineStr">
        <is>
          <t>Study flow 1</t>
        </is>
      </c>
      <c r="C62" t="n">
        <v>5</v>
      </c>
      <c r="D62" t="inlineStr">
        <is>
          <t>infographic</t>
        </is>
      </c>
      <c r="E62" t="inlineStr">
        <is>
          <t>NA</t>
        </is>
      </c>
      <c r="F62" t="n">
        <v>96.59999999999999</v>
      </c>
      <c r="G62" t="n">
        <v>98.7</v>
      </c>
    </row>
    <row r="63">
      <c r="A63" t="inlineStr">
        <is>
          <t>RESP0010</t>
        </is>
      </c>
      <c r="B63" t="inlineStr">
        <is>
          <t>Study flow 1</t>
        </is>
      </c>
      <c r="C63" t="n">
        <v>6</v>
      </c>
      <c r="D63" t="inlineStr">
        <is>
          <t>Questionnaire</t>
        </is>
      </c>
      <c r="E63" t="inlineStr">
        <is>
          <t>NA</t>
        </is>
      </c>
      <c r="F63" t="n">
        <v>98</v>
      </c>
      <c r="G63" t="n">
        <v>99.09999999999999</v>
      </c>
    </row>
    <row r="64">
      <c r="A64" t="inlineStr">
        <is>
          <t>RESP0010</t>
        </is>
      </c>
      <c r="B64" t="inlineStr">
        <is>
          <t>Study flow 1</t>
        </is>
      </c>
      <c r="C64" t="n">
        <v>7</v>
      </c>
      <c r="D64" t="inlineStr">
        <is>
          <t>Post-study calibration</t>
        </is>
      </c>
      <c r="E64" t="n">
        <v>2.55</v>
      </c>
      <c r="F64" t="n">
        <v>96.90000000000001</v>
      </c>
      <c r="G64" t="n">
        <v>98.09999999999999</v>
      </c>
    </row>
    <row r="65">
      <c r="A65" t="inlineStr">
        <is>
          <t>RESP0012</t>
        </is>
      </c>
      <c r="B65" t="inlineStr">
        <is>
          <t>Study flow 2</t>
        </is>
      </c>
      <c r="C65" t="n">
        <v>1</v>
      </c>
      <c r="D65" t="inlineStr">
        <is>
          <t>Pre-study calibration</t>
        </is>
      </c>
      <c r="E65" t="n">
        <v>1.21</v>
      </c>
      <c r="F65" t="n">
        <v>96.3</v>
      </c>
      <c r="G65" t="n">
        <v>99.3</v>
      </c>
    </row>
    <row r="66">
      <c r="A66" t="inlineStr">
        <is>
          <t>RESP0012</t>
        </is>
      </c>
      <c r="B66" t="inlineStr">
        <is>
          <t>Study flow 2</t>
        </is>
      </c>
      <c r="C66" t="n">
        <v>2</v>
      </c>
      <c r="D66" t="inlineStr">
        <is>
          <t>Instructions1</t>
        </is>
      </c>
      <c r="E66" t="inlineStr">
        <is>
          <t>NA</t>
        </is>
      </c>
      <c r="F66" t="n">
        <v>98.5</v>
      </c>
      <c r="G66" t="n">
        <v>99.5</v>
      </c>
    </row>
    <row r="67">
      <c r="A67" t="inlineStr">
        <is>
          <t>RESP0012</t>
        </is>
      </c>
      <c r="B67" t="inlineStr">
        <is>
          <t>Study flow 2</t>
        </is>
      </c>
      <c r="C67" t="n">
        <v>3</v>
      </c>
      <c r="D67" t="inlineStr">
        <is>
          <t>foodwaste_visual</t>
        </is>
      </c>
      <c r="E67" t="inlineStr">
        <is>
          <t>NA</t>
        </is>
      </c>
      <c r="F67" t="n">
        <v>94.90000000000001</v>
      </c>
      <c r="G67" t="n">
        <v>99.5</v>
      </c>
    </row>
    <row r="68">
      <c r="A68" t="inlineStr">
        <is>
          <t>RESP0012</t>
        </is>
      </c>
      <c r="B68" t="inlineStr">
        <is>
          <t>Study flow 2</t>
        </is>
      </c>
      <c r="C68" t="n">
        <v>4</v>
      </c>
      <c r="D68" t="inlineStr">
        <is>
          <t>foodwaste_narrative</t>
        </is>
      </c>
      <c r="E68" t="inlineStr">
        <is>
          <t>NA</t>
        </is>
      </c>
      <c r="F68" t="n">
        <v>97.90000000000001</v>
      </c>
      <c r="G68" t="n">
        <v>99.5</v>
      </c>
    </row>
    <row r="69">
      <c r="A69" t="inlineStr">
        <is>
          <t>RESP0012</t>
        </is>
      </c>
      <c r="B69" t="inlineStr">
        <is>
          <t>Study flow 2</t>
        </is>
      </c>
      <c r="C69" t="n">
        <v>5</v>
      </c>
      <c r="D69" t="inlineStr">
        <is>
          <t>infographic</t>
        </is>
      </c>
      <c r="E69" t="inlineStr">
        <is>
          <t>NA</t>
        </is>
      </c>
      <c r="F69" t="n">
        <v>96.90000000000001</v>
      </c>
      <c r="G69" t="n">
        <v>99.3</v>
      </c>
    </row>
    <row r="70">
      <c r="A70" t="inlineStr">
        <is>
          <t>RESP0012</t>
        </is>
      </c>
      <c r="B70" t="inlineStr">
        <is>
          <t>Study flow 2</t>
        </is>
      </c>
      <c r="C70" t="n">
        <v>6</v>
      </c>
      <c r="D70" t="inlineStr">
        <is>
          <t>Questionnaire</t>
        </is>
      </c>
      <c r="E70" t="inlineStr">
        <is>
          <t>NA</t>
        </is>
      </c>
      <c r="F70" t="n">
        <v>98.40000000000001</v>
      </c>
      <c r="G70" t="n">
        <v>99</v>
      </c>
    </row>
    <row r="71">
      <c r="A71" t="inlineStr">
        <is>
          <t>RESP0012</t>
        </is>
      </c>
      <c r="B71" t="inlineStr">
        <is>
          <t>Study flow 2</t>
        </is>
      </c>
      <c r="C71" t="n">
        <v>7</v>
      </c>
      <c r="D71" t="inlineStr">
        <is>
          <t>Post-study calibration</t>
        </is>
      </c>
      <c r="E71" t="n">
        <v>2.14</v>
      </c>
      <c r="F71" t="n">
        <v>98.5</v>
      </c>
      <c r="G71" t="n">
        <v>99.40000000000001</v>
      </c>
    </row>
    <row r="72">
      <c r="A72" t="inlineStr">
        <is>
          <t>RESP0013</t>
        </is>
      </c>
      <c r="B72" t="inlineStr">
        <is>
          <t>Study flow 2</t>
        </is>
      </c>
      <c r="C72" t="n">
        <v>1</v>
      </c>
      <c r="D72" t="inlineStr">
        <is>
          <t>Pre-study calibration</t>
        </is>
      </c>
      <c r="E72" t="n">
        <v>1.82</v>
      </c>
      <c r="F72" t="n">
        <v>88.90000000000001</v>
      </c>
      <c r="G72" t="n">
        <v>96.59999999999999</v>
      </c>
    </row>
    <row r="73">
      <c r="A73" t="inlineStr">
        <is>
          <t>RESP0013</t>
        </is>
      </c>
      <c r="B73" t="inlineStr">
        <is>
          <t>Study flow 2</t>
        </is>
      </c>
      <c r="C73" t="n">
        <v>2</v>
      </c>
      <c r="D73" t="inlineStr">
        <is>
          <t>Instructions1</t>
        </is>
      </c>
      <c r="E73" t="inlineStr">
        <is>
          <t>NA</t>
        </is>
      </c>
      <c r="F73" t="n">
        <v>92.59999999999999</v>
      </c>
      <c r="G73" t="n">
        <v>96</v>
      </c>
    </row>
    <row r="74">
      <c r="A74" t="inlineStr">
        <is>
          <t>RESP0013</t>
        </is>
      </c>
      <c r="B74" t="inlineStr">
        <is>
          <t>Study flow 2</t>
        </is>
      </c>
      <c r="C74" t="n">
        <v>3</v>
      </c>
      <c r="D74" t="inlineStr">
        <is>
          <t>foodwaste_visual</t>
        </is>
      </c>
      <c r="E74" t="inlineStr">
        <is>
          <t>NA</t>
        </is>
      </c>
      <c r="F74" t="n">
        <v>85.8</v>
      </c>
      <c r="G74" t="n">
        <v>96</v>
      </c>
    </row>
    <row r="75">
      <c r="A75" t="inlineStr">
        <is>
          <t>RESP0013</t>
        </is>
      </c>
      <c r="B75" t="inlineStr">
        <is>
          <t>Study flow 2</t>
        </is>
      </c>
      <c r="C75" t="n">
        <v>4</v>
      </c>
      <c r="D75" t="inlineStr">
        <is>
          <t>foodwaste_narrative</t>
        </is>
      </c>
      <c r="E75" t="inlineStr">
        <is>
          <t>NA</t>
        </is>
      </c>
      <c r="F75" t="n">
        <v>88.7</v>
      </c>
      <c r="G75" t="n">
        <v>94.5</v>
      </c>
    </row>
    <row r="76">
      <c r="A76" t="inlineStr">
        <is>
          <t>RESP0013</t>
        </is>
      </c>
      <c r="B76" t="inlineStr">
        <is>
          <t>Study flow 2</t>
        </is>
      </c>
      <c r="C76" t="n">
        <v>5</v>
      </c>
      <c r="D76" t="inlineStr">
        <is>
          <t>infographic</t>
        </is>
      </c>
      <c r="E76" t="inlineStr">
        <is>
          <t>NA</t>
        </is>
      </c>
      <c r="F76" t="n">
        <v>90.5</v>
      </c>
      <c r="G76" t="n">
        <v>96.40000000000001</v>
      </c>
    </row>
    <row r="77">
      <c r="A77" t="inlineStr">
        <is>
          <t>RESP0013</t>
        </is>
      </c>
      <c r="B77" t="inlineStr">
        <is>
          <t>Study flow 2</t>
        </is>
      </c>
      <c r="C77" t="n">
        <v>6</v>
      </c>
      <c r="D77" t="inlineStr">
        <is>
          <t>Questionnaire</t>
        </is>
      </c>
      <c r="E77" t="inlineStr">
        <is>
          <t>NA</t>
        </is>
      </c>
      <c r="F77" t="n">
        <v>94.3</v>
      </c>
      <c r="G77" t="n">
        <v>96.5</v>
      </c>
    </row>
    <row r="78">
      <c r="A78" t="inlineStr">
        <is>
          <t>RESP0013</t>
        </is>
      </c>
      <c r="B78" t="inlineStr">
        <is>
          <t>Study flow 2</t>
        </is>
      </c>
      <c r="C78" t="n">
        <v>7</v>
      </c>
      <c r="D78" t="inlineStr">
        <is>
          <t>Post-study calibration</t>
        </is>
      </c>
      <c r="E78" t="n">
        <v>2.6</v>
      </c>
      <c r="F78" t="n">
        <v>89.09999999999999</v>
      </c>
      <c r="G78" t="n">
        <v>96.2</v>
      </c>
    </row>
    <row r="79">
      <c r="A79" t="inlineStr">
        <is>
          <t>RESP0014</t>
        </is>
      </c>
      <c r="B79" t="inlineStr">
        <is>
          <t>Study flow 2</t>
        </is>
      </c>
      <c r="C79" t="n">
        <v>1</v>
      </c>
      <c r="D79" t="inlineStr">
        <is>
          <t>Pre-study calibration</t>
        </is>
      </c>
      <c r="E79" t="n">
        <v>1.98</v>
      </c>
      <c r="F79" t="n">
        <v>93.59999999999999</v>
      </c>
      <c r="G79" t="n">
        <v>99.2</v>
      </c>
    </row>
    <row r="80">
      <c r="A80" t="inlineStr">
        <is>
          <t>RESP0014</t>
        </is>
      </c>
      <c r="B80" t="inlineStr">
        <is>
          <t>Study flow 2</t>
        </is>
      </c>
      <c r="C80" t="n">
        <v>2</v>
      </c>
      <c r="D80" t="inlineStr">
        <is>
          <t>Instructions1</t>
        </is>
      </c>
      <c r="E80" t="inlineStr">
        <is>
          <t>NA</t>
        </is>
      </c>
      <c r="F80" t="n">
        <v>98</v>
      </c>
      <c r="G80" t="n">
        <v>99.2</v>
      </c>
    </row>
    <row r="81">
      <c r="A81" t="inlineStr">
        <is>
          <t>RESP0014</t>
        </is>
      </c>
      <c r="B81" t="inlineStr">
        <is>
          <t>Study flow 2</t>
        </is>
      </c>
      <c r="C81" t="n">
        <v>3</v>
      </c>
      <c r="D81" t="inlineStr">
        <is>
          <t>foodwaste_visual</t>
        </is>
      </c>
      <c r="E81" t="inlineStr">
        <is>
          <t>NA</t>
        </is>
      </c>
      <c r="F81" t="n">
        <v>97.40000000000001</v>
      </c>
      <c r="G81" t="n">
        <v>99.59999999999999</v>
      </c>
    </row>
    <row r="82">
      <c r="A82" t="inlineStr">
        <is>
          <t>RESP0014</t>
        </is>
      </c>
      <c r="B82" t="inlineStr">
        <is>
          <t>Study flow 2</t>
        </is>
      </c>
      <c r="C82" t="n">
        <v>4</v>
      </c>
      <c r="D82" t="inlineStr">
        <is>
          <t>foodwaste_narrative</t>
        </is>
      </c>
      <c r="E82" t="inlineStr">
        <is>
          <t>NA</t>
        </is>
      </c>
      <c r="F82" t="n">
        <v>96.09999999999999</v>
      </c>
      <c r="G82" t="n">
        <v>99.2</v>
      </c>
    </row>
    <row r="83">
      <c r="A83" t="inlineStr">
        <is>
          <t>RESP0014</t>
        </is>
      </c>
      <c r="B83" t="inlineStr">
        <is>
          <t>Study flow 2</t>
        </is>
      </c>
      <c r="C83" t="n">
        <v>5</v>
      </c>
      <c r="D83" t="inlineStr">
        <is>
          <t>infographic</t>
        </is>
      </c>
      <c r="E83" t="inlineStr">
        <is>
          <t>NA</t>
        </is>
      </c>
      <c r="F83" t="n">
        <v>96.59999999999999</v>
      </c>
      <c r="G83" t="n">
        <v>99</v>
      </c>
    </row>
    <row r="84">
      <c r="A84" t="inlineStr">
        <is>
          <t>RESP0014</t>
        </is>
      </c>
      <c r="B84" t="inlineStr">
        <is>
          <t>Study flow 2</t>
        </is>
      </c>
      <c r="C84" t="n">
        <v>6</v>
      </c>
      <c r="D84" t="inlineStr">
        <is>
          <t>Questionnaire</t>
        </is>
      </c>
      <c r="E84" t="inlineStr">
        <is>
          <t>NA</t>
        </is>
      </c>
      <c r="F84" t="n">
        <v>94.8</v>
      </c>
      <c r="G84" t="n">
        <v>99.5</v>
      </c>
    </row>
    <row r="85">
      <c r="A85" t="inlineStr">
        <is>
          <t>RESP0014</t>
        </is>
      </c>
      <c r="B85" t="inlineStr">
        <is>
          <t>Study flow 2</t>
        </is>
      </c>
      <c r="C85" t="n">
        <v>7</v>
      </c>
      <c r="D85" t="inlineStr">
        <is>
          <t>Post-study calibration</t>
        </is>
      </c>
      <c r="E85" t="n">
        <v>2.06</v>
      </c>
      <c r="F85" t="n">
        <v>96.8</v>
      </c>
      <c r="G85" t="n">
        <v>98.90000000000001</v>
      </c>
    </row>
    <row r="86">
      <c r="A86" t="inlineStr">
        <is>
          <t>RESP0015</t>
        </is>
      </c>
      <c r="B86" t="inlineStr">
        <is>
          <t>Study flow 1</t>
        </is>
      </c>
      <c r="C86" t="n">
        <v>1</v>
      </c>
      <c r="D86" t="inlineStr">
        <is>
          <t>Pre-study calibration</t>
        </is>
      </c>
      <c r="E86" t="n">
        <v>1.03</v>
      </c>
      <c r="F86" t="n">
        <v>89.90000000000001</v>
      </c>
      <c r="G86" t="n">
        <v>93.09999999999999</v>
      </c>
    </row>
    <row r="87">
      <c r="A87" t="inlineStr">
        <is>
          <t>RESP0015</t>
        </is>
      </c>
      <c r="B87" t="inlineStr">
        <is>
          <t>Study flow 1</t>
        </is>
      </c>
      <c r="C87" t="n">
        <v>2</v>
      </c>
      <c r="D87" t="inlineStr">
        <is>
          <t>Instructions1</t>
        </is>
      </c>
      <c r="E87" t="inlineStr">
        <is>
          <t>NA</t>
        </is>
      </c>
      <c r="F87" t="n">
        <v>96.3</v>
      </c>
      <c r="G87" t="n">
        <v>88.40000000000001</v>
      </c>
    </row>
    <row r="88">
      <c r="A88" t="inlineStr">
        <is>
          <t>RESP0015</t>
        </is>
      </c>
      <c r="B88" t="inlineStr">
        <is>
          <t>Study flow 1</t>
        </is>
      </c>
      <c r="C88" t="n">
        <v>3</v>
      </c>
      <c r="D88" t="inlineStr">
        <is>
          <t>foodwaste_narrative</t>
        </is>
      </c>
      <c r="E88" t="inlineStr">
        <is>
          <t>NA</t>
        </is>
      </c>
      <c r="F88" t="n">
        <v>90.40000000000001</v>
      </c>
      <c r="G88" t="n">
        <v>90.8</v>
      </c>
    </row>
    <row r="89">
      <c r="A89" t="inlineStr">
        <is>
          <t>RESP0015</t>
        </is>
      </c>
      <c r="B89" t="inlineStr">
        <is>
          <t>Study flow 1</t>
        </is>
      </c>
      <c r="C89" t="n">
        <v>4</v>
      </c>
      <c r="D89" t="inlineStr">
        <is>
          <t>foodwaste_visual</t>
        </is>
      </c>
      <c r="E89" t="inlineStr">
        <is>
          <t>NA</t>
        </is>
      </c>
      <c r="F89" t="n">
        <v>91</v>
      </c>
      <c r="G89" t="n">
        <v>93.5</v>
      </c>
    </row>
    <row r="90">
      <c r="A90" t="inlineStr">
        <is>
          <t>RESP0015</t>
        </is>
      </c>
      <c r="B90" t="inlineStr">
        <is>
          <t>Study flow 1</t>
        </is>
      </c>
      <c r="C90" t="n">
        <v>5</v>
      </c>
      <c r="D90" t="inlineStr">
        <is>
          <t>infographic</t>
        </is>
      </c>
      <c r="E90" t="inlineStr">
        <is>
          <t>NA</t>
        </is>
      </c>
      <c r="F90" t="n">
        <v>94.7</v>
      </c>
      <c r="G90" t="n">
        <v>90.40000000000001</v>
      </c>
    </row>
    <row r="91">
      <c r="A91" t="inlineStr">
        <is>
          <t>RESP0015</t>
        </is>
      </c>
      <c r="B91" t="inlineStr">
        <is>
          <t>Study flow 1</t>
        </is>
      </c>
      <c r="C91" t="n">
        <v>6</v>
      </c>
      <c r="D91" t="inlineStr">
        <is>
          <t>Questionnaire</t>
        </is>
      </c>
      <c r="E91" t="inlineStr">
        <is>
          <t>NA</t>
        </is>
      </c>
      <c r="F91" t="n">
        <v>93.2</v>
      </c>
      <c r="G91" t="n">
        <v>84.90000000000001</v>
      </c>
    </row>
    <row r="92">
      <c r="A92" t="inlineStr">
        <is>
          <t>RESP0015</t>
        </is>
      </c>
      <c r="B92" t="inlineStr">
        <is>
          <t>Study flow 1</t>
        </is>
      </c>
      <c r="C92" t="n">
        <v>7</v>
      </c>
      <c r="D92" t="inlineStr">
        <is>
          <t>Post-study calibration</t>
        </is>
      </c>
      <c r="E92" t="n">
        <v>1.94</v>
      </c>
      <c r="F92" t="n">
        <v>92.3</v>
      </c>
      <c r="G92" t="n">
        <v>85.59999999999999</v>
      </c>
    </row>
    <row r="93">
      <c r="A93" t="inlineStr">
        <is>
          <t>RESP0016</t>
        </is>
      </c>
      <c r="B93" t="inlineStr">
        <is>
          <t>Study flow 2</t>
        </is>
      </c>
      <c r="C93" t="n">
        <v>1</v>
      </c>
      <c r="D93" t="inlineStr">
        <is>
          <t>Pre-study calibration</t>
        </is>
      </c>
      <c r="E93" t="n">
        <v>0.7</v>
      </c>
      <c r="F93" t="n">
        <v>97.2</v>
      </c>
      <c r="G93" t="n">
        <v>99.2</v>
      </c>
    </row>
    <row r="94">
      <c r="A94" t="inlineStr">
        <is>
          <t>RESP0016</t>
        </is>
      </c>
      <c r="B94" t="inlineStr">
        <is>
          <t>Study flow 2</t>
        </is>
      </c>
      <c r="C94" t="n">
        <v>2</v>
      </c>
      <c r="D94" t="inlineStr">
        <is>
          <t>Instructions1</t>
        </is>
      </c>
      <c r="E94" t="inlineStr">
        <is>
          <t>NA</t>
        </is>
      </c>
      <c r="F94" t="n">
        <v>96.8</v>
      </c>
      <c r="G94" t="n">
        <v>98</v>
      </c>
    </row>
    <row r="95">
      <c r="A95" t="inlineStr">
        <is>
          <t>RESP0016</t>
        </is>
      </c>
      <c r="B95" t="inlineStr">
        <is>
          <t>Study flow 2</t>
        </is>
      </c>
      <c r="C95" t="n">
        <v>3</v>
      </c>
      <c r="D95" t="inlineStr">
        <is>
          <t>foodwaste_visual</t>
        </is>
      </c>
      <c r="E95" t="inlineStr">
        <is>
          <t>NA</t>
        </is>
      </c>
      <c r="F95" t="n">
        <v>94.2</v>
      </c>
      <c r="G95" t="n">
        <v>99.09999999999999</v>
      </c>
    </row>
    <row r="96">
      <c r="A96" t="inlineStr">
        <is>
          <t>RESP0016</t>
        </is>
      </c>
      <c r="B96" t="inlineStr">
        <is>
          <t>Study flow 2</t>
        </is>
      </c>
      <c r="C96" t="n">
        <v>4</v>
      </c>
      <c r="D96" t="inlineStr">
        <is>
          <t>foodwaste_narrative</t>
        </is>
      </c>
      <c r="E96" t="inlineStr">
        <is>
          <t>NA</t>
        </is>
      </c>
      <c r="F96" t="n">
        <v>98.3</v>
      </c>
      <c r="G96" t="n">
        <v>99</v>
      </c>
    </row>
    <row r="97">
      <c r="A97" t="inlineStr">
        <is>
          <t>RESP0016</t>
        </is>
      </c>
      <c r="B97" t="inlineStr">
        <is>
          <t>Study flow 2</t>
        </is>
      </c>
      <c r="C97" t="n">
        <v>5</v>
      </c>
      <c r="D97" t="inlineStr">
        <is>
          <t>infographic</t>
        </is>
      </c>
      <c r="E97" t="inlineStr">
        <is>
          <t>NA</t>
        </is>
      </c>
      <c r="F97" t="n">
        <v>95.5</v>
      </c>
      <c r="G97" t="n">
        <v>99.2</v>
      </c>
    </row>
    <row r="98">
      <c r="A98" t="inlineStr">
        <is>
          <t>RESP0016</t>
        </is>
      </c>
      <c r="B98" t="inlineStr">
        <is>
          <t>Study flow 2</t>
        </is>
      </c>
      <c r="C98" t="n">
        <v>6</v>
      </c>
      <c r="D98" t="inlineStr">
        <is>
          <t>Questionnaire</t>
        </is>
      </c>
      <c r="E98" t="inlineStr">
        <is>
          <t>NA</t>
        </is>
      </c>
      <c r="F98" t="n">
        <v>97.2</v>
      </c>
      <c r="G98" t="n">
        <v>98.90000000000001</v>
      </c>
    </row>
    <row r="99">
      <c r="A99" t="inlineStr">
        <is>
          <t>RESP0016</t>
        </is>
      </c>
      <c r="B99" t="inlineStr">
        <is>
          <t>Study flow 2</t>
        </is>
      </c>
      <c r="C99" t="n">
        <v>7</v>
      </c>
      <c r="D99" t="inlineStr">
        <is>
          <t>Post-study calibration</t>
        </is>
      </c>
      <c r="E99" t="n">
        <v>0.71</v>
      </c>
      <c r="F99" t="n">
        <v>96.3</v>
      </c>
      <c r="G99" t="n">
        <v>98.8</v>
      </c>
    </row>
    <row r="100">
      <c r="A100" t="inlineStr">
        <is>
          <t>RESP0019</t>
        </is>
      </c>
      <c r="B100" t="inlineStr">
        <is>
          <t>Study flow 1</t>
        </is>
      </c>
      <c r="C100" t="n">
        <v>1</v>
      </c>
      <c r="D100" t="inlineStr">
        <is>
          <t>Pre-study calibration</t>
        </is>
      </c>
      <c r="E100" t="n">
        <v>2.55</v>
      </c>
      <c r="F100" t="n">
        <v>97.40000000000001</v>
      </c>
      <c r="G100" t="n">
        <v>99.59999999999999</v>
      </c>
    </row>
    <row r="101">
      <c r="A101" t="inlineStr">
        <is>
          <t>RESP0019</t>
        </is>
      </c>
      <c r="B101" t="inlineStr">
        <is>
          <t>Study flow 1</t>
        </is>
      </c>
      <c r="C101" t="n">
        <v>2</v>
      </c>
      <c r="D101" t="inlineStr">
        <is>
          <t>Instructions1</t>
        </is>
      </c>
      <c r="E101" t="inlineStr">
        <is>
          <t>NA</t>
        </is>
      </c>
      <c r="F101" t="n">
        <v>96.59999999999999</v>
      </c>
      <c r="G101" t="n">
        <v>99.40000000000001</v>
      </c>
    </row>
    <row r="102">
      <c r="A102" t="inlineStr">
        <is>
          <t>RESP0019</t>
        </is>
      </c>
      <c r="B102" t="inlineStr">
        <is>
          <t>Study flow 1</t>
        </is>
      </c>
      <c r="C102" t="n">
        <v>3</v>
      </c>
      <c r="D102" t="inlineStr">
        <is>
          <t>foodwaste_narrative</t>
        </is>
      </c>
      <c r="E102" t="inlineStr">
        <is>
          <t>NA</t>
        </is>
      </c>
      <c r="F102" t="n">
        <v>97.09999999999999</v>
      </c>
      <c r="G102" t="n">
        <v>99.59999999999999</v>
      </c>
    </row>
    <row r="103">
      <c r="A103" t="inlineStr">
        <is>
          <t>RESP0019</t>
        </is>
      </c>
      <c r="B103" t="inlineStr">
        <is>
          <t>Study flow 1</t>
        </is>
      </c>
      <c r="C103" t="n">
        <v>4</v>
      </c>
      <c r="D103" t="inlineStr">
        <is>
          <t>foodwaste_visual</t>
        </is>
      </c>
      <c r="E103" t="inlineStr">
        <is>
          <t>NA</t>
        </is>
      </c>
      <c r="F103" t="n">
        <v>96</v>
      </c>
      <c r="G103" t="n">
        <v>99.3</v>
      </c>
    </row>
    <row r="104">
      <c r="A104" t="inlineStr">
        <is>
          <t>RESP0019</t>
        </is>
      </c>
      <c r="B104" t="inlineStr">
        <is>
          <t>Study flow 1</t>
        </is>
      </c>
      <c r="C104" t="n">
        <v>5</v>
      </c>
      <c r="D104" t="inlineStr">
        <is>
          <t>infographic</t>
        </is>
      </c>
      <c r="E104" t="inlineStr">
        <is>
          <t>NA</t>
        </is>
      </c>
      <c r="F104" t="n">
        <v>98.2</v>
      </c>
      <c r="G104" t="n">
        <v>99.59999999999999</v>
      </c>
    </row>
    <row r="105">
      <c r="A105" t="inlineStr">
        <is>
          <t>RESP0019</t>
        </is>
      </c>
      <c r="B105" t="inlineStr">
        <is>
          <t>Study flow 1</t>
        </is>
      </c>
      <c r="C105" t="n">
        <v>6</v>
      </c>
      <c r="D105" t="inlineStr">
        <is>
          <t>Questionnaire</t>
        </is>
      </c>
      <c r="E105" t="inlineStr">
        <is>
          <t>NA</t>
        </is>
      </c>
      <c r="F105" t="n">
        <v>96.09999999999999</v>
      </c>
      <c r="G105" t="n">
        <v>99.2</v>
      </c>
    </row>
    <row r="106">
      <c r="A106" t="inlineStr">
        <is>
          <t>RESP0019</t>
        </is>
      </c>
      <c r="B106" t="inlineStr">
        <is>
          <t>Study flow 1</t>
        </is>
      </c>
      <c r="C106" t="n">
        <v>7</v>
      </c>
      <c r="D106" t="inlineStr">
        <is>
          <t>Post-study calibration</t>
        </is>
      </c>
      <c r="E106" t="n">
        <v>3.34</v>
      </c>
      <c r="F106" t="n">
        <v>97.40000000000001</v>
      </c>
      <c r="G106" t="n">
        <v>99.59999999999999</v>
      </c>
    </row>
    <row r="107">
      <c r="A107" t="inlineStr">
        <is>
          <t>RESP0020</t>
        </is>
      </c>
      <c r="B107" t="inlineStr">
        <is>
          <t>Study flow 1</t>
        </is>
      </c>
      <c r="C107" t="n">
        <v>1</v>
      </c>
      <c r="D107" t="inlineStr">
        <is>
          <t>Pre-study calibration</t>
        </is>
      </c>
      <c r="E107" t="n">
        <v>3.52</v>
      </c>
      <c r="F107" t="n">
        <v>96.2</v>
      </c>
      <c r="G107" t="n">
        <v>96.90000000000001</v>
      </c>
    </row>
    <row r="108">
      <c r="A108" t="inlineStr">
        <is>
          <t>RESP0020</t>
        </is>
      </c>
      <c r="B108" t="inlineStr">
        <is>
          <t>Study flow 1</t>
        </is>
      </c>
      <c r="C108" t="n">
        <v>2</v>
      </c>
      <c r="D108" t="inlineStr">
        <is>
          <t>Instructions1</t>
        </is>
      </c>
      <c r="E108" t="inlineStr">
        <is>
          <t>NA</t>
        </is>
      </c>
      <c r="F108" t="n">
        <v>92.8</v>
      </c>
      <c r="G108" t="n">
        <v>97.40000000000001</v>
      </c>
    </row>
    <row r="109">
      <c r="A109" t="inlineStr">
        <is>
          <t>RESP0020</t>
        </is>
      </c>
      <c r="B109" t="inlineStr">
        <is>
          <t>Study flow 1</t>
        </is>
      </c>
      <c r="C109" t="n">
        <v>3</v>
      </c>
      <c r="D109" t="inlineStr">
        <is>
          <t>foodwaste_narrative</t>
        </is>
      </c>
      <c r="E109" t="inlineStr">
        <is>
          <t>NA</t>
        </is>
      </c>
      <c r="F109" t="n">
        <v>90.8</v>
      </c>
      <c r="G109" t="n">
        <v>98.5</v>
      </c>
    </row>
    <row r="110">
      <c r="A110" t="inlineStr">
        <is>
          <t>RESP0020</t>
        </is>
      </c>
      <c r="B110" t="inlineStr">
        <is>
          <t>Study flow 1</t>
        </is>
      </c>
      <c r="C110" t="n">
        <v>4</v>
      </c>
      <c r="D110" t="inlineStr">
        <is>
          <t>foodwaste_visual</t>
        </is>
      </c>
      <c r="E110" t="inlineStr">
        <is>
          <t>NA</t>
        </is>
      </c>
      <c r="F110" t="n">
        <v>92.09999999999999</v>
      </c>
      <c r="G110" t="n">
        <v>98.5</v>
      </c>
    </row>
    <row r="111">
      <c r="A111" t="inlineStr">
        <is>
          <t>RESP0020</t>
        </is>
      </c>
      <c r="B111" t="inlineStr">
        <is>
          <t>Study flow 1</t>
        </is>
      </c>
      <c r="C111" t="n">
        <v>5</v>
      </c>
      <c r="D111" t="inlineStr">
        <is>
          <t>infographic</t>
        </is>
      </c>
      <c r="E111" t="inlineStr">
        <is>
          <t>NA</t>
        </is>
      </c>
      <c r="F111" t="n">
        <v>96.09999999999999</v>
      </c>
      <c r="G111" t="n">
        <v>98.40000000000001</v>
      </c>
    </row>
    <row r="112">
      <c r="A112" t="inlineStr">
        <is>
          <t>RESP0020</t>
        </is>
      </c>
      <c r="B112" t="inlineStr">
        <is>
          <t>Study flow 1</t>
        </is>
      </c>
      <c r="C112" t="n">
        <v>6</v>
      </c>
      <c r="D112" t="inlineStr">
        <is>
          <t>Questionnaire</t>
        </is>
      </c>
      <c r="E112" t="inlineStr">
        <is>
          <t>NA</t>
        </is>
      </c>
      <c r="F112" t="n">
        <v>95.90000000000001</v>
      </c>
      <c r="G112" t="n">
        <v>98.40000000000001</v>
      </c>
    </row>
    <row r="113">
      <c r="A113" t="inlineStr">
        <is>
          <t>RESP0020</t>
        </is>
      </c>
      <c r="B113" t="inlineStr">
        <is>
          <t>Study flow 1</t>
        </is>
      </c>
      <c r="C113" t="n">
        <v>7</v>
      </c>
      <c r="D113" t="inlineStr">
        <is>
          <t>Post-study calibration</t>
        </is>
      </c>
      <c r="E113" t="n">
        <v>3.76</v>
      </c>
      <c r="F113" t="n">
        <v>95</v>
      </c>
      <c r="G113" t="n">
        <v>98.7</v>
      </c>
    </row>
    <row r="114">
      <c r="A114" t="inlineStr">
        <is>
          <t>RESP0022</t>
        </is>
      </c>
      <c r="B114" t="inlineStr">
        <is>
          <t>Study flow 1</t>
        </is>
      </c>
      <c r="C114" t="n">
        <v>1</v>
      </c>
      <c r="D114" t="inlineStr">
        <is>
          <t>Pre-study calibration</t>
        </is>
      </c>
      <c r="E114" t="n">
        <v>2.26</v>
      </c>
      <c r="F114" t="n">
        <v>95.2</v>
      </c>
      <c r="G114" t="n">
        <v>98.40000000000001</v>
      </c>
    </row>
    <row r="115">
      <c r="A115" t="inlineStr">
        <is>
          <t>RESP0022</t>
        </is>
      </c>
      <c r="B115" t="inlineStr">
        <is>
          <t>Study flow 1</t>
        </is>
      </c>
      <c r="C115" t="n">
        <v>2</v>
      </c>
      <c r="D115" t="inlineStr">
        <is>
          <t>Instructions1</t>
        </is>
      </c>
      <c r="E115" t="inlineStr">
        <is>
          <t>NA</t>
        </is>
      </c>
      <c r="F115" t="n">
        <v>96.8</v>
      </c>
      <c r="G115" t="n">
        <v>98.09999999999999</v>
      </c>
    </row>
    <row r="116">
      <c r="A116" t="inlineStr">
        <is>
          <t>RESP0022</t>
        </is>
      </c>
      <c r="B116" t="inlineStr">
        <is>
          <t>Study flow 1</t>
        </is>
      </c>
      <c r="C116" t="n">
        <v>3</v>
      </c>
      <c r="D116" t="inlineStr">
        <is>
          <t>foodwaste_narrative</t>
        </is>
      </c>
      <c r="E116" t="inlineStr">
        <is>
          <t>NA</t>
        </is>
      </c>
      <c r="F116" t="n">
        <v>95.90000000000001</v>
      </c>
      <c r="G116" t="n">
        <v>99.40000000000001</v>
      </c>
    </row>
    <row r="117">
      <c r="A117" t="inlineStr">
        <is>
          <t>RESP0022</t>
        </is>
      </c>
      <c r="B117" t="inlineStr">
        <is>
          <t>Study flow 1</t>
        </is>
      </c>
      <c r="C117" t="n">
        <v>4</v>
      </c>
      <c r="D117" t="inlineStr">
        <is>
          <t>foodwaste_visual</t>
        </is>
      </c>
      <c r="E117" t="inlineStr">
        <is>
          <t>NA</t>
        </is>
      </c>
      <c r="F117" t="n">
        <v>91.40000000000001</v>
      </c>
      <c r="G117" t="n">
        <v>98.7</v>
      </c>
    </row>
    <row r="118">
      <c r="A118" t="inlineStr">
        <is>
          <t>RESP0022</t>
        </is>
      </c>
      <c r="B118" t="inlineStr">
        <is>
          <t>Study flow 1</t>
        </is>
      </c>
      <c r="C118" t="n">
        <v>5</v>
      </c>
      <c r="D118" t="inlineStr">
        <is>
          <t>infographic</t>
        </is>
      </c>
      <c r="E118" t="inlineStr">
        <is>
          <t>NA</t>
        </is>
      </c>
      <c r="F118" t="n">
        <v>95.90000000000001</v>
      </c>
      <c r="G118" t="n">
        <v>98.90000000000001</v>
      </c>
    </row>
    <row r="119">
      <c r="A119" t="inlineStr">
        <is>
          <t>RESP0022</t>
        </is>
      </c>
      <c r="B119" t="inlineStr">
        <is>
          <t>Study flow 1</t>
        </is>
      </c>
      <c r="C119" t="n">
        <v>6</v>
      </c>
      <c r="D119" t="inlineStr">
        <is>
          <t>Questionnaire</t>
        </is>
      </c>
      <c r="E119" t="inlineStr">
        <is>
          <t>NA</t>
        </is>
      </c>
      <c r="F119" t="n">
        <v>95.3</v>
      </c>
      <c r="G119" t="n">
        <v>99.3</v>
      </c>
    </row>
    <row r="120">
      <c r="A120" t="inlineStr">
        <is>
          <t>RESP0022</t>
        </is>
      </c>
      <c r="B120" t="inlineStr">
        <is>
          <t>Study flow 1</t>
        </is>
      </c>
      <c r="C120" t="n">
        <v>7</v>
      </c>
      <c r="D120" t="inlineStr">
        <is>
          <t>Post-study calibration</t>
        </is>
      </c>
      <c r="E120" t="n">
        <v>2.76</v>
      </c>
      <c r="F120" t="n">
        <v>95.2</v>
      </c>
      <c r="G120" t="n">
        <v>98.7</v>
      </c>
    </row>
    <row r="121">
      <c r="A121" t="inlineStr">
        <is>
          <t>RESP0023</t>
        </is>
      </c>
      <c r="B121" t="inlineStr">
        <is>
          <t>Study flow 1</t>
        </is>
      </c>
      <c r="C121" t="n">
        <v>1</v>
      </c>
      <c r="D121" t="inlineStr">
        <is>
          <t>Pre-study calibration</t>
        </is>
      </c>
      <c r="E121" t="n">
        <v>1.28</v>
      </c>
      <c r="F121" t="n">
        <v>92.59999999999999</v>
      </c>
      <c r="G121" t="n">
        <v>95.5</v>
      </c>
    </row>
    <row r="122">
      <c r="A122" t="inlineStr">
        <is>
          <t>RESP0023</t>
        </is>
      </c>
      <c r="B122" t="inlineStr">
        <is>
          <t>Study flow 1</t>
        </is>
      </c>
      <c r="C122" t="n">
        <v>2</v>
      </c>
      <c r="D122" t="inlineStr">
        <is>
          <t>Instructions1</t>
        </is>
      </c>
      <c r="E122" t="inlineStr">
        <is>
          <t>NA</t>
        </is>
      </c>
      <c r="F122" t="n">
        <v>93.90000000000001</v>
      </c>
      <c r="G122" t="n">
        <v>94</v>
      </c>
    </row>
    <row r="123">
      <c r="A123" t="inlineStr">
        <is>
          <t>RESP0023</t>
        </is>
      </c>
      <c r="B123" t="inlineStr">
        <is>
          <t>Study flow 1</t>
        </is>
      </c>
      <c r="C123" t="n">
        <v>3</v>
      </c>
      <c r="D123" t="inlineStr">
        <is>
          <t>foodwaste_narrative</t>
        </is>
      </c>
      <c r="E123" t="inlineStr">
        <is>
          <t>NA</t>
        </is>
      </c>
      <c r="F123" t="n">
        <v>97.5</v>
      </c>
      <c r="G123" t="n">
        <v>95</v>
      </c>
    </row>
    <row r="124">
      <c r="A124" t="inlineStr">
        <is>
          <t>RESP0023</t>
        </is>
      </c>
      <c r="B124" t="inlineStr">
        <is>
          <t>Study flow 1</t>
        </is>
      </c>
      <c r="C124" t="n">
        <v>4</v>
      </c>
      <c r="D124" t="inlineStr">
        <is>
          <t>foodwaste_visual</t>
        </is>
      </c>
      <c r="E124" t="inlineStr">
        <is>
          <t>NA</t>
        </is>
      </c>
      <c r="F124" t="n">
        <v>93.5</v>
      </c>
      <c r="G124" t="n">
        <v>94.2</v>
      </c>
    </row>
    <row r="125">
      <c r="A125" t="inlineStr">
        <is>
          <t>RESP0023</t>
        </is>
      </c>
      <c r="B125" t="inlineStr">
        <is>
          <t>Study flow 1</t>
        </is>
      </c>
      <c r="C125" t="n">
        <v>5</v>
      </c>
      <c r="D125" t="inlineStr">
        <is>
          <t>infographic</t>
        </is>
      </c>
      <c r="E125" t="inlineStr">
        <is>
          <t>NA</t>
        </is>
      </c>
      <c r="F125" t="n">
        <v>94.59999999999999</v>
      </c>
      <c r="G125" t="n">
        <v>92.40000000000001</v>
      </c>
    </row>
    <row r="126">
      <c r="A126" t="inlineStr">
        <is>
          <t>RESP0023</t>
        </is>
      </c>
      <c r="B126" t="inlineStr">
        <is>
          <t>Study flow 1</t>
        </is>
      </c>
      <c r="C126" t="n">
        <v>6</v>
      </c>
      <c r="D126" t="inlineStr">
        <is>
          <t>Questionnaire</t>
        </is>
      </c>
      <c r="E126" t="inlineStr">
        <is>
          <t>NA</t>
        </is>
      </c>
      <c r="F126" t="n">
        <v>94</v>
      </c>
      <c r="G126" t="n">
        <v>87.8</v>
      </c>
    </row>
    <row r="127">
      <c r="A127" t="inlineStr">
        <is>
          <t>RESP0023</t>
        </is>
      </c>
      <c r="B127" t="inlineStr">
        <is>
          <t>Study flow 1</t>
        </is>
      </c>
      <c r="C127" t="n">
        <v>7</v>
      </c>
      <c r="D127" t="inlineStr">
        <is>
          <t>Post-study calibration</t>
        </is>
      </c>
      <c r="E127" t="n">
        <v>2.05</v>
      </c>
      <c r="F127" t="n">
        <v>93.09999999999999</v>
      </c>
      <c r="G127" t="n">
        <v>94.40000000000001</v>
      </c>
    </row>
    <row r="128">
      <c r="A128" t="inlineStr">
        <is>
          <t>RESP0024</t>
        </is>
      </c>
      <c r="B128" t="inlineStr">
        <is>
          <t>Study flow 2</t>
        </is>
      </c>
      <c r="C128" t="n">
        <v>1</v>
      </c>
      <c r="D128" t="inlineStr">
        <is>
          <t>Pre-study calibration</t>
        </is>
      </c>
      <c r="E128" t="n">
        <v>1.31</v>
      </c>
      <c r="F128" t="n">
        <v>97.40000000000001</v>
      </c>
      <c r="G128" t="n">
        <v>99.5</v>
      </c>
    </row>
    <row r="129">
      <c r="A129" t="inlineStr">
        <is>
          <t>RESP0024</t>
        </is>
      </c>
      <c r="B129" t="inlineStr">
        <is>
          <t>Study flow 2</t>
        </is>
      </c>
      <c r="C129" t="n">
        <v>2</v>
      </c>
      <c r="D129" t="inlineStr">
        <is>
          <t>Instructions1</t>
        </is>
      </c>
      <c r="E129" t="inlineStr">
        <is>
          <t>NA</t>
        </is>
      </c>
      <c r="F129" t="n">
        <v>98.59999999999999</v>
      </c>
      <c r="G129" t="n">
        <v>99.59999999999999</v>
      </c>
    </row>
    <row r="130">
      <c r="A130" t="inlineStr">
        <is>
          <t>RESP0024</t>
        </is>
      </c>
      <c r="B130" t="inlineStr">
        <is>
          <t>Study flow 2</t>
        </is>
      </c>
      <c r="C130" t="n">
        <v>3</v>
      </c>
      <c r="D130" t="inlineStr">
        <is>
          <t>foodwaste_visual</t>
        </is>
      </c>
      <c r="E130" t="inlineStr">
        <is>
          <t>NA</t>
        </is>
      </c>
      <c r="F130" t="n">
        <v>98.40000000000001</v>
      </c>
      <c r="G130" t="n">
        <v>99.40000000000001</v>
      </c>
    </row>
    <row r="131">
      <c r="A131" t="inlineStr">
        <is>
          <t>RESP0024</t>
        </is>
      </c>
      <c r="B131" t="inlineStr">
        <is>
          <t>Study flow 2</t>
        </is>
      </c>
      <c r="C131" t="n">
        <v>4</v>
      </c>
      <c r="D131" t="inlineStr">
        <is>
          <t>foodwaste_narrative</t>
        </is>
      </c>
      <c r="E131" t="inlineStr">
        <is>
          <t>NA</t>
        </is>
      </c>
      <c r="F131" t="n">
        <v>98.90000000000001</v>
      </c>
      <c r="G131" t="n">
        <v>99.59999999999999</v>
      </c>
    </row>
    <row r="132">
      <c r="A132" t="inlineStr">
        <is>
          <t>RESP0024</t>
        </is>
      </c>
      <c r="B132" t="inlineStr">
        <is>
          <t>Study flow 2</t>
        </is>
      </c>
      <c r="C132" t="n">
        <v>5</v>
      </c>
      <c r="D132" t="inlineStr">
        <is>
          <t>infographic</t>
        </is>
      </c>
      <c r="E132" t="inlineStr">
        <is>
          <t>NA</t>
        </is>
      </c>
      <c r="F132" t="n">
        <v>99.2</v>
      </c>
      <c r="G132" t="n">
        <v>99.5</v>
      </c>
    </row>
    <row r="133">
      <c r="A133" t="inlineStr">
        <is>
          <t>RESP0024</t>
        </is>
      </c>
      <c r="B133" t="inlineStr">
        <is>
          <t>Study flow 2</t>
        </is>
      </c>
      <c r="C133" t="n">
        <v>6</v>
      </c>
      <c r="D133" t="inlineStr">
        <is>
          <t>Questionnaire</t>
        </is>
      </c>
      <c r="E133" t="inlineStr">
        <is>
          <t>NA</t>
        </is>
      </c>
      <c r="F133" t="n">
        <v>98.3</v>
      </c>
      <c r="G133" t="n">
        <v>99.59999999999999</v>
      </c>
    </row>
    <row r="134">
      <c r="A134" t="inlineStr">
        <is>
          <t>RESP0024</t>
        </is>
      </c>
      <c r="B134" t="inlineStr">
        <is>
          <t>Study flow 2</t>
        </is>
      </c>
      <c r="C134" t="n">
        <v>7</v>
      </c>
      <c r="D134" t="inlineStr">
        <is>
          <t>Post-study calibration</t>
        </is>
      </c>
      <c r="E134" t="n">
        <v>2.26</v>
      </c>
      <c r="F134" t="n">
        <v>98.8</v>
      </c>
      <c r="G134" t="n">
        <v>99.2</v>
      </c>
    </row>
    <row r="135">
      <c r="A135" t="inlineStr">
        <is>
          <t>RESP0025</t>
        </is>
      </c>
      <c r="B135" t="inlineStr">
        <is>
          <t>Study flow 1</t>
        </is>
      </c>
      <c r="C135" t="n">
        <v>1</v>
      </c>
      <c r="D135" t="inlineStr">
        <is>
          <t>Pre-study calibration</t>
        </is>
      </c>
      <c r="E135" t="n">
        <v>1.02</v>
      </c>
      <c r="F135" t="n">
        <v>99.3</v>
      </c>
      <c r="G135" t="n">
        <v>99.09999999999999</v>
      </c>
    </row>
    <row r="136">
      <c r="A136" t="inlineStr">
        <is>
          <t>RESP0025</t>
        </is>
      </c>
      <c r="B136" t="inlineStr">
        <is>
          <t>Study flow 1</t>
        </is>
      </c>
      <c r="C136" t="n">
        <v>2</v>
      </c>
      <c r="D136" t="inlineStr">
        <is>
          <t>Instructions1</t>
        </is>
      </c>
      <c r="E136" t="inlineStr">
        <is>
          <t>NA</t>
        </is>
      </c>
      <c r="F136" t="n">
        <v>98.59999999999999</v>
      </c>
      <c r="G136" t="n">
        <v>99.3</v>
      </c>
    </row>
    <row r="137">
      <c r="A137" t="inlineStr">
        <is>
          <t>RESP0025</t>
        </is>
      </c>
      <c r="B137" t="inlineStr">
        <is>
          <t>Study flow 1</t>
        </is>
      </c>
      <c r="C137" t="n">
        <v>3</v>
      </c>
      <c r="D137" t="inlineStr">
        <is>
          <t>foodwaste_narrative</t>
        </is>
      </c>
      <c r="E137" t="inlineStr">
        <is>
          <t>NA</t>
        </is>
      </c>
      <c r="F137" t="n">
        <v>98.8</v>
      </c>
      <c r="G137" t="n">
        <v>99</v>
      </c>
    </row>
    <row r="138">
      <c r="A138" t="inlineStr">
        <is>
          <t>RESP0025</t>
        </is>
      </c>
      <c r="B138" t="inlineStr">
        <is>
          <t>Study flow 1</t>
        </is>
      </c>
      <c r="C138" t="n">
        <v>4</v>
      </c>
      <c r="D138" t="inlineStr">
        <is>
          <t>foodwaste_visual</t>
        </is>
      </c>
      <c r="E138" t="inlineStr">
        <is>
          <t>NA</t>
        </is>
      </c>
      <c r="F138" t="n">
        <v>99.2</v>
      </c>
      <c r="G138" t="n">
        <v>99.09999999999999</v>
      </c>
    </row>
    <row r="139">
      <c r="A139" t="inlineStr">
        <is>
          <t>RESP0025</t>
        </is>
      </c>
      <c r="B139" t="inlineStr">
        <is>
          <t>Study flow 1</t>
        </is>
      </c>
      <c r="C139" t="n">
        <v>5</v>
      </c>
      <c r="D139" t="inlineStr">
        <is>
          <t>infographic</t>
        </is>
      </c>
      <c r="E139" t="inlineStr">
        <is>
          <t>NA</t>
        </is>
      </c>
      <c r="F139" t="n">
        <v>98.5</v>
      </c>
      <c r="G139" t="n">
        <v>98.40000000000001</v>
      </c>
    </row>
    <row r="140">
      <c r="A140" t="inlineStr">
        <is>
          <t>RESP0025</t>
        </is>
      </c>
      <c r="B140" t="inlineStr">
        <is>
          <t>Study flow 1</t>
        </is>
      </c>
      <c r="C140" t="n">
        <v>6</v>
      </c>
      <c r="D140" t="inlineStr">
        <is>
          <t>Questionnaire</t>
        </is>
      </c>
      <c r="E140" t="inlineStr">
        <is>
          <t>NA</t>
        </is>
      </c>
      <c r="F140" t="n">
        <v>98</v>
      </c>
      <c r="G140" t="n">
        <v>98.90000000000001</v>
      </c>
    </row>
    <row r="141">
      <c r="A141" t="inlineStr">
        <is>
          <t>RESP0025</t>
        </is>
      </c>
      <c r="B141" t="inlineStr">
        <is>
          <t>Study flow 1</t>
        </is>
      </c>
      <c r="C141" t="n">
        <v>7</v>
      </c>
      <c r="D141" t="inlineStr">
        <is>
          <t>Post-study calibration</t>
        </is>
      </c>
      <c r="E141" t="n">
        <v>1.36</v>
      </c>
      <c r="F141" t="n">
        <v>98.2</v>
      </c>
      <c r="G141" t="n">
        <v>98.3</v>
      </c>
    </row>
    <row r="142">
      <c r="A142" t="inlineStr">
        <is>
          <t>RESP0026</t>
        </is>
      </c>
      <c r="B142" t="inlineStr">
        <is>
          <t>Study flow 1</t>
        </is>
      </c>
      <c r="C142" t="n">
        <v>1</v>
      </c>
      <c r="D142" t="inlineStr">
        <is>
          <t>Pre-study calibration</t>
        </is>
      </c>
      <c r="E142" t="n">
        <v>1.3</v>
      </c>
      <c r="F142" t="n">
        <v>92.5</v>
      </c>
      <c r="G142" t="n">
        <v>97.5</v>
      </c>
    </row>
    <row r="143">
      <c r="A143" t="inlineStr">
        <is>
          <t>RESP0026</t>
        </is>
      </c>
      <c r="B143" t="inlineStr">
        <is>
          <t>Study flow 1</t>
        </is>
      </c>
      <c r="C143" t="n">
        <v>2</v>
      </c>
      <c r="D143" t="inlineStr">
        <is>
          <t>Instructions1</t>
        </is>
      </c>
      <c r="E143" t="inlineStr">
        <is>
          <t>NA</t>
        </is>
      </c>
      <c r="F143" t="n">
        <v>91.59999999999999</v>
      </c>
      <c r="G143" t="n">
        <v>94.8</v>
      </c>
    </row>
    <row r="144">
      <c r="A144" t="inlineStr">
        <is>
          <t>RESP0026</t>
        </is>
      </c>
      <c r="B144" t="inlineStr">
        <is>
          <t>Study flow 1</t>
        </is>
      </c>
      <c r="C144" t="n">
        <v>3</v>
      </c>
      <c r="D144" t="inlineStr">
        <is>
          <t>foodwaste_narrative</t>
        </is>
      </c>
      <c r="E144" t="inlineStr">
        <is>
          <t>NA</t>
        </is>
      </c>
      <c r="F144" t="n">
        <v>90.09999999999999</v>
      </c>
      <c r="G144" t="n">
        <v>96.5</v>
      </c>
    </row>
    <row r="145">
      <c r="A145" t="inlineStr">
        <is>
          <t>RESP0026</t>
        </is>
      </c>
      <c r="B145" t="inlineStr">
        <is>
          <t>Study flow 1</t>
        </is>
      </c>
      <c r="C145" t="n">
        <v>4</v>
      </c>
      <c r="D145" t="inlineStr">
        <is>
          <t>foodwaste_visual</t>
        </is>
      </c>
      <c r="E145" t="inlineStr">
        <is>
          <t>NA</t>
        </is>
      </c>
      <c r="F145" t="n">
        <v>94.90000000000001</v>
      </c>
      <c r="G145" t="n">
        <v>93.09999999999999</v>
      </c>
    </row>
    <row r="146">
      <c r="A146" t="inlineStr">
        <is>
          <t>RESP0026</t>
        </is>
      </c>
      <c r="B146" t="inlineStr">
        <is>
          <t>Study flow 1</t>
        </is>
      </c>
      <c r="C146" t="n">
        <v>5</v>
      </c>
      <c r="D146" t="inlineStr">
        <is>
          <t>infographic</t>
        </is>
      </c>
      <c r="E146" t="inlineStr">
        <is>
          <t>NA</t>
        </is>
      </c>
      <c r="F146" t="n">
        <v>94</v>
      </c>
      <c r="G146" t="n">
        <v>92.5</v>
      </c>
    </row>
    <row r="147">
      <c r="A147" t="inlineStr">
        <is>
          <t>RESP0026</t>
        </is>
      </c>
      <c r="B147" t="inlineStr">
        <is>
          <t>Study flow 1</t>
        </is>
      </c>
      <c r="C147" t="n">
        <v>6</v>
      </c>
      <c r="D147" t="inlineStr">
        <is>
          <t>Questionnaire</t>
        </is>
      </c>
      <c r="E147" t="inlineStr">
        <is>
          <t>NA</t>
        </is>
      </c>
      <c r="F147" t="n">
        <v>96.09999999999999</v>
      </c>
      <c r="G147" t="n">
        <v>95.90000000000001</v>
      </c>
    </row>
    <row r="148">
      <c r="A148" t="inlineStr">
        <is>
          <t>RESP0026</t>
        </is>
      </c>
      <c r="B148" t="inlineStr">
        <is>
          <t>Study flow 1</t>
        </is>
      </c>
      <c r="C148" t="n">
        <v>7</v>
      </c>
      <c r="D148" t="inlineStr">
        <is>
          <t>Post-study calibration</t>
        </is>
      </c>
      <c r="E148" t="n">
        <v>2.02</v>
      </c>
      <c r="F148" t="n">
        <v>96.8</v>
      </c>
      <c r="G148" t="n">
        <v>95.59999999999999</v>
      </c>
    </row>
    <row r="149">
      <c r="A149" t="inlineStr">
        <is>
          <t>RESP0028</t>
        </is>
      </c>
      <c r="B149" t="inlineStr">
        <is>
          <t>Study flow 1</t>
        </is>
      </c>
      <c r="C149" t="n">
        <v>1</v>
      </c>
      <c r="D149" t="inlineStr">
        <is>
          <t>Pre-study calibration</t>
        </is>
      </c>
      <c r="E149" t="n">
        <v>2.61</v>
      </c>
      <c r="F149" t="n">
        <v>89.2</v>
      </c>
      <c r="G149" t="n">
        <v>98.7</v>
      </c>
    </row>
    <row r="150">
      <c r="A150" t="inlineStr">
        <is>
          <t>RESP0028</t>
        </is>
      </c>
      <c r="B150" t="inlineStr">
        <is>
          <t>Study flow 1</t>
        </is>
      </c>
      <c r="C150" t="n">
        <v>2</v>
      </c>
      <c r="D150" t="inlineStr">
        <is>
          <t>Instructions1</t>
        </is>
      </c>
      <c r="E150" t="inlineStr">
        <is>
          <t>NA</t>
        </is>
      </c>
      <c r="F150" t="n">
        <v>90.7</v>
      </c>
      <c r="G150" t="n">
        <v>99.2</v>
      </c>
    </row>
    <row r="151">
      <c r="A151" t="inlineStr">
        <is>
          <t>RESP0028</t>
        </is>
      </c>
      <c r="B151" t="inlineStr">
        <is>
          <t>Study flow 1</t>
        </is>
      </c>
      <c r="C151" t="n">
        <v>3</v>
      </c>
      <c r="D151" t="inlineStr">
        <is>
          <t>foodwaste_narrative</t>
        </is>
      </c>
      <c r="E151" t="inlineStr">
        <is>
          <t>NA</t>
        </is>
      </c>
      <c r="F151" t="n">
        <v>91</v>
      </c>
      <c r="G151" t="n">
        <v>98.59999999999999</v>
      </c>
    </row>
    <row r="152">
      <c r="A152" t="inlineStr">
        <is>
          <t>RESP0028</t>
        </is>
      </c>
      <c r="B152" t="inlineStr">
        <is>
          <t>Study flow 1</t>
        </is>
      </c>
      <c r="C152" t="n">
        <v>4</v>
      </c>
      <c r="D152" t="inlineStr">
        <is>
          <t>foodwaste_visual</t>
        </is>
      </c>
      <c r="E152" t="inlineStr">
        <is>
          <t>NA</t>
        </is>
      </c>
      <c r="F152" t="n">
        <v>75</v>
      </c>
      <c r="G152" t="n">
        <v>99.40000000000001</v>
      </c>
    </row>
    <row r="153">
      <c r="A153" t="inlineStr">
        <is>
          <t>RESP0028</t>
        </is>
      </c>
      <c r="B153" t="inlineStr">
        <is>
          <t>Study flow 1</t>
        </is>
      </c>
      <c r="C153" t="n">
        <v>5</v>
      </c>
      <c r="D153" t="inlineStr">
        <is>
          <t>infographic</t>
        </is>
      </c>
      <c r="E153" t="inlineStr">
        <is>
          <t>NA</t>
        </is>
      </c>
      <c r="F153" t="n">
        <v>84.8</v>
      </c>
      <c r="G153" t="n">
        <v>98.59999999999999</v>
      </c>
    </row>
    <row r="154">
      <c r="A154" t="inlineStr">
        <is>
          <t>RESP0028</t>
        </is>
      </c>
      <c r="B154" t="inlineStr">
        <is>
          <t>Study flow 1</t>
        </is>
      </c>
      <c r="C154" t="n">
        <v>6</v>
      </c>
      <c r="D154" t="inlineStr">
        <is>
          <t>Questionnaire</t>
        </is>
      </c>
      <c r="E154" t="inlineStr">
        <is>
          <t>NA</t>
        </is>
      </c>
      <c r="F154" t="n">
        <v>78.59999999999999</v>
      </c>
      <c r="G154" t="n">
        <v>97.59999999999999</v>
      </c>
    </row>
    <row r="155">
      <c r="A155" t="inlineStr">
        <is>
          <t>RESP0028</t>
        </is>
      </c>
      <c r="B155" t="inlineStr">
        <is>
          <t>Study flow 1</t>
        </is>
      </c>
      <c r="C155" t="n">
        <v>7</v>
      </c>
      <c r="D155" t="inlineStr">
        <is>
          <t>Post-study calibration</t>
        </is>
      </c>
      <c r="E155" t="n">
        <v>3.7</v>
      </c>
      <c r="F155" t="n">
        <v>76.7</v>
      </c>
      <c r="G155" t="n">
        <v>99.5</v>
      </c>
    </row>
    <row r="156">
      <c r="A156" t="inlineStr">
        <is>
          <t>RESP0029</t>
        </is>
      </c>
      <c r="B156" t="inlineStr">
        <is>
          <t>Study flow 2</t>
        </is>
      </c>
      <c r="C156" t="n">
        <v>1</v>
      </c>
      <c r="D156" t="inlineStr">
        <is>
          <t>Pre-study calibration</t>
        </is>
      </c>
      <c r="E156" t="n">
        <v>1.71</v>
      </c>
      <c r="F156" t="n">
        <v>96.5</v>
      </c>
      <c r="G156" t="n">
        <v>99.09999999999999</v>
      </c>
    </row>
    <row r="157">
      <c r="A157" t="inlineStr">
        <is>
          <t>RESP0029</t>
        </is>
      </c>
      <c r="B157" t="inlineStr">
        <is>
          <t>Study flow 2</t>
        </is>
      </c>
      <c r="C157" t="n">
        <v>2</v>
      </c>
      <c r="D157" t="inlineStr">
        <is>
          <t>Instructions1</t>
        </is>
      </c>
      <c r="E157" t="inlineStr">
        <is>
          <t>NA</t>
        </is>
      </c>
      <c r="F157" t="n">
        <v>97.90000000000001</v>
      </c>
      <c r="G157" t="n">
        <v>99.09999999999999</v>
      </c>
    </row>
    <row r="158">
      <c r="A158" t="inlineStr">
        <is>
          <t>RESP0029</t>
        </is>
      </c>
      <c r="B158" t="inlineStr">
        <is>
          <t>Study flow 2</t>
        </is>
      </c>
      <c r="C158" t="n">
        <v>3</v>
      </c>
      <c r="D158" t="inlineStr">
        <is>
          <t>foodwaste_visual</t>
        </is>
      </c>
      <c r="E158" t="inlineStr">
        <is>
          <t>NA</t>
        </is>
      </c>
      <c r="F158" t="n">
        <v>96</v>
      </c>
      <c r="G158" t="n">
        <v>99.5</v>
      </c>
    </row>
    <row r="159">
      <c r="A159" t="inlineStr">
        <is>
          <t>RESP0029</t>
        </is>
      </c>
      <c r="B159" t="inlineStr">
        <is>
          <t>Study flow 2</t>
        </is>
      </c>
      <c r="C159" t="n">
        <v>4</v>
      </c>
      <c r="D159" t="inlineStr">
        <is>
          <t>foodwaste_narrative</t>
        </is>
      </c>
      <c r="E159" t="inlineStr">
        <is>
          <t>NA</t>
        </is>
      </c>
      <c r="F159" t="n">
        <v>97.2</v>
      </c>
      <c r="G159" t="n">
        <v>99.5</v>
      </c>
    </row>
    <row r="160">
      <c r="A160" t="inlineStr">
        <is>
          <t>RESP0029</t>
        </is>
      </c>
      <c r="B160" t="inlineStr">
        <is>
          <t>Study flow 2</t>
        </is>
      </c>
      <c r="C160" t="n">
        <v>5</v>
      </c>
      <c r="D160" t="inlineStr">
        <is>
          <t>infographic</t>
        </is>
      </c>
      <c r="E160" t="inlineStr">
        <is>
          <t>NA</t>
        </is>
      </c>
      <c r="F160" t="n">
        <v>95.40000000000001</v>
      </c>
      <c r="G160" t="n">
        <v>99.40000000000001</v>
      </c>
    </row>
    <row r="161">
      <c r="A161" t="inlineStr">
        <is>
          <t>RESP0029</t>
        </is>
      </c>
      <c r="B161" t="inlineStr">
        <is>
          <t>Study flow 2</t>
        </is>
      </c>
      <c r="C161" t="n">
        <v>6</v>
      </c>
      <c r="D161" t="inlineStr">
        <is>
          <t>Questionnaire</t>
        </is>
      </c>
      <c r="E161" t="inlineStr">
        <is>
          <t>NA</t>
        </is>
      </c>
      <c r="F161" t="n">
        <v>96.90000000000001</v>
      </c>
      <c r="G161" t="n">
        <v>98.90000000000001</v>
      </c>
    </row>
    <row r="162">
      <c r="A162" t="inlineStr">
        <is>
          <t>RESP0029</t>
        </is>
      </c>
      <c r="B162" t="inlineStr">
        <is>
          <t>Study flow 2</t>
        </is>
      </c>
      <c r="C162" t="n">
        <v>7</v>
      </c>
      <c r="D162" t="inlineStr">
        <is>
          <t>Post-study calibration</t>
        </is>
      </c>
      <c r="E162" t="n">
        <v>3.04</v>
      </c>
      <c r="F162" t="n">
        <v>97.5</v>
      </c>
      <c r="G162" t="n">
        <v>98.7</v>
      </c>
    </row>
    <row r="163">
      <c r="A163" t="inlineStr">
        <is>
          <t>RESP0031</t>
        </is>
      </c>
      <c r="B163" t="inlineStr">
        <is>
          <t>Study flow 1</t>
        </is>
      </c>
      <c r="C163" t="n">
        <v>1</v>
      </c>
      <c r="D163" t="inlineStr">
        <is>
          <t>Pre-study calibration</t>
        </is>
      </c>
      <c r="E163" t="n">
        <v>2.47</v>
      </c>
      <c r="F163" t="n">
        <v>92.09999999999999</v>
      </c>
      <c r="G163" t="n">
        <v>99.59999999999999</v>
      </c>
    </row>
    <row r="164">
      <c r="A164" t="inlineStr">
        <is>
          <t>RESP0031</t>
        </is>
      </c>
      <c r="B164" t="inlineStr">
        <is>
          <t>Study flow 1</t>
        </is>
      </c>
      <c r="C164" t="n">
        <v>2</v>
      </c>
      <c r="D164" t="inlineStr">
        <is>
          <t>Instructions1</t>
        </is>
      </c>
      <c r="E164" t="inlineStr">
        <is>
          <t>NA</t>
        </is>
      </c>
      <c r="F164" t="n">
        <v>93.5</v>
      </c>
      <c r="G164" t="n">
        <v>99.40000000000001</v>
      </c>
    </row>
    <row r="165">
      <c r="A165" t="inlineStr">
        <is>
          <t>RESP0031</t>
        </is>
      </c>
      <c r="B165" t="inlineStr">
        <is>
          <t>Study flow 1</t>
        </is>
      </c>
      <c r="C165" t="n">
        <v>3</v>
      </c>
      <c r="D165" t="inlineStr">
        <is>
          <t>foodwaste_narrative</t>
        </is>
      </c>
      <c r="E165" t="inlineStr">
        <is>
          <t>NA</t>
        </is>
      </c>
      <c r="F165" t="n">
        <v>95.3</v>
      </c>
      <c r="G165" t="n">
        <v>99.7</v>
      </c>
    </row>
    <row r="166">
      <c r="A166" t="inlineStr">
        <is>
          <t>RESP0031</t>
        </is>
      </c>
      <c r="B166" t="inlineStr">
        <is>
          <t>Study flow 1</t>
        </is>
      </c>
      <c r="C166" t="n">
        <v>4</v>
      </c>
      <c r="D166" t="inlineStr">
        <is>
          <t>foodwaste_visual</t>
        </is>
      </c>
      <c r="E166" t="inlineStr">
        <is>
          <t>NA</t>
        </is>
      </c>
      <c r="F166" t="n">
        <v>93.59999999999999</v>
      </c>
      <c r="G166" t="n">
        <v>99.40000000000001</v>
      </c>
    </row>
    <row r="167">
      <c r="A167" t="inlineStr">
        <is>
          <t>RESP0031</t>
        </is>
      </c>
      <c r="B167" t="inlineStr">
        <is>
          <t>Study flow 1</t>
        </is>
      </c>
      <c r="C167" t="n">
        <v>5</v>
      </c>
      <c r="D167" t="inlineStr">
        <is>
          <t>infographic</t>
        </is>
      </c>
      <c r="E167" t="inlineStr">
        <is>
          <t>NA</t>
        </is>
      </c>
      <c r="F167" t="n">
        <v>88.40000000000001</v>
      </c>
      <c r="G167" t="n">
        <v>99.5</v>
      </c>
    </row>
    <row r="168">
      <c r="A168" t="inlineStr">
        <is>
          <t>RESP0031</t>
        </is>
      </c>
      <c r="B168" t="inlineStr">
        <is>
          <t>Study flow 1</t>
        </is>
      </c>
      <c r="C168" t="n">
        <v>6</v>
      </c>
      <c r="D168" t="inlineStr">
        <is>
          <t>Questionnaire</t>
        </is>
      </c>
      <c r="E168" t="inlineStr">
        <is>
          <t>NA</t>
        </is>
      </c>
      <c r="F168" t="n">
        <v>91.40000000000001</v>
      </c>
      <c r="G168" t="n">
        <v>99.40000000000001</v>
      </c>
    </row>
    <row r="169">
      <c r="A169" t="inlineStr">
        <is>
          <t>RESP0031</t>
        </is>
      </c>
      <c r="B169" t="inlineStr">
        <is>
          <t>Study flow 1</t>
        </is>
      </c>
      <c r="C169" t="n">
        <v>7</v>
      </c>
      <c r="D169" t="inlineStr">
        <is>
          <t>Post-study calibration</t>
        </is>
      </c>
      <c r="E169" t="n">
        <v>3.27</v>
      </c>
      <c r="F169" t="n">
        <v>94.7</v>
      </c>
      <c r="G169" t="n">
        <v>99.7</v>
      </c>
    </row>
    <row r="170">
      <c r="A170" t="inlineStr">
        <is>
          <t>RESP0032</t>
        </is>
      </c>
      <c r="B170" t="inlineStr">
        <is>
          <t>Study flow 1</t>
        </is>
      </c>
      <c r="C170" t="n">
        <v>1</v>
      </c>
      <c r="D170" t="inlineStr">
        <is>
          <t>Pre-study calibration</t>
        </is>
      </c>
      <c r="E170" t="n">
        <v>1.48</v>
      </c>
      <c r="F170" t="n">
        <v>97.09999999999999</v>
      </c>
      <c r="G170" t="n">
        <v>88.8</v>
      </c>
    </row>
    <row r="171">
      <c r="A171" t="inlineStr">
        <is>
          <t>RESP0032</t>
        </is>
      </c>
      <c r="B171" t="inlineStr">
        <is>
          <t>Study flow 1</t>
        </is>
      </c>
      <c r="C171" t="n">
        <v>2</v>
      </c>
      <c r="D171" t="inlineStr">
        <is>
          <t>Instructions1</t>
        </is>
      </c>
      <c r="E171" t="inlineStr">
        <is>
          <t>NA</t>
        </is>
      </c>
      <c r="F171" t="n">
        <v>92.90000000000001</v>
      </c>
      <c r="G171" t="n">
        <v>91.8</v>
      </c>
    </row>
    <row r="172">
      <c r="A172" t="inlineStr">
        <is>
          <t>RESP0032</t>
        </is>
      </c>
      <c r="B172" t="inlineStr">
        <is>
          <t>Study flow 1</t>
        </is>
      </c>
      <c r="C172" t="n">
        <v>3</v>
      </c>
      <c r="D172" t="inlineStr">
        <is>
          <t>foodwaste_narrative</t>
        </is>
      </c>
      <c r="E172" t="inlineStr">
        <is>
          <t>NA</t>
        </is>
      </c>
      <c r="F172" t="n">
        <v>94.59999999999999</v>
      </c>
      <c r="G172" t="n">
        <v>70.90000000000001</v>
      </c>
    </row>
    <row r="173">
      <c r="A173" t="inlineStr">
        <is>
          <t>RESP0032</t>
        </is>
      </c>
      <c r="B173" t="inlineStr">
        <is>
          <t>Study flow 1</t>
        </is>
      </c>
      <c r="C173" t="n">
        <v>4</v>
      </c>
      <c r="D173" t="inlineStr">
        <is>
          <t>foodwaste_visual</t>
        </is>
      </c>
      <c r="E173" t="inlineStr">
        <is>
          <t>NA</t>
        </is>
      </c>
      <c r="F173" t="n">
        <v>95.5</v>
      </c>
      <c r="G173" t="n">
        <v>86.40000000000001</v>
      </c>
    </row>
    <row r="174">
      <c r="A174" t="inlineStr">
        <is>
          <t>RESP0032</t>
        </is>
      </c>
      <c r="B174" t="inlineStr">
        <is>
          <t>Study flow 1</t>
        </is>
      </c>
      <c r="C174" t="n">
        <v>5</v>
      </c>
      <c r="D174" t="inlineStr">
        <is>
          <t>infographic</t>
        </is>
      </c>
      <c r="E174" t="inlineStr">
        <is>
          <t>NA</t>
        </is>
      </c>
      <c r="F174" t="n">
        <v>95.59999999999999</v>
      </c>
      <c r="G174" t="n">
        <v>88.8</v>
      </c>
    </row>
    <row r="175">
      <c r="A175" t="inlineStr">
        <is>
          <t>RESP0032</t>
        </is>
      </c>
      <c r="B175" t="inlineStr">
        <is>
          <t>Study flow 1</t>
        </is>
      </c>
      <c r="C175" t="n">
        <v>6</v>
      </c>
      <c r="D175" t="inlineStr">
        <is>
          <t>Questionnaire</t>
        </is>
      </c>
      <c r="E175" t="inlineStr">
        <is>
          <t>NA</t>
        </is>
      </c>
      <c r="F175" t="n">
        <v>96</v>
      </c>
      <c r="G175" t="n">
        <v>84</v>
      </c>
    </row>
    <row r="176">
      <c r="A176" t="inlineStr">
        <is>
          <t>RESP0032</t>
        </is>
      </c>
      <c r="B176" t="inlineStr">
        <is>
          <t>Study flow 1</t>
        </is>
      </c>
      <c r="C176" t="n">
        <v>7</v>
      </c>
      <c r="D176" t="inlineStr">
        <is>
          <t>Post-study calibration</t>
        </is>
      </c>
      <c r="E176" t="n">
        <v>1.96</v>
      </c>
      <c r="F176" t="n">
        <v>92.8</v>
      </c>
      <c r="G176" t="n">
        <v>87.2</v>
      </c>
    </row>
    <row r="177">
      <c r="A177" t="inlineStr">
        <is>
          <t>RESP0035</t>
        </is>
      </c>
      <c r="B177" t="inlineStr">
        <is>
          <t>Study flow 1</t>
        </is>
      </c>
      <c r="C177" t="n">
        <v>1</v>
      </c>
      <c r="D177" t="inlineStr">
        <is>
          <t>Pre-study calibration</t>
        </is>
      </c>
      <c r="E177" t="n">
        <v>1.56</v>
      </c>
      <c r="F177" t="n">
        <v>98.7</v>
      </c>
      <c r="G177" t="n">
        <v>97.40000000000001</v>
      </c>
    </row>
    <row r="178">
      <c r="A178" t="inlineStr">
        <is>
          <t>RESP0035</t>
        </is>
      </c>
      <c r="B178" t="inlineStr">
        <is>
          <t>Study flow 1</t>
        </is>
      </c>
      <c r="C178" t="n">
        <v>2</v>
      </c>
      <c r="D178" t="inlineStr">
        <is>
          <t>Instructions1</t>
        </is>
      </c>
      <c r="E178" t="inlineStr">
        <is>
          <t>NA</t>
        </is>
      </c>
      <c r="F178" t="n">
        <v>96.90000000000001</v>
      </c>
      <c r="G178" t="n">
        <v>97.7</v>
      </c>
    </row>
    <row r="179">
      <c r="A179" t="inlineStr">
        <is>
          <t>RESP0035</t>
        </is>
      </c>
      <c r="B179" t="inlineStr">
        <is>
          <t>Study flow 1</t>
        </is>
      </c>
      <c r="C179" t="n">
        <v>3</v>
      </c>
      <c r="D179" t="inlineStr">
        <is>
          <t>foodwaste_narrative</t>
        </is>
      </c>
      <c r="E179" t="inlineStr">
        <is>
          <t>NA</t>
        </is>
      </c>
      <c r="F179" t="n">
        <v>96.2</v>
      </c>
      <c r="G179" t="n">
        <v>99.2</v>
      </c>
    </row>
    <row r="180">
      <c r="A180" t="inlineStr">
        <is>
          <t>RESP0035</t>
        </is>
      </c>
      <c r="B180" t="inlineStr">
        <is>
          <t>Study flow 1</t>
        </is>
      </c>
      <c r="C180" t="n">
        <v>4</v>
      </c>
      <c r="D180" t="inlineStr">
        <is>
          <t>foodwaste_visual</t>
        </is>
      </c>
      <c r="E180" t="inlineStr">
        <is>
          <t>NA</t>
        </is>
      </c>
      <c r="F180" t="n">
        <v>97.8</v>
      </c>
      <c r="G180" t="n">
        <v>98.90000000000001</v>
      </c>
    </row>
    <row r="181">
      <c r="A181" t="inlineStr">
        <is>
          <t>RESP0035</t>
        </is>
      </c>
      <c r="B181" t="inlineStr">
        <is>
          <t>Study flow 1</t>
        </is>
      </c>
      <c r="C181" t="n">
        <v>5</v>
      </c>
      <c r="D181" t="inlineStr">
        <is>
          <t>infographic</t>
        </is>
      </c>
      <c r="E181" t="inlineStr">
        <is>
          <t>NA</t>
        </is>
      </c>
      <c r="F181" t="n">
        <v>98.7</v>
      </c>
      <c r="G181" t="n">
        <v>99.09999999999999</v>
      </c>
    </row>
    <row r="182">
      <c r="A182" t="inlineStr">
        <is>
          <t>RESP0035</t>
        </is>
      </c>
      <c r="B182" t="inlineStr">
        <is>
          <t>Study flow 1</t>
        </is>
      </c>
      <c r="C182" t="n">
        <v>6</v>
      </c>
      <c r="D182" t="inlineStr">
        <is>
          <t>Questionnaire</t>
        </is>
      </c>
      <c r="E182" t="inlineStr">
        <is>
          <t>NA</t>
        </is>
      </c>
      <c r="F182" t="n">
        <v>97.2</v>
      </c>
      <c r="G182" t="n">
        <v>98.8</v>
      </c>
    </row>
    <row r="183">
      <c r="A183" t="inlineStr">
        <is>
          <t>RESP0035</t>
        </is>
      </c>
      <c r="B183" t="inlineStr">
        <is>
          <t>Study flow 1</t>
        </is>
      </c>
      <c r="C183" t="n">
        <v>7</v>
      </c>
      <c r="D183" t="inlineStr">
        <is>
          <t>Post-study calibration</t>
        </is>
      </c>
      <c r="E183" t="n">
        <v>1.29</v>
      </c>
      <c r="F183" t="n">
        <v>98.7</v>
      </c>
      <c r="G183" t="n">
        <v>98.8</v>
      </c>
    </row>
    <row r="184">
      <c r="A184" t="inlineStr">
        <is>
          <t>RESP0036</t>
        </is>
      </c>
      <c r="B184" t="inlineStr">
        <is>
          <t>Study flow 1</t>
        </is>
      </c>
      <c r="C184" t="n">
        <v>1</v>
      </c>
      <c r="D184" t="inlineStr">
        <is>
          <t>Pre-study calibration</t>
        </is>
      </c>
      <c r="E184" t="n">
        <v>1.21</v>
      </c>
      <c r="F184" t="n">
        <v>96.5</v>
      </c>
      <c r="G184" t="n">
        <v>98.90000000000001</v>
      </c>
    </row>
    <row r="185">
      <c r="A185" t="inlineStr">
        <is>
          <t>RESP0036</t>
        </is>
      </c>
      <c r="B185" t="inlineStr">
        <is>
          <t>Study flow 1</t>
        </is>
      </c>
      <c r="C185" t="n">
        <v>2</v>
      </c>
      <c r="D185" t="inlineStr">
        <is>
          <t>Instructions1</t>
        </is>
      </c>
      <c r="E185" t="inlineStr">
        <is>
          <t>NA</t>
        </is>
      </c>
      <c r="F185" t="n">
        <v>96.09999999999999</v>
      </c>
      <c r="G185" t="n">
        <v>98.90000000000001</v>
      </c>
    </row>
    <row r="186">
      <c r="A186" t="inlineStr">
        <is>
          <t>RESP0036</t>
        </is>
      </c>
      <c r="B186" t="inlineStr">
        <is>
          <t>Study flow 1</t>
        </is>
      </c>
      <c r="C186" t="n">
        <v>3</v>
      </c>
      <c r="D186" t="inlineStr">
        <is>
          <t>foodwaste_narrative</t>
        </is>
      </c>
      <c r="E186" t="inlineStr">
        <is>
          <t>NA</t>
        </is>
      </c>
      <c r="F186" t="n">
        <v>93.59999999999999</v>
      </c>
      <c r="G186" t="n">
        <v>99.5</v>
      </c>
    </row>
    <row r="187">
      <c r="A187" t="inlineStr">
        <is>
          <t>RESP0036</t>
        </is>
      </c>
      <c r="B187" t="inlineStr">
        <is>
          <t>Study flow 1</t>
        </is>
      </c>
      <c r="C187" t="n">
        <v>4</v>
      </c>
      <c r="D187" t="inlineStr">
        <is>
          <t>foodwaste_visual</t>
        </is>
      </c>
      <c r="E187" t="inlineStr">
        <is>
          <t>NA</t>
        </is>
      </c>
      <c r="F187" t="n">
        <v>95.5</v>
      </c>
      <c r="G187" t="n">
        <v>99.3</v>
      </c>
    </row>
    <row r="188">
      <c r="A188" t="inlineStr">
        <is>
          <t>RESP0036</t>
        </is>
      </c>
      <c r="B188" t="inlineStr">
        <is>
          <t>Study flow 1</t>
        </is>
      </c>
      <c r="C188" t="n">
        <v>5</v>
      </c>
      <c r="D188" t="inlineStr">
        <is>
          <t>infographic</t>
        </is>
      </c>
      <c r="E188" t="inlineStr">
        <is>
          <t>NA</t>
        </is>
      </c>
      <c r="F188" t="n">
        <v>95.59999999999999</v>
      </c>
      <c r="G188" t="n">
        <v>98.90000000000001</v>
      </c>
    </row>
    <row r="189">
      <c r="A189" t="inlineStr">
        <is>
          <t>RESP0036</t>
        </is>
      </c>
      <c r="B189" t="inlineStr">
        <is>
          <t>Study flow 1</t>
        </is>
      </c>
      <c r="C189" t="n">
        <v>6</v>
      </c>
      <c r="D189" t="inlineStr">
        <is>
          <t>Questionnaire</t>
        </is>
      </c>
      <c r="E189" t="inlineStr">
        <is>
          <t>NA</t>
        </is>
      </c>
      <c r="F189" t="n">
        <v>96.09999999999999</v>
      </c>
      <c r="G189" t="n">
        <v>99.40000000000001</v>
      </c>
    </row>
    <row r="190">
      <c r="A190" t="inlineStr">
        <is>
          <t>RESP0036</t>
        </is>
      </c>
      <c r="B190" t="inlineStr">
        <is>
          <t>Study flow 1</t>
        </is>
      </c>
      <c r="C190" t="n">
        <v>7</v>
      </c>
      <c r="D190" t="inlineStr">
        <is>
          <t>Post-study calibration</t>
        </is>
      </c>
      <c r="E190" t="n">
        <v>1.82</v>
      </c>
      <c r="F190" t="n">
        <v>97.09999999999999</v>
      </c>
      <c r="G190" t="n">
        <v>99.40000000000001</v>
      </c>
    </row>
    <row r="191">
      <c r="A191" t="inlineStr">
        <is>
          <t>RESP0037</t>
        </is>
      </c>
      <c r="B191" t="inlineStr">
        <is>
          <t>Study flow 2</t>
        </is>
      </c>
      <c r="C191" t="n">
        <v>1</v>
      </c>
      <c r="D191" t="inlineStr">
        <is>
          <t>Pre-study calibration</t>
        </is>
      </c>
      <c r="E191" t="n">
        <v>1.05</v>
      </c>
      <c r="F191" t="n">
        <v>96.8</v>
      </c>
      <c r="G191" t="n">
        <v>99.2</v>
      </c>
    </row>
    <row r="192">
      <c r="A192" t="inlineStr">
        <is>
          <t>RESP0037</t>
        </is>
      </c>
      <c r="B192" t="inlineStr">
        <is>
          <t>Study flow 2</t>
        </is>
      </c>
      <c r="C192" t="n">
        <v>2</v>
      </c>
      <c r="D192" t="inlineStr">
        <is>
          <t>Instructions1</t>
        </is>
      </c>
      <c r="E192" t="inlineStr">
        <is>
          <t>NA</t>
        </is>
      </c>
      <c r="F192" t="n">
        <v>98.09999999999999</v>
      </c>
      <c r="G192" t="n">
        <v>98.90000000000001</v>
      </c>
    </row>
    <row r="193">
      <c r="A193" t="inlineStr">
        <is>
          <t>RESP0037</t>
        </is>
      </c>
      <c r="B193" t="inlineStr">
        <is>
          <t>Study flow 2</t>
        </is>
      </c>
      <c r="C193" t="n">
        <v>3</v>
      </c>
      <c r="D193" t="inlineStr">
        <is>
          <t>foodwaste_visual</t>
        </is>
      </c>
      <c r="E193" t="inlineStr">
        <is>
          <t>NA</t>
        </is>
      </c>
      <c r="F193" t="n">
        <v>97.90000000000001</v>
      </c>
      <c r="G193" t="n">
        <v>98.8</v>
      </c>
    </row>
    <row r="194">
      <c r="A194" t="inlineStr">
        <is>
          <t>RESP0037</t>
        </is>
      </c>
      <c r="B194" t="inlineStr">
        <is>
          <t>Study flow 2</t>
        </is>
      </c>
      <c r="C194" t="n">
        <v>4</v>
      </c>
      <c r="D194" t="inlineStr">
        <is>
          <t>foodwaste_narrative</t>
        </is>
      </c>
      <c r="E194" t="inlineStr">
        <is>
          <t>NA</t>
        </is>
      </c>
      <c r="F194" t="n">
        <v>97.2</v>
      </c>
      <c r="G194" t="n">
        <v>99.09999999999999</v>
      </c>
    </row>
    <row r="195">
      <c r="A195" t="inlineStr">
        <is>
          <t>RESP0037</t>
        </is>
      </c>
      <c r="B195" t="inlineStr">
        <is>
          <t>Study flow 2</t>
        </is>
      </c>
      <c r="C195" t="n">
        <v>5</v>
      </c>
      <c r="D195" t="inlineStr">
        <is>
          <t>infographic</t>
        </is>
      </c>
      <c r="E195" t="inlineStr">
        <is>
          <t>NA</t>
        </is>
      </c>
      <c r="F195" t="n">
        <v>96.90000000000001</v>
      </c>
      <c r="G195" t="n">
        <v>99.09999999999999</v>
      </c>
    </row>
    <row r="196">
      <c r="A196" t="inlineStr">
        <is>
          <t>RESP0037</t>
        </is>
      </c>
      <c r="B196" t="inlineStr">
        <is>
          <t>Study flow 2</t>
        </is>
      </c>
      <c r="C196" t="n">
        <v>6</v>
      </c>
      <c r="D196" t="inlineStr">
        <is>
          <t>Questionnaire</t>
        </is>
      </c>
      <c r="E196" t="inlineStr">
        <is>
          <t>NA</t>
        </is>
      </c>
      <c r="F196" t="n">
        <v>96.8</v>
      </c>
      <c r="G196" t="n">
        <v>98.90000000000001</v>
      </c>
    </row>
    <row r="197">
      <c r="A197" t="inlineStr">
        <is>
          <t>RESP0037</t>
        </is>
      </c>
      <c r="B197" t="inlineStr">
        <is>
          <t>Study flow 2</t>
        </is>
      </c>
      <c r="C197" t="n">
        <v>7</v>
      </c>
      <c r="D197" t="inlineStr">
        <is>
          <t>Post-study calibration</t>
        </is>
      </c>
      <c r="E197" t="n">
        <v>2.14</v>
      </c>
      <c r="F197" t="n">
        <v>97.90000000000001</v>
      </c>
      <c r="G197" t="n">
        <v>99.5</v>
      </c>
    </row>
    <row r="198">
      <c r="A198" t="inlineStr">
        <is>
          <t>RESP0038</t>
        </is>
      </c>
      <c r="B198" t="inlineStr">
        <is>
          <t>Study flow 1</t>
        </is>
      </c>
      <c r="C198" t="n">
        <v>1</v>
      </c>
      <c r="D198" t="inlineStr">
        <is>
          <t>Pre-study calibration</t>
        </is>
      </c>
      <c r="E198" t="n">
        <v>1.33</v>
      </c>
      <c r="F198" t="n">
        <v>97</v>
      </c>
      <c r="G198" t="n">
        <v>97.3</v>
      </c>
    </row>
    <row r="199">
      <c r="A199" t="inlineStr">
        <is>
          <t>RESP0038</t>
        </is>
      </c>
      <c r="B199" t="inlineStr">
        <is>
          <t>Study flow 1</t>
        </is>
      </c>
      <c r="C199" t="n">
        <v>2</v>
      </c>
      <c r="D199" t="inlineStr">
        <is>
          <t>Instructions1</t>
        </is>
      </c>
      <c r="E199" t="inlineStr">
        <is>
          <t>NA</t>
        </is>
      </c>
      <c r="F199" t="n">
        <v>97.90000000000001</v>
      </c>
      <c r="G199" t="n">
        <v>97.40000000000001</v>
      </c>
    </row>
    <row r="200">
      <c r="A200" t="inlineStr">
        <is>
          <t>RESP0038</t>
        </is>
      </c>
      <c r="B200" t="inlineStr">
        <is>
          <t>Study flow 1</t>
        </is>
      </c>
      <c r="C200" t="n">
        <v>3</v>
      </c>
      <c r="D200" t="inlineStr">
        <is>
          <t>foodwaste_narrative</t>
        </is>
      </c>
      <c r="E200" t="inlineStr">
        <is>
          <t>NA</t>
        </is>
      </c>
      <c r="F200" t="n">
        <v>98.90000000000001</v>
      </c>
      <c r="G200" t="n">
        <v>98.7</v>
      </c>
    </row>
    <row r="201">
      <c r="A201" t="inlineStr">
        <is>
          <t>RESP0038</t>
        </is>
      </c>
      <c r="B201" t="inlineStr">
        <is>
          <t>Study flow 1</t>
        </is>
      </c>
      <c r="C201" t="n">
        <v>4</v>
      </c>
      <c r="D201" t="inlineStr">
        <is>
          <t>foodwaste_visual</t>
        </is>
      </c>
      <c r="E201" t="inlineStr">
        <is>
          <t>NA</t>
        </is>
      </c>
      <c r="F201" t="n">
        <v>97.90000000000001</v>
      </c>
      <c r="G201" t="n">
        <v>97.8</v>
      </c>
    </row>
    <row r="202">
      <c r="A202" t="inlineStr">
        <is>
          <t>RESP0038</t>
        </is>
      </c>
      <c r="B202" t="inlineStr">
        <is>
          <t>Study flow 1</t>
        </is>
      </c>
      <c r="C202" t="n">
        <v>5</v>
      </c>
      <c r="D202" t="inlineStr">
        <is>
          <t>infographic</t>
        </is>
      </c>
      <c r="E202" t="inlineStr">
        <is>
          <t>NA</t>
        </is>
      </c>
      <c r="F202" t="n">
        <v>98.5</v>
      </c>
      <c r="G202" t="n">
        <v>97.59999999999999</v>
      </c>
    </row>
    <row r="203">
      <c r="A203" t="inlineStr">
        <is>
          <t>RESP0038</t>
        </is>
      </c>
      <c r="B203" t="inlineStr">
        <is>
          <t>Study flow 1</t>
        </is>
      </c>
      <c r="C203" t="n">
        <v>6</v>
      </c>
      <c r="D203" t="inlineStr">
        <is>
          <t>Questionnaire</t>
        </is>
      </c>
      <c r="E203" t="inlineStr">
        <is>
          <t>NA</t>
        </is>
      </c>
      <c r="F203" t="n">
        <v>96.5</v>
      </c>
      <c r="G203" t="n">
        <v>97.7</v>
      </c>
    </row>
    <row r="204">
      <c r="A204" t="inlineStr">
        <is>
          <t>RESP0038</t>
        </is>
      </c>
      <c r="B204" t="inlineStr">
        <is>
          <t>Study flow 1</t>
        </is>
      </c>
      <c r="C204" t="n">
        <v>7</v>
      </c>
      <c r="D204" t="inlineStr">
        <is>
          <t>Post-study calibration</t>
        </is>
      </c>
      <c r="E204" t="n">
        <v>2.45</v>
      </c>
      <c r="F204" t="n">
        <v>98.3</v>
      </c>
      <c r="G204" t="n">
        <v>96.5</v>
      </c>
    </row>
    <row r="205">
      <c r="A205" t="inlineStr">
        <is>
          <t>RESP0039</t>
        </is>
      </c>
      <c r="B205" t="inlineStr">
        <is>
          <t>Study flow 2</t>
        </is>
      </c>
      <c r="C205" t="n">
        <v>1</v>
      </c>
      <c r="D205" t="inlineStr">
        <is>
          <t>Pre-study calibration</t>
        </is>
      </c>
      <c r="E205" t="n">
        <v>2.58</v>
      </c>
      <c r="F205" t="n">
        <v>97.3</v>
      </c>
      <c r="G205" t="n">
        <v>96.5</v>
      </c>
    </row>
    <row r="206">
      <c r="A206" t="inlineStr">
        <is>
          <t>RESP0039</t>
        </is>
      </c>
      <c r="B206" t="inlineStr">
        <is>
          <t>Study flow 2</t>
        </is>
      </c>
      <c r="C206" t="n">
        <v>2</v>
      </c>
      <c r="D206" t="inlineStr">
        <is>
          <t>Instructions1</t>
        </is>
      </c>
      <c r="E206" t="inlineStr">
        <is>
          <t>NA</t>
        </is>
      </c>
      <c r="F206" t="n">
        <v>91.2</v>
      </c>
      <c r="G206" t="n">
        <v>97.5</v>
      </c>
    </row>
    <row r="207">
      <c r="A207" t="inlineStr">
        <is>
          <t>RESP0039</t>
        </is>
      </c>
      <c r="B207" t="inlineStr">
        <is>
          <t>Study flow 2</t>
        </is>
      </c>
      <c r="C207" t="n">
        <v>3</v>
      </c>
      <c r="D207" t="inlineStr">
        <is>
          <t>foodwaste_visual</t>
        </is>
      </c>
      <c r="E207" t="inlineStr">
        <is>
          <t>NA</t>
        </is>
      </c>
      <c r="F207" t="n">
        <v>89.09999999999999</v>
      </c>
      <c r="G207" t="n">
        <v>98.2</v>
      </c>
    </row>
    <row r="208">
      <c r="A208" t="inlineStr">
        <is>
          <t>RESP0039</t>
        </is>
      </c>
      <c r="B208" t="inlineStr">
        <is>
          <t>Study flow 2</t>
        </is>
      </c>
      <c r="C208" t="n">
        <v>4</v>
      </c>
      <c r="D208" t="inlineStr">
        <is>
          <t>foodwaste_narrative</t>
        </is>
      </c>
      <c r="E208" t="inlineStr">
        <is>
          <t>NA</t>
        </is>
      </c>
      <c r="F208" t="n">
        <v>97.3</v>
      </c>
      <c r="G208" t="n">
        <v>96.8</v>
      </c>
    </row>
    <row r="209">
      <c r="A209" t="inlineStr">
        <is>
          <t>RESP0039</t>
        </is>
      </c>
      <c r="B209" t="inlineStr">
        <is>
          <t>Study flow 2</t>
        </is>
      </c>
      <c r="C209" t="n">
        <v>5</v>
      </c>
      <c r="D209" t="inlineStr">
        <is>
          <t>infographic</t>
        </is>
      </c>
      <c r="E209" t="inlineStr">
        <is>
          <t>NA</t>
        </is>
      </c>
      <c r="F209" t="n">
        <v>92.8</v>
      </c>
      <c r="G209" t="n">
        <v>97.90000000000001</v>
      </c>
    </row>
    <row r="210">
      <c r="A210" t="inlineStr">
        <is>
          <t>RESP0039</t>
        </is>
      </c>
      <c r="B210" t="inlineStr">
        <is>
          <t>Study flow 2</t>
        </is>
      </c>
      <c r="C210" t="n">
        <v>6</v>
      </c>
      <c r="D210" t="inlineStr">
        <is>
          <t>Questionnaire</t>
        </is>
      </c>
      <c r="E210" t="inlineStr">
        <is>
          <t>NA</t>
        </is>
      </c>
      <c r="F210" t="n">
        <v>92.3</v>
      </c>
      <c r="G210" t="n">
        <v>96.90000000000001</v>
      </c>
    </row>
    <row r="211">
      <c r="A211" t="inlineStr">
        <is>
          <t>RESP0039</t>
        </is>
      </c>
      <c r="B211" t="inlineStr">
        <is>
          <t>Study flow 2</t>
        </is>
      </c>
      <c r="C211" t="n">
        <v>7</v>
      </c>
      <c r="D211" t="inlineStr">
        <is>
          <t>Post-study calibration</t>
        </is>
      </c>
      <c r="E211" t="n">
        <v>4.47</v>
      </c>
      <c r="F211" t="n">
        <v>92.8</v>
      </c>
      <c r="G211" t="n">
        <v>97.7</v>
      </c>
    </row>
    <row r="212">
      <c r="A212" t="inlineStr">
        <is>
          <t>RESP0040</t>
        </is>
      </c>
      <c r="B212" t="inlineStr">
        <is>
          <t>Study flow 1</t>
        </is>
      </c>
      <c r="C212" t="n">
        <v>1</v>
      </c>
      <c r="D212" t="inlineStr">
        <is>
          <t>Pre-study calibration</t>
        </is>
      </c>
      <c r="E212" t="n">
        <v>1.04</v>
      </c>
      <c r="F212" t="n">
        <v>98</v>
      </c>
      <c r="G212" t="n">
        <v>98.5</v>
      </c>
    </row>
    <row r="213">
      <c r="A213" t="inlineStr">
        <is>
          <t>RESP0040</t>
        </is>
      </c>
      <c r="B213" t="inlineStr">
        <is>
          <t>Study flow 1</t>
        </is>
      </c>
      <c r="C213" t="n">
        <v>2</v>
      </c>
      <c r="D213" t="inlineStr">
        <is>
          <t>Instructions1</t>
        </is>
      </c>
      <c r="E213" t="inlineStr">
        <is>
          <t>NA</t>
        </is>
      </c>
      <c r="F213" t="n">
        <v>98</v>
      </c>
      <c r="G213" t="n">
        <v>98.09999999999999</v>
      </c>
    </row>
    <row r="214">
      <c r="A214" t="inlineStr">
        <is>
          <t>RESP0040</t>
        </is>
      </c>
      <c r="B214" t="inlineStr">
        <is>
          <t>Study flow 1</t>
        </is>
      </c>
      <c r="C214" t="n">
        <v>3</v>
      </c>
      <c r="D214" t="inlineStr">
        <is>
          <t>foodwaste_narrative</t>
        </is>
      </c>
      <c r="E214" t="inlineStr">
        <is>
          <t>NA</t>
        </is>
      </c>
      <c r="F214" t="n">
        <v>98.09999999999999</v>
      </c>
      <c r="G214" t="n">
        <v>98.40000000000001</v>
      </c>
    </row>
    <row r="215">
      <c r="A215" t="inlineStr">
        <is>
          <t>RESP0040</t>
        </is>
      </c>
      <c r="B215" t="inlineStr">
        <is>
          <t>Study flow 1</t>
        </is>
      </c>
      <c r="C215" t="n">
        <v>4</v>
      </c>
      <c r="D215" t="inlineStr">
        <is>
          <t>foodwaste_visual</t>
        </is>
      </c>
      <c r="E215" t="inlineStr">
        <is>
          <t>NA</t>
        </is>
      </c>
      <c r="F215" t="n">
        <v>96.3</v>
      </c>
      <c r="G215" t="n">
        <v>98.3</v>
      </c>
    </row>
    <row r="216">
      <c r="A216" t="inlineStr">
        <is>
          <t>RESP0040</t>
        </is>
      </c>
      <c r="B216" t="inlineStr">
        <is>
          <t>Study flow 1</t>
        </is>
      </c>
      <c r="C216" t="n">
        <v>5</v>
      </c>
      <c r="D216" t="inlineStr">
        <is>
          <t>infographic</t>
        </is>
      </c>
      <c r="E216" t="inlineStr">
        <is>
          <t>NA</t>
        </is>
      </c>
      <c r="F216" t="n">
        <v>97.09999999999999</v>
      </c>
      <c r="G216" t="n">
        <v>97.8</v>
      </c>
    </row>
    <row r="217">
      <c r="A217" t="inlineStr">
        <is>
          <t>RESP0040</t>
        </is>
      </c>
      <c r="B217" t="inlineStr">
        <is>
          <t>Study flow 1</t>
        </is>
      </c>
      <c r="C217" t="n">
        <v>6</v>
      </c>
      <c r="D217" t="inlineStr">
        <is>
          <t>Questionnaire</t>
        </is>
      </c>
      <c r="E217" t="inlineStr">
        <is>
          <t>NA</t>
        </is>
      </c>
      <c r="F217" t="n">
        <v>97.40000000000001</v>
      </c>
      <c r="G217" t="n">
        <v>97.3</v>
      </c>
    </row>
    <row r="218">
      <c r="A218" t="inlineStr">
        <is>
          <t>RESP0040</t>
        </is>
      </c>
      <c r="B218" t="inlineStr">
        <is>
          <t>Study flow 1</t>
        </is>
      </c>
      <c r="C218" t="n">
        <v>7</v>
      </c>
      <c r="D218" t="inlineStr">
        <is>
          <t>Post-study calibration</t>
        </is>
      </c>
      <c r="E218" t="n">
        <v>0.99</v>
      </c>
      <c r="F218" t="n">
        <v>97.59999999999999</v>
      </c>
      <c r="G218" t="n">
        <v>98.40000000000001</v>
      </c>
    </row>
    <row r="219">
      <c r="A219" t="inlineStr">
        <is>
          <t>RESP0041</t>
        </is>
      </c>
      <c r="B219" t="inlineStr">
        <is>
          <t>Study flow 2</t>
        </is>
      </c>
      <c r="C219" t="n">
        <v>1</v>
      </c>
      <c r="D219" t="inlineStr">
        <is>
          <t>Pre-study calibration</t>
        </is>
      </c>
      <c r="E219" t="n">
        <v>3.98</v>
      </c>
      <c r="F219" t="n">
        <v>91.59999999999999</v>
      </c>
      <c r="G219" t="n">
        <v>96.2</v>
      </c>
    </row>
    <row r="220">
      <c r="A220" t="inlineStr">
        <is>
          <t>RESP0041</t>
        </is>
      </c>
      <c r="B220" t="inlineStr">
        <is>
          <t>Study flow 2</t>
        </is>
      </c>
      <c r="C220" t="n">
        <v>2</v>
      </c>
      <c r="D220" t="inlineStr">
        <is>
          <t>Instructions1</t>
        </is>
      </c>
      <c r="E220" t="inlineStr">
        <is>
          <t>NA</t>
        </is>
      </c>
      <c r="F220" t="n">
        <v>88.2</v>
      </c>
      <c r="G220" t="n">
        <v>95.8</v>
      </c>
    </row>
    <row r="221">
      <c r="A221" t="inlineStr">
        <is>
          <t>RESP0041</t>
        </is>
      </c>
      <c r="B221" t="inlineStr">
        <is>
          <t>Study flow 2</t>
        </is>
      </c>
      <c r="C221" t="n">
        <v>3</v>
      </c>
      <c r="D221" t="inlineStr">
        <is>
          <t>foodwaste_visual</t>
        </is>
      </c>
      <c r="E221" t="inlineStr">
        <is>
          <t>NA</t>
        </is>
      </c>
      <c r="F221" t="n">
        <v>85.3</v>
      </c>
      <c r="G221" t="n">
        <v>97</v>
      </c>
    </row>
    <row r="222">
      <c r="A222" t="inlineStr">
        <is>
          <t>RESP0041</t>
        </is>
      </c>
      <c r="B222" t="inlineStr">
        <is>
          <t>Study flow 2</t>
        </is>
      </c>
      <c r="C222" t="n">
        <v>4</v>
      </c>
      <c r="D222" t="inlineStr">
        <is>
          <t>foodwaste_narrative</t>
        </is>
      </c>
      <c r="E222" t="inlineStr">
        <is>
          <t>NA</t>
        </is>
      </c>
      <c r="F222" t="n">
        <v>90.3</v>
      </c>
      <c r="G222" t="n">
        <v>95.59999999999999</v>
      </c>
    </row>
    <row r="223">
      <c r="A223" t="inlineStr">
        <is>
          <t>RESP0041</t>
        </is>
      </c>
      <c r="B223" t="inlineStr">
        <is>
          <t>Study flow 2</t>
        </is>
      </c>
      <c r="C223" t="n">
        <v>5</v>
      </c>
      <c r="D223" t="inlineStr">
        <is>
          <t>infographic</t>
        </is>
      </c>
      <c r="E223" t="inlineStr">
        <is>
          <t>NA</t>
        </is>
      </c>
      <c r="F223" t="n">
        <v>88.2</v>
      </c>
      <c r="G223" t="n">
        <v>94.40000000000001</v>
      </c>
    </row>
    <row r="224">
      <c r="A224" t="inlineStr">
        <is>
          <t>RESP0041</t>
        </is>
      </c>
      <c r="B224" t="inlineStr">
        <is>
          <t>Study flow 2</t>
        </is>
      </c>
      <c r="C224" t="n">
        <v>6</v>
      </c>
      <c r="D224" t="inlineStr">
        <is>
          <t>Questionnaire</t>
        </is>
      </c>
      <c r="E224" t="inlineStr">
        <is>
          <t>NA</t>
        </is>
      </c>
      <c r="F224" t="n">
        <v>89.59999999999999</v>
      </c>
      <c r="G224" t="n">
        <v>90.7</v>
      </c>
    </row>
    <row r="225">
      <c r="A225" t="inlineStr">
        <is>
          <t>RESP0041</t>
        </is>
      </c>
      <c r="B225" t="inlineStr">
        <is>
          <t>Study flow 2</t>
        </is>
      </c>
      <c r="C225" t="n">
        <v>7</v>
      </c>
      <c r="D225" t="inlineStr">
        <is>
          <t>Post-study calibration</t>
        </is>
      </c>
      <c r="E225" t="n">
        <v>5.55</v>
      </c>
      <c r="F225" t="n">
        <v>57.2</v>
      </c>
      <c r="G225" t="n">
        <v>96.90000000000001</v>
      </c>
    </row>
    <row r="226">
      <c r="A226" t="inlineStr">
        <is>
          <t>RESP0043</t>
        </is>
      </c>
      <c r="B226" t="inlineStr">
        <is>
          <t>Study flow 1</t>
        </is>
      </c>
      <c r="C226" t="n">
        <v>1</v>
      </c>
      <c r="D226" t="inlineStr">
        <is>
          <t>Pre-study calibration</t>
        </is>
      </c>
      <c r="E226" t="n">
        <v>5.14</v>
      </c>
      <c r="F226" t="n">
        <v>94.09999999999999</v>
      </c>
      <c r="G226" t="n">
        <v>88</v>
      </c>
    </row>
    <row r="227">
      <c r="A227" t="inlineStr">
        <is>
          <t>RESP0043</t>
        </is>
      </c>
      <c r="B227" t="inlineStr">
        <is>
          <t>Study flow 1</t>
        </is>
      </c>
      <c r="C227" t="n">
        <v>2</v>
      </c>
      <c r="D227" t="inlineStr">
        <is>
          <t>Instructions1</t>
        </is>
      </c>
      <c r="E227" t="inlineStr">
        <is>
          <t>NA</t>
        </is>
      </c>
      <c r="F227" t="n">
        <v>95.5</v>
      </c>
      <c r="G227" t="n">
        <v>89.59999999999999</v>
      </c>
    </row>
    <row r="228">
      <c r="A228" t="inlineStr">
        <is>
          <t>RESP0043</t>
        </is>
      </c>
      <c r="B228" t="inlineStr">
        <is>
          <t>Study flow 1</t>
        </is>
      </c>
      <c r="C228" t="n">
        <v>3</v>
      </c>
      <c r="D228" t="inlineStr">
        <is>
          <t>foodwaste_narrative</t>
        </is>
      </c>
      <c r="E228" t="inlineStr">
        <is>
          <t>NA</t>
        </is>
      </c>
      <c r="F228" t="n">
        <v>94.2</v>
      </c>
      <c r="G228" t="n">
        <v>93.3</v>
      </c>
    </row>
    <row r="229">
      <c r="A229" t="inlineStr">
        <is>
          <t>RESP0043</t>
        </is>
      </c>
      <c r="B229" t="inlineStr">
        <is>
          <t>Study flow 1</t>
        </is>
      </c>
      <c r="C229" t="n">
        <v>4</v>
      </c>
      <c r="D229" t="inlineStr">
        <is>
          <t>foodwaste_visual</t>
        </is>
      </c>
      <c r="E229" t="inlineStr">
        <is>
          <t>NA</t>
        </is>
      </c>
      <c r="F229" t="n">
        <v>93.2</v>
      </c>
      <c r="G229" t="n">
        <v>92.40000000000001</v>
      </c>
    </row>
    <row r="230">
      <c r="A230" t="inlineStr">
        <is>
          <t>RESP0043</t>
        </is>
      </c>
      <c r="B230" t="inlineStr">
        <is>
          <t>Study flow 1</t>
        </is>
      </c>
      <c r="C230" t="n">
        <v>5</v>
      </c>
      <c r="D230" t="inlineStr">
        <is>
          <t>infographic</t>
        </is>
      </c>
      <c r="E230" t="inlineStr">
        <is>
          <t>NA</t>
        </is>
      </c>
      <c r="F230" t="n">
        <v>96.7</v>
      </c>
      <c r="G230" t="n">
        <v>92.90000000000001</v>
      </c>
    </row>
    <row r="231">
      <c r="A231" t="inlineStr">
        <is>
          <t>RESP0043</t>
        </is>
      </c>
      <c r="B231" t="inlineStr">
        <is>
          <t>Study flow 1</t>
        </is>
      </c>
      <c r="C231" t="n">
        <v>6</v>
      </c>
      <c r="D231" t="inlineStr">
        <is>
          <t>Questionnaire</t>
        </is>
      </c>
      <c r="E231" t="inlineStr">
        <is>
          <t>NA</t>
        </is>
      </c>
      <c r="F231" t="n">
        <v>94</v>
      </c>
      <c r="G231" t="n">
        <v>93.2</v>
      </c>
    </row>
    <row r="232">
      <c r="A232" t="inlineStr">
        <is>
          <t>RESP0043</t>
        </is>
      </c>
      <c r="B232" t="inlineStr">
        <is>
          <t>Study flow 1</t>
        </is>
      </c>
      <c r="C232" t="n">
        <v>7</v>
      </c>
      <c r="D232" t="inlineStr">
        <is>
          <t>Post-study calibration</t>
        </is>
      </c>
      <c r="E232" t="n">
        <v>5.57</v>
      </c>
      <c r="F232" t="n">
        <v>90.90000000000001</v>
      </c>
      <c r="G232" t="n">
        <v>94.90000000000001</v>
      </c>
    </row>
    <row r="233">
      <c r="A233" t="inlineStr">
        <is>
          <t>RESP0044</t>
        </is>
      </c>
      <c r="B233" t="inlineStr">
        <is>
          <t>Study flow 1</t>
        </is>
      </c>
      <c r="C233" t="n">
        <v>1</v>
      </c>
      <c r="D233" t="inlineStr">
        <is>
          <t>Pre-study calibration</t>
        </is>
      </c>
      <c r="E233" t="n">
        <v>1.2</v>
      </c>
      <c r="F233" t="n">
        <v>99.59999999999999</v>
      </c>
      <c r="G233" t="n">
        <v>90.3</v>
      </c>
    </row>
    <row r="234">
      <c r="A234" t="inlineStr">
        <is>
          <t>RESP0044</t>
        </is>
      </c>
      <c r="B234" t="inlineStr">
        <is>
          <t>Study flow 1</t>
        </is>
      </c>
      <c r="C234" t="n">
        <v>2</v>
      </c>
      <c r="D234" t="inlineStr">
        <is>
          <t>Instructions1</t>
        </is>
      </c>
      <c r="E234" t="inlineStr">
        <is>
          <t>NA</t>
        </is>
      </c>
      <c r="F234" t="n">
        <v>99.59999999999999</v>
      </c>
      <c r="G234" t="n">
        <v>90.8</v>
      </c>
    </row>
    <row r="235">
      <c r="A235" t="inlineStr">
        <is>
          <t>RESP0044</t>
        </is>
      </c>
      <c r="B235" t="inlineStr">
        <is>
          <t>Study flow 1</t>
        </is>
      </c>
      <c r="C235" t="n">
        <v>3</v>
      </c>
      <c r="D235" t="inlineStr">
        <is>
          <t>foodwaste_narrative</t>
        </is>
      </c>
      <c r="E235" t="inlineStr">
        <is>
          <t>NA</t>
        </is>
      </c>
      <c r="F235" t="n">
        <v>98.90000000000001</v>
      </c>
      <c r="G235" t="n">
        <v>86.7</v>
      </c>
    </row>
    <row r="236">
      <c r="A236" t="inlineStr">
        <is>
          <t>RESP0044</t>
        </is>
      </c>
      <c r="B236" t="inlineStr">
        <is>
          <t>Study flow 1</t>
        </is>
      </c>
      <c r="C236" t="n">
        <v>4</v>
      </c>
      <c r="D236" t="inlineStr">
        <is>
          <t>foodwaste_visual</t>
        </is>
      </c>
      <c r="E236" t="inlineStr">
        <is>
          <t>NA</t>
        </is>
      </c>
      <c r="F236" t="n">
        <v>99.40000000000001</v>
      </c>
      <c r="G236" t="n">
        <v>91.7</v>
      </c>
    </row>
    <row r="237">
      <c r="A237" t="inlineStr">
        <is>
          <t>RESP0044</t>
        </is>
      </c>
      <c r="B237" t="inlineStr">
        <is>
          <t>Study flow 1</t>
        </is>
      </c>
      <c r="C237" t="n">
        <v>5</v>
      </c>
      <c r="D237" t="inlineStr">
        <is>
          <t>infographic</t>
        </is>
      </c>
      <c r="E237" t="inlineStr">
        <is>
          <t>NA</t>
        </is>
      </c>
      <c r="F237" t="n">
        <v>99.59999999999999</v>
      </c>
      <c r="G237" t="n">
        <v>93.5</v>
      </c>
    </row>
    <row r="238">
      <c r="A238" t="inlineStr">
        <is>
          <t>RESP0044</t>
        </is>
      </c>
      <c r="B238" t="inlineStr">
        <is>
          <t>Study flow 1</t>
        </is>
      </c>
      <c r="C238" t="n">
        <v>6</v>
      </c>
      <c r="D238" t="inlineStr">
        <is>
          <t>Questionnaire</t>
        </is>
      </c>
      <c r="E238" t="inlineStr">
        <is>
          <t>NA</t>
        </is>
      </c>
      <c r="F238" t="n">
        <v>99.40000000000001</v>
      </c>
      <c r="G238" t="n">
        <v>93.59999999999999</v>
      </c>
    </row>
    <row r="239">
      <c r="A239" t="inlineStr">
        <is>
          <t>RESP0044</t>
        </is>
      </c>
      <c r="B239" t="inlineStr">
        <is>
          <t>Study flow 1</t>
        </is>
      </c>
      <c r="C239" t="n">
        <v>7</v>
      </c>
      <c r="D239" t="inlineStr">
        <is>
          <t>Post-study calibration</t>
        </is>
      </c>
      <c r="E239" t="n">
        <v>1.28</v>
      </c>
      <c r="F239" t="n">
        <v>99</v>
      </c>
      <c r="G239" t="n">
        <v>91.5</v>
      </c>
    </row>
    <row r="240">
      <c r="A240" t="inlineStr">
        <is>
          <t>RESP0046</t>
        </is>
      </c>
      <c r="B240" t="inlineStr">
        <is>
          <t>Study flow 2</t>
        </is>
      </c>
      <c r="C240" t="n">
        <v>1</v>
      </c>
      <c r="D240" t="inlineStr">
        <is>
          <t>Pre-study calibration</t>
        </is>
      </c>
      <c r="E240" t="n">
        <v>1.06</v>
      </c>
      <c r="F240" t="n">
        <v>98.40000000000001</v>
      </c>
      <c r="G240" t="n">
        <v>98.2</v>
      </c>
    </row>
    <row r="241">
      <c r="A241" t="inlineStr">
        <is>
          <t>RESP0046</t>
        </is>
      </c>
      <c r="B241" t="inlineStr">
        <is>
          <t>Study flow 2</t>
        </is>
      </c>
      <c r="C241" t="n">
        <v>2</v>
      </c>
      <c r="D241" t="inlineStr">
        <is>
          <t>Instructions1</t>
        </is>
      </c>
      <c r="E241" t="inlineStr">
        <is>
          <t>NA</t>
        </is>
      </c>
      <c r="F241" t="n">
        <v>92.5</v>
      </c>
      <c r="G241" t="n">
        <v>98.3</v>
      </c>
    </row>
    <row r="242">
      <c r="A242" t="inlineStr">
        <is>
          <t>RESP0046</t>
        </is>
      </c>
      <c r="B242" t="inlineStr">
        <is>
          <t>Study flow 2</t>
        </is>
      </c>
      <c r="C242" t="n">
        <v>3</v>
      </c>
      <c r="D242" t="inlineStr">
        <is>
          <t>foodwaste_visual</t>
        </is>
      </c>
      <c r="E242" t="inlineStr">
        <is>
          <t>NA</t>
        </is>
      </c>
      <c r="F242" t="n">
        <v>97.3</v>
      </c>
      <c r="G242" t="n">
        <v>97.2</v>
      </c>
    </row>
    <row r="243">
      <c r="A243" t="inlineStr">
        <is>
          <t>RESP0046</t>
        </is>
      </c>
      <c r="B243" t="inlineStr">
        <is>
          <t>Study flow 2</t>
        </is>
      </c>
      <c r="C243" t="n">
        <v>4</v>
      </c>
      <c r="D243" t="inlineStr">
        <is>
          <t>foodwaste_narrative</t>
        </is>
      </c>
      <c r="E243" t="inlineStr">
        <is>
          <t>NA</t>
        </is>
      </c>
      <c r="F243" t="n">
        <v>96.2</v>
      </c>
      <c r="G243" t="n">
        <v>98.7</v>
      </c>
    </row>
    <row r="244">
      <c r="A244" t="inlineStr">
        <is>
          <t>RESP0046</t>
        </is>
      </c>
      <c r="B244" t="inlineStr">
        <is>
          <t>Study flow 2</t>
        </is>
      </c>
      <c r="C244" t="n">
        <v>5</v>
      </c>
      <c r="D244" t="inlineStr">
        <is>
          <t>infographic</t>
        </is>
      </c>
      <c r="E244" t="inlineStr">
        <is>
          <t>NA</t>
        </is>
      </c>
      <c r="F244" t="n">
        <v>97.2</v>
      </c>
      <c r="G244" t="n">
        <v>98.09999999999999</v>
      </c>
    </row>
    <row r="245">
      <c r="A245" t="inlineStr">
        <is>
          <t>RESP0046</t>
        </is>
      </c>
      <c r="B245" t="inlineStr">
        <is>
          <t>Study flow 2</t>
        </is>
      </c>
      <c r="C245" t="n">
        <v>6</v>
      </c>
      <c r="D245" t="inlineStr">
        <is>
          <t>Questionnaire</t>
        </is>
      </c>
      <c r="E245" t="inlineStr">
        <is>
          <t>NA</t>
        </is>
      </c>
      <c r="F245" t="n">
        <v>97.3</v>
      </c>
      <c r="G245" t="n">
        <v>98</v>
      </c>
    </row>
    <row r="246">
      <c r="A246" t="inlineStr">
        <is>
          <t>RESP0046</t>
        </is>
      </c>
      <c r="B246" t="inlineStr">
        <is>
          <t>Study flow 2</t>
        </is>
      </c>
      <c r="C246" t="n">
        <v>7</v>
      </c>
      <c r="D246" t="inlineStr">
        <is>
          <t>Post-study calibration</t>
        </is>
      </c>
      <c r="E246" t="n">
        <v>1.67</v>
      </c>
      <c r="F246" t="n">
        <v>98.09999999999999</v>
      </c>
      <c r="G246" t="n">
        <v>97.40000000000001</v>
      </c>
    </row>
    <row r="247">
      <c r="A247" t="inlineStr">
        <is>
          <t>RESP0047</t>
        </is>
      </c>
      <c r="B247" t="inlineStr">
        <is>
          <t>Study flow 1</t>
        </is>
      </c>
      <c r="C247" t="n">
        <v>1</v>
      </c>
      <c r="D247" t="inlineStr">
        <is>
          <t>Pre-study calibration</t>
        </is>
      </c>
      <c r="E247" t="n">
        <v>2.69</v>
      </c>
      <c r="F247" t="n">
        <v>98.59999999999999</v>
      </c>
      <c r="G247" t="n">
        <v>91</v>
      </c>
    </row>
    <row r="248">
      <c r="A248" t="inlineStr">
        <is>
          <t>RESP0047</t>
        </is>
      </c>
      <c r="B248" t="inlineStr">
        <is>
          <t>Study flow 1</t>
        </is>
      </c>
      <c r="C248" t="n">
        <v>2</v>
      </c>
      <c r="D248" t="inlineStr">
        <is>
          <t>Instructions1</t>
        </is>
      </c>
      <c r="E248" t="inlineStr">
        <is>
          <t>NA</t>
        </is>
      </c>
      <c r="F248" t="n">
        <v>97.09999999999999</v>
      </c>
      <c r="G248" t="n">
        <v>96.59999999999999</v>
      </c>
    </row>
    <row r="249">
      <c r="A249" t="inlineStr">
        <is>
          <t>RESP0047</t>
        </is>
      </c>
      <c r="B249" t="inlineStr">
        <is>
          <t>Study flow 1</t>
        </is>
      </c>
      <c r="C249" t="n">
        <v>3</v>
      </c>
      <c r="D249" t="inlineStr">
        <is>
          <t>foodwaste_narrative</t>
        </is>
      </c>
      <c r="E249" t="inlineStr">
        <is>
          <t>NA</t>
        </is>
      </c>
      <c r="F249" t="n">
        <v>98.2</v>
      </c>
      <c r="G249" t="n">
        <v>96</v>
      </c>
    </row>
    <row r="250">
      <c r="A250" t="inlineStr">
        <is>
          <t>RESP0047</t>
        </is>
      </c>
      <c r="B250" t="inlineStr">
        <is>
          <t>Study flow 1</t>
        </is>
      </c>
      <c r="C250" t="n">
        <v>4</v>
      </c>
      <c r="D250" t="inlineStr">
        <is>
          <t>foodwaste_visual</t>
        </is>
      </c>
      <c r="E250" t="inlineStr">
        <is>
          <t>NA</t>
        </is>
      </c>
      <c r="F250" t="n">
        <v>98.59999999999999</v>
      </c>
      <c r="G250" t="n">
        <v>96.2</v>
      </c>
    </row>
    <row r="251">
      <c r="A251" t="inlineStr">
        <is>
          <t>RESP0047</t>
        </is>
      </c>
      <c r="B251" t="inlineStr">
        <is>
          <t>Study flow 1</t>
        </is>
      </c>
      <c r="C251" t="n">
        <v>5</v>
      </c>
      <c r="D251" t="inlineStr">
        <is>
          <t>infographic</t>
        </is>
      </c>
      <c r="E251" t="inlineStr">
        <is>
          <t>NA</t>
        </is>
      </c>
      <c r="F251" t="n">
        <v>98.2</v>
      </c>
      <c r="G251" t="n">
        <v>96.40000000000001</v>
      </c>
    </row>
    <row r="252">
      <c r="A252" t="inlineStr">
        <is>
          <t>RESP0047</t>
        </is>
      </c>
      <c r="B252" t="inlineStr">
        <is>
          <t>Study flow 1</t>
        </is>
      </c>
      <c r="C252" t="n">
        <v>6</v>
      </c>
      <c r="D252" t="inlineStr">
        <is>
          <t>Questionnaire</t>
        </is>
      </c>
      <c r="E252" t="inlineStr">
        <is>
          <t>NA</t>
        </is>
      </c>
      <c r="F252" t="n">
        <v>96.3</v>
      </c>
      <c r="G252" t="n">
        <v>93.2</v>
      </c>
    </row>
    <row r="253">
      <c r="A253" t="inlineStr">
        <is>
          <t>RESP0047</t>
        </is>
      </c>
      <c r="B253" t="inlineStr">
        <is>
          <t>Study flow 1</t>
        </is>
      </c>
      <c r="C253" t="n">
        <v>7</v>
      </c>
      <c r="D253" t="inlineStr">
        <is>
          <t>Post-study calibration</t>
        </is>
      </c>
      <c r="E253" t="n">
        <v>3.09</v>
      </c>
      <c r="F253" t="n">
        <v>98</v>
      </c>
      <c r="G253" t="n">
        <v>96.09999999999999</v>
      </c>
    </row>
    <row r="254">
      <c r="A254" t="inlineStr">
        <is>
          <t>RESP0048</t>
        </is>
      </c>
      <c r="B254" t="inlineStr">
        <is>
          <t>Study flow 1</t>
        </is>
      </c>
      <c r="C254" t="n">
        <v>1</v>
      </c>
      <c r="D254" t="inlineStr">
        <is>
          <t>Pre-study calibration</t>
        </is>
      </c>
      <c r="E254" t="n">
        <v>0.78</v>
      </c>
      <c r="F254" t="n">
        <v>98.59999999999999</v>
      </c>
      <c r="G254" t="n">
        <v>99.40000000000001</v>
      </c>
    </row>
    <row r="255">
      <c r="A255" t="inlineStr">
        <is>
          <t>RESP0048</t>
        </is>
      </c>
      <c r="B255" t="inlineStr">
        <is>
          <t>Study flow 1</t>
        </is>
      </c>
      <c r="C255" t="n">
        <v>2</v>
      </c>
      <c r="D255" t="inlineStr">
        <is>
          <t>Instructions1</t>
        </is>
      </c>
      <c r="E255" t="inlineStr">
        <is>
          <t>NA</t>
        </is>
      </c>
      <c r="F255" t="n">
        <v>99.09999999999999</v>
      </c>
      <c r="G255" t="n">
        <v>99.2</v>
      </c>
    </row>
    <row r="256">
      <c r="A256" t="inlineStr">
        <is>
          <t>RESP0048</t>
        </is>
      </c>
      <c r="B256" t="inlineStr">
        <is>
          <t>Study flow 1</t>
        </is>
      </c>
      <c r="C256" t="n">
        <v>3</v>
      </c>
      <c r="D256" t="inlineStr">
        <is>
          <t>foodwaste_narrative</t>
        </is>
      </c>
      <c r="E256" t="inlineStr">
        <is>
          <t>NA</t>
        </is>
      </c>
      <c r="F256" t="n">
        <v>98</v>
      </c>
      <c r="G256" t="n">
        <v>99.40000000000001</v>
      </c>
    </row>
    <row r="257">
      <c r="A257" t="inlineStr">
        <is>
          <t>RESP0048</t>
        </is>
      </c>
      <c r="B257" t="inlineStr">
        <is>
          <t>Study flow 1</t>
        </is>
      </c>
      <c r="C257" t="n">
        <v>4</v>
      </c>
      <c r="D257" t="inlineStr">
        <is>
          <t>foodwaste_visual</t>
        </is>
      </c>
      <c r="E257" t="inlineStr">
        <is>
          <t>NA</t>
        </is>
      </c>
      <c r="F257" t="n">
        <v>98.7</v>
      </c>
      <c r="G257" t="n">
        <v>99.59999999999999</v>
      </c>
    </row>
    <row r="258">
      <c r="A258" t="inlineStr">
        <is>
          <t>RESP0048</t>
        </is>
      </c>
      <c r="B258" t="inlineStr">
        <is>
          <t>Study flow 1</t>
        </is>
      </c>
      <c r="C258" t="n">
        <v>5</v>
      </c>
      <c r="D258" t="inlineStr">
        <is>
          <t>infographic</t>
        </is>
      </c>
      <c r="E258" t="inlineStr">
        <is>
          <t>NA</t>
        </is>
      </c>
      <c r="F258" t="n">
        <v>98.2</v>
      </c>
      <c r="G258" t="n">
        <v>99.59999999999999</v>
      </c>
    </row>
    <row r="259">
      <c r="A259" t="inlineStr">
        <is>
          <t>RESP0048</t>
        </is>
      </c>
      <c r="B259" t="inlineStr">
        <is>
          <t>Study flow 1</t>
        </is>
      </c>
      <c r="C259" t="n">
        <v>6</v>
      </c>
      <c r="D259" t="inlineStr">
        <is>
          <t>Questionnaire</t>
        </is>
      </c>
      <c r="E259" t="inlineStr">
        <is>
          <t>NA</t>
        </is>
      </c>
      <c r="F259" t="n">
        <v>99</v>
      </c>
      <c r="G259" t="n">
        <v>99.2</v>
      </c>
    </row>
    <row r="260">
      <c r="A260" t="inlineStr">
        <is>
          <t>RESP0048</t>
        </is>
      </c>
      <c r="B260" t="inlineStr">
        <is>
          <t>Study flow 1</t>
        </is>
      </c>
      <c r="C260" t="n">
        <v>7</v>
      </c>
      <c r="D260" t="inlineStr">
        <is>
          <t>Post-study calibration</t>
        </is>
      </c>
      <c r="E260" t="n">
        <v>1.15</v>
      </c>
      <c r="F260" t="n">
        <v>98.2</v>
      </c>
      <c r="G260" t="n">
        <v>98.90000000000001</v>
      </c>
    </row>
    <row r="261">
      <c r="A261" t="inlineStr">
        <is>
          <t>RESP0049</t>
        </is>
      </c>
      <c r="B261" t="inlineStr">
        <is>
          <t>Study flow 1</t>
        </is>
      </c>
      <c r="C261" t="n">
        <v>1</v>
      </c>
      <c r="D261" t="inlineStr">
        <is>
          <t>Pre-study calibration</t>
        </is>
      </c>
      <c r="E261" t="n">
        <v>0.75</v>
      </c>
      <c r="F261" t="n">
        <v>97</v>
      </c>
      <c r="G261" t="n">
        <v>82.8</v>
      </c>
    </row>
    <row r="262">
      <c r="A262" t="inlineStr">
        <is>
          <t>RESP0049</t>
        </is>
      </c>
      <c r="B262" t="inlineStr">
        <is>
          <t>Study flow 1</t>
        </is>
      </c>
      <c r="C262" t="n">
        <v>2</v>
      </c>
      <c r="D262" t="inlineStr">
        <is>
          <t>Instructions1</t>
        </is>
      </c>
      <c r="E262" t="inlineStr">
        <is>
          <t>NA</t>
        </is>
      </c>
      <c r="F262" t="n">
        <v>98.40000000000001</v>
      </c>
      <c r="G262" t="n">
        <v>91.8</v>
      </c>
    </row>
    <row r="263">
      <c r="A263" t="inlineStr">
        <is>
          <t>RESP0049</t>
        </is>
      </c>
      <c r="B263" t="inlineStr">
        <is>
          <t>Study flow 1</t>
        </is>
      </c>
      <c r="C263" t="n">
        <v>3</v>
      </c>
      <c r="D263" t="inlineStr">
        <is>
          <t>foodwaste_narrative</t>
        </is>
      </c>
      <c r="E263" t="inlineStr">
        <is>
          <t>NA</t>
        </is>
      </c>
      <c r="F263" t="n">
        <v>96.09999999999999</v>
      </c>
      <c r="G263" t="n">
        <v>84.90000000000001</v>
      </c>
    </row>
    <row r="264">
      <c r="A264" t="inlineStr">
        <is>
          <t>RESP0049</t>
        </is>
      </c>
      <c r="B264" t="inlineStr">
        <is>
          <t>Study flow 1</t>
        </is>
      </c>
      <c r="C264" t="n">
        <v>4</v>
      </c>
      <c r="D264" t="inlineStr">
        <is>
          <t>foodwaste_visual</t>
        </is>
      </c>
      <c r="E264" t="inlineStr">
        <is>
          <t>NA</t>
        </is>
      </c>
      <c r="F264" t="n">
        <v>98.8</v>
      </c>
      <c r="G264" t="n">
        <v>79.09999999999999</v>
      </c>
    </row>
    <row r="265">
      <c r="A265" t="inlineStr">
        <is>
          <t>RESP0049</t>
        </is>
      </c>
      <c r="B265" t="inlineStr">
        <is>
          <t>Study flow 1</t>
        </is>
      </c>
      <c r="C265" t="n">
        <v>5</v>
      </c>
      <c r="D265" t="inlineStr">
        <is>
          <t>infographic</t>
        </is>
      </c>
      <c r="E265" t="inlineStr">
        <is>
          <t>NA</t>
        </is>
      </c>
      <c r="F265" t="n">
        <v>97.40000000000001</v>
      </c>
      <c r="G265" t="n">
        <v>88.2</v>
      </c>
    </row>
    <row r="266">
      <c r="A266" t="inlineStr">
        <is>
          <t>RESP0049</t>
        </is>
      </c>
      <c r="B266" t="inlineStr">
        <is>
          <t>Study flow 1</t>
        </is>
      </c>
      <c r="C266" t="n">
        <v>6</v>
      </c>
      <c r="D266" t="inlineStr">
        <is>
          <t>Questionnaire</t>
        </is>
      </c>
      <c r="E266" t="inlineStr">
        <is>
          <t>NA</t>
        </is>
      </c>
      <c r="F266" t="n">
        <v>98</v>
      </c>
      <c r="G266" t="n">
        <v>83.40000000000001</v>
      </c>
    </row>
    <row r="267">
      <c r="A267" t="inlineStr">
        <is>
          <t>RESP0049</t>
        </is>
      </c>
      <c r="B267" t="inlineStr">
        <is>
          <t>Study flow 1</t>
        </is>
      </c>
      <c r="C267" t="n">
        <v>7</v>
      </c>
      <c r="D267" t="inlineStr">
        <is>
          <t>Post-study calibration</t>
        </is>
      </c>
      <c r="E267" t="n">
        <v>1.63</v>
      </c>
      <c r="F267" t="n">
        <v>98.8</v>
      </c>
      <c r="G267" t="n">
        <v>81.40000000000001</v>
      </c>
    </row>
    <row r="268">
      <c r="A268" t="inlineStr">
        <is>
          <t>RESP0050</t>
        </is>
      </c>
      <c r="B268" t="inlineStr">
        <is>
          <t>Study flow 1</t>
        </is>
      </c>
      <c r="C268" t="n">
        <v>1</v>
      </c>
      <c r="D268" t="inlineStr">
        <is>
          <t>Pre-study calibration</t>
        </is>
      </c>
      <c r="E268" t="n">
        <v>1.36</v>
      </c>
      <c r="F268" t="n">
        <v>93.59999999999999</v>
      </c>
      <c r="G268" t="n">
        <v>99.59999999999999</v>
      </c>
    </row>
    <row r="269">
      <c r="A269" t="inlineStr">
        <is>
          <t>RESP0050</t>
        </is>
      </c>
      <c r="B269" t="inlineStr">
        <is>
          <t>Study flow 1</t>
        </is>
      </c>
      <c r="C269" t="n">
        <v>2</v>
      </c>
      <c r="D269" t="inlineStr">
        <is>
          <t>Instructions1</t>
        </is>
      </c>
      <c r="E269" t="inlineStr">
        <is>
          <t>NA</t>
        </is>
      </c>
      <c r="F269" t="n">
        <v>93.8</v>
      </c>
      <c r="G269" t="n">
        <v>99.5</v>
      </c>
    </row>
    <row r="270">
      <c r="A270" t="inlineStr">
        <is>
          <t>RESP0050</t>
        </is>
      </c>
      <c r="B270" t="inlineStr">
        <is>
          <t>Study flow 1</t>
        </is>
      </c>
      <c r="C270" t="n">
        <v>3</v>
      </c>
      <c r="D270" t="inlineStr">
        <is>
          <t>foodwaste_narrative</t>
        </is>
      </c>
      <c r="E270" t="inlineStr">
        <is>
          <t>NA</t>
        </is>
      </c>
      <c r="F270" t="n">
        <v>94.3</v>
      </c>
      <c r="G270" t="n">
        <v>99.09999999999999</v>
      </c>
    </row>
    <row r="271">
      <c r="A271" t="inlineStr">
        <is>
          <t>RESP0050</t>
        </is>
      </c>
      <c r="B271" t="inlineStr">
        <is>
          <t>Study flow 1</t>
        </is>
      </c>
      <c r="C271" t="n">
        <v>4</v>
      </c>
      <c r="D271" t="inlineStr">
        <is>
          <t>foodwaste_visual</t>
        </is>
      </c>
      <c r="E271" t="inlineStr">
        <is>
          <t>NA</t>
        </is>
      </c>
      <c r="F271" t="n">
        <v>96.90000000000001</v>
      </c>
      <c r="G271" t="n">
        <v>99.3</v>
      </c>
    </row>
    <row r="272">
      <c r="A272" t="inlineStr">
        <is>
          <t>RESP0050</t>
        </is>
      </c>
      <c r="B272" t="inlineStr">
        <is>
          <t>Study flow 1</t>
        </is>
      </c>
      <c r="C272" t="n">
        <v>5</v>
      </c>
      <c r="D272" t="inlineStr">
        <is>
          <t>infographic</t>
        </is>
      </c>
      <c r="E272" t="inlineStr">
        <is>
          <t>NA</t>
        </is>
      </c>
      <c r="F272" t="n">
        <v>93.7</v>
      </c>
      <c r="G272" t="n">
        <v>99.3</v>
      </c>
    </row>
    <row r="273">
      <c r="A273" t="inlineStr">
        <is>
          <t>RESP0050</t>
        </is>
      </c>
      <c r="B273" t="inlineStr">
        <is>
          <t>Study flow 1</t>
        </is>
      </c>
      <c r="C273" t="n">
        <v>6</v>
      </c>
      <c r="D273" t="inlineStr">
        <is>
          <t>Questionnaire</t>
        </is>
      </c>
      <c r="E273" t="inlineStr">
        <is>
          <t>NA</t>
        </is>
      </c>
      <c r="F273" t="n">
        <v>97.09999999999999</v>
      </c>
      <c r="G273" t="n">
        <v>99</v>
      </c>
    </row>
    <row r="274">
      <c r="A274" t="inlineStr">
        <is>
          <t>RESP0050</t>
        </is>
      </c>
      <c r="B274" t="inlineStr">
        <is>
          <t>Study flow 1</t>
        </is>
      </c>
      <c r="C274" t="n">
        <v>7</v>
      </c>
      <c r="D274" t="inlineStr">
        <is>
          <t>Post-study calibration</t>
        </is>
      </c>
      <c r="E274" t="n">
        <v>1.89</v>
      </c>
      <c r="F274" t="n">
        <v>96.40000000000001</v>
      </c>
      <c r="G274" t="n">
        <v>98.5</v>
      </c>
    </row>
    <row r="275">
      <c r="A275" t="inlineStr">
        <is>
          <t>RESP0052</t>
        </is>
      </c>
      <c r="B275" t="inlineStr">
        <is>
          <t>Study flow 2</t>
        </is>
      </c>
      <c r="C275" t="n">
        <v>1</v>
      </c>
      <c r="D275" t="inlineStr">
        <is>
          <t>Pre-study calibration</t>
        </is>
      </c>
      <c r="E275" t="n">
        <v>1.26</v>
      </c>
      <c r="F275" t="n">
        <v>96.09999999999999</v>
      </c>
      <c r="G275" t="n">
        <v>96.5</v>
      </c>
    </row>
    <row r="276">
      <c r="A276" t="inlineStr">
        <is>
          <t>RESP0052</t>
        </is>
      </c>
      <c r="B276" t="inlineStr">
        <is>
          <t>Study flow 2</t>
        </is>
      </c>
      <c r="C276" t="n">
        <v>2</v>
      </c>
      <c r="D276" t="inlineStr">
        <is>
          <t>Instructions1</t>
        </is>
      </c>
      <c r="E276" t="inlineStr">
        <is>
          <t>NA</t>
        </is>
      </c>
      <c r="F276" t="n">
        <v>98</v>
      </c>
      <c r="G276" t="n">
        <v>93.8</v>
      </c>
    </row>
    <row r="277">
      <c r="A277" t="inlineStr">
        <is>
          <t>RESP0052</t>
        </is>
      </c>
      <c r="B277" t="inlineStr">
        <is>
          <t>Study flow 2</t>
        </is>
      </c>
      <c r="C277" t="n">
        <v>3</v>
      </c>
      <c r="D277" t="inlineStr">
        <is>
          <t>foodwaste_visual</t>
        </is>
      </c>
      <c r="E277" t="inlineStr">
        <is>
          <t>NA</t>
        </is>
      </c>
      <c r="F277" t="n">
        <v>97.8</v>
      </c>
      <c r="G277" t="n">
        <v>94.90000000000001</v>
      </c>
    </row>
    <row r="278">
      <c r="A278" t="inlineStr">
        <is>
          <t>RESP0052</t>
        </is>
      </c>
      <c r="B278" t="inlineStr">
        <is>
          <t>Study flow 2</t>
        </is>
      </c>
      <c r="C278" t="n">
        <v>4</v>
      </c>
      <c r="D278" t="inlineStr">
        <is>
          <t>foodwaste_narrative</t>
        </is>
      </c>
      <c r="E278" t="inlineStr">
        <is>
          <t>NA</t>
        </is>
      </c>
      <c r="F278" t="n">
        <v>98</v>
      </c>
      <c r="G278" t="n">
        <v>94.7</v>
      </c>
    </row>
    <row r="279">
      <c r="A279" t="inlineStr">
        <is>
          <t>RESP0052</t>
        </is>
      </c>
      <c r="B279" t="inlineStr">
        <is>
          <t>Study flow 2</t>
        </is>
      </c>
      <c r="C279" t="n">
        <v>5</v>
      </c>
      <c r="D279" t="inlineStr">
        <is>
          <t>infographic</t>
        </is>
      </c>
      <c r="E279" t="inlineStr">
        <is>
          <t>NA</t>
        </is>
      </c>
      <c r="F279" t="n">
        <v>96.09999999999999</v>
      </c>
      <c r="G279" t="n">
        <v>95.59999999999999</v>
      </c>
    </row>
    <row r="280">
      <c r="A280" t="inlineStr">
        <is>
          <t>RESP0052</t>
        </is>
      </c>
      <c r="B280" t="inlineStr">
        <is>
          <t>Study flow 2</t>
        </is>
      </c>
      <c r="C280" t="n">
        <v>6</v>
      </c>
      <c r="D280" t="inlineStr">
        <is>
          <t>Questionnaire</t>
        </is>
      </c>
      <c r="E280" t="inlineStr">
        <is>
          <t>NA</t>
        </is>
      </c>
      <c r="F280" t="n">
        <v>95.7</v>
      </c>
      <c r="G280" t="n">
        <v>95.3</v>
      </c>
    </row>
    <row r="281">
      <c r="A281" t="inlineStr">
        <is>
          <t>RESP0052</t>
        </is>
      </c>
      <c r="B281" t="inlineStr">
        <is>
          <t>Study flow 2</t>
        </is>
      </c>
      <c r="C281" t="n">
        <v>7</v>
      </c>
      <c r="D281" t="inlineStr">
        <is>
          <t>Post-study calibration</t>
        </is>
      </c>
      <c r="E281" t="n">
        <v>0.77</v>
      </c>
      <c r="F281" t="n">
        <v>98.8</v>
      </c>
      <c r="G281" t="n">
        <v>94.8</v>
      </c>
    </row>
    <row r="282">
      <c r="A282" t="inlineStr">
        <is>
          <t>RESP0053</t>
        </is>
      </c>
      <c r="B282" t="inlineStr">
        <is>
          <t>Study flow 1</t>
        </is>
      </c>
      <c r="C282" t="n">
        <v>1</v>
      </c>
      <c r="D282" t="inlineStr">
        <is>
          <t>Pre-study calibration</t>
        </is>
      </c>
      <c r="E282" t="n">
        <v>0.75</v>
      </c>
      <c r="F282" t="n">
        <v>94.90000000000001</v>
      </c>
      <c r="G282" t="n">
        <v>98.5</v>
      </c>
    </row>
    <row r="283">
      <c r="A283" t="inlineStr">
        <is>
          <t>RESP0053</t>
        </is>
      </c>
      <c r="B283" t="inlineStr">
        <is>
          <t>Study flow 1</t>
        </is>
      </c>
      <c r="C283" t="n">
        <v>2</v>
      </c>
      <c r="D283" t="inlineStr">
        <is>
          <t>Instructions1</t>
        </is>
      </c>
      <c r="E283" t="inlineStr">
        <is>
          <t>NA</t>
        </is>
      </c>
      <c r="F283" t="n">
        <v>95.59999999999999</v>
      </c>
      <c r="G283" t="n">
        <v>98.8</v>
      </c>
    </row>
    <row r="284">
      <c r="A284" t="inlineStr">
        <is>
          <t>RESP0053</t>
        </is>
      </c>
      <c r="B284" t="inlineStr">
        <is>
          <t>Study flow 1</t>
        </is>
      </c>
      <c r="C284" t="n">
        <v>3</v>
      </c>
      <c r="D284" t="inlineStr">
        <is>
          <t>foodwaste_narrative</t>
        </is>
      </c>
      <c r="E284" t="inlineStr">
        <is>
          <t>NA</t>
        </is>
      </c>
      <c r="F284" t="n">
        <v>97.09999999999999</v>
      </c>
      <c r="G284" t="n">
        <v>99.2</v>
      </c>
    </row>
    <row r="285">
      <c r="A285" t="inlineStr">
        <is>
          <t>RESP0053</t>
        </is>
      </c>
      <c r="B285" t="inlineStr">
        <is>
          <t>Study flow 1</t>
        </is>
      </c>
      <c r="C285" t="n">
        <v>4</v>
      </c>
      <c r="D285" t="inlineStr">
        <is>
          <t>foodwaste_visual</t>
        </is>
      </c>
      <c r="E285" t="inlineStr">
        <is>
          <t>NA</t>
        </is>
      </c>
      <c r="F285" t="n">
        <v>92</v>
      </c>
      <c r="G285" t="n">
        <v>97.59999999999999</v>
      </c>
    </row>
    <row r="286">
      <c r="A286" t="inlineStr">
        <is>
          <t>RESP0053</t>
        </is>
      </c>
      <c r="B286" t="inlineStr">
        <is>
          <t>Study flow 1</t>
        </is>
      </c>
      <c r="C286" t="n">
        <v>5</v>
      </c>
      <c r="D286" t="inlineStr">
        <is>
          <t>infographic</t>
        </is>
      </c>
      <c r="E286" t="inlineStr">
        <is>
          <t>NA</t>
        </is>
      </c>
      <c r="F286" t="n">
        <v>96.7</v>
      </c>
      <c r="G286" t="n">
        <v>98.40000000000001</v>
      </c>
    </row>
    <row r="287">
      <c r="A287" t="inlineStr">
        <is>
          <t>RESP0053</t>
        </is>
      </c>
      <c r="B287" t="inlineStr">
        <is>
          <t>Study flow 1</t>
        </is>
      </c>
      <c r="C287" t="n">
        <v>6</v>
      </c>
      <c r="D287" t="inlineStr">
        <is>
          <t>Questionnaire</t>
        </is>
      </c>
      <c r="E287" t="inlineStr">
        <is>
          <t>NA</t>
        </is>
      </c>
      <c r="F287" t="n">
        <v>96.3</v>
      </c>
      <c r="G287" t="n">
        <v>98.8</v>
      </c>
    </row>
    <row r="288">
      <c r="A288" t="inlineStr">
        <is>
          <t>RESP0053</t>
        </is>
      </c>
      <c r="B288" t="inlineStr">
        <is>
          <t>Study flow 1</t>
        </is>
      </c>
      <c r="C288" t="n">
        <v>7</v>
      </c>
      <c r="D288" t="inlineStr">
        <is>
          <t>Post-study calibration</t>
        </is>
      </c>
      <c r="E288" t="n">
        <v>0.78</v>
      </c>
      <c r="F288" t="n">
        <v>96.7</v>
      </c>
      <c r="G288" t="n">
        <v>98.59999999999999</v>
      </c>
    </row>
    <row r="289">
      <c r="A289" t="inlineStr">
        <is>
          <t>RESP0055</t>
        </is>
      </c>
      <c r="B289" t="inlineStr">
        <is>
          <t>Study flow 2</t>
        </is>
      </c>
      <c r="C289" t="n">
        <v>1</v>
      </c>
      <c r="D289" t="inlineStr">
        <is>
          <t>Pre-study calibration</t>
        </is>
      </c>
      <c r="E289" t="n">
        <v>1.55</v>
      </c>
      <c r="F289" t="n">
        <v>98.2</v>
      </c>
      <c r="G289" t="n">
        <v>96.40000000000001</v>
      </c>
    </row>
    <row r="290">
      <c r="A290" t="inlineStr">
        <is>
          <t>RESP0055</t>
        </is>
      </c>
      <c r="B290" t="inlineStr">
        <is>
          <t>Study flow 2</t>
        </is>
      </c>
      <c r="C290" t="n">
        <v>2</v>
      </c>
      <c r="D290" t="inlineStr">
        <is>
          <t>Instructions1</t>
        </is>
      </c>
      <c r="E290" t="inlineStr">
        <is>
          <t>NA</t>
        </is>
      </c>
      <c r="F290" t="n">
        <v>96</v>
      </c>
      <c r="G290" t="n">
        <v>97.8</v>
      </c>
    </row>
    <row r="291">
      <c r="A291" t="inlineStr">
        <is>
          <t>RESP0055</t>
        </is>
      </c>
      <c r="B291" t="inlineStr">
        <is>
          <t>Study flow 2</t>
        </is>
      </c>
      <c r="C291" t="n">
        <v>3</v>
      </c>
      <c r="D291" t="inlineStr">
        <is>
          <t>foodwaste_visual</t>
        </is>
      </c>
      <c r="E291" t="inlineStr">
        <is>
          <t>NA</t>
        </is>
      </c>
      <c r="F291" t="n">
        <v>98.40000000000001</v>
      </c>
      <c r="G291" t="n">
        <v>97.40000000000001</v>
      </c>
    </row>
    <row r="292">
      <c r="A292" t="inlineStr">
        <is>
          <t>RESP0055</t>
        </is>
      </c>
      <c r="B292" t="inlineStr">
        <is>
          <t>Study flow 2</t>
        </is>
      </c>
      <c r="C292" t="n">
        <v>4</v>
      </c>
      <c r="D292" t="inlineStr">
        <is>
          <t>foodwaste_narrative</t>
        </is>
      </c>
      <c r="E292" t="inlineStr">
        <is>
          <t>NA</t>
        </is>
      </c>
      <c r="F292" t="n">
        <v>96.8</v>
      </c>
      <c r="G292" t="n">
        <v>97.8</v>
      </c>
    </row>
    <row r="293">
      <c r="A293" t="inlineStr">
        <is>
          <t>RESP0055</t>
        </is>
      </c>
      <c r="B293" t="inlineStr">
        <is>
          <t>Study flow 2</t>
        </is>
      </c>
      <c r="C293" t="n">
        <v>5</v>
      </c>
      <c r="D293" t="inlineStr">
        <is>
          <t>infographic</t>
        </is>
      </c>
      <c r="E293" t="inlineStr">
        <is>
          <t>NA</t>
        </is>
      </c>
      <c r="F293" t="n">
        <v>96.7</v>
      </c>
      <c r="G293" t="n">
        <v>98.2</v>
      </c>
    </row>
    <row r="294">
      <c r="A294" t="inlineStr">
        <is>
          <t>RESP0055</t>
        </is>
      </c>
      <c r="B294" t="inlineStr">
        <is>
          <t>Study flow 2</t>
        </is>
      </c>
      <c r="C294" t="n">
        <v>6</v>
      </c>
      <c r="D294" t="inlineStr">
        <is>
          <t>Questionnaire</t>
        </is>
      </c>
      <c r="E294" t="inlineStr">
        <is>
          <t>NA</t>
        </is>
      </c>
      <c r="F294" t="n">
        <v>97.8</v>
      </c>
      <c r="G294" t="n">
        <v>97.2</v>
      </c>
    </row>
    <row r="295">
      <c r="A295" t="inlineStr">
        <is>
          <t>RESP0055</t>
        </is>
      </c>
      <c r="B295" t="inlineStr">
        <is>
          <t>Study flow 2</t>
        </is>
      </c>
      <c r="C295" t="n">
        <v>7</v>
      </c>
      <c r="D295" t="inlineStr">
        <is>
          <t>Post-study calibration</t>
        </is>
      </c>
      <c r="E295" t="n">
        <v>1.58</v>
      </c>
      <c r="F295" t="n">
        <v>98.3</v>
      </c>
      <c r="G295" t="n">
        <v>95.8</v>
      </c>
    </row>
    <row r="296">
      <c r="A296" t="inlineStr">
        <is>
          <t>RESP0056</t>
        </is>
      </c>
      <c r="B296" t="inlineStr">
        <is>
          <t>Study flow 2</t>
        </is>
      </c>
      <c r="C296" t="n">
        <v>1</v>
      </c>
      <c r="D296" t="inlineStr">
        <is>
          <t>Pre-study calibration</t>
        </is>
      </c>
      <c r="E296" t="n">
        <v>2.24</v>
      </c>
      <c r="F296" t="n">
        <v>98.5</v>
      </c>
      <c r="G296" t="n">
        <v>98.5</v>
      </c>
    </row>
    <row r="297">
      <c r="A297" t="inlineStr">
        <is>
          <t>RESP0056</t>
        </is>
      </c>
      <c r="B297" t="inlineStr">
        <is>
          <t>Study flow 2</t>
        </is>
      </c>
      <c r="C297" t="n">
        <v>2</v>
      </c>
      <c r="D297" t="inlineStr">
        <is>
          <t>Instructions1</t>
        </is>
      </c>
      <c r="E297" t="inlineStr">
        <is>
          <t>NA</t>
        </is>
      </c>
      <c r="F297" t="n">
        <v>98.7</v>
      </c>
      <c r="G297" t="n">
        <v>98.7</v>
      </c>
    </row>
    <row r="298">
      <c r="A298" t="inlineStr">
        <is>
          <t>RESP0056</t>
        </is>
      </c>
      <c r="B298" t="inlineStr">
        <is>
          <t>Study flow 2</t>
        </is>
      </c>
      <c r="C298" t="n">
        <v>3</v>
      </c>
      <c r="D298" t="inlineStr">
        <is>
          <t>foodwaste_visual</t>
        </is>
      </c>
      <c r="E298" t="inlineStr">
        <is>
          <t>NA</t>
        </is>
      </c>
      <c r="F298" t="n">
        <v>98.90000000000001</v>
      </c>
      <c r="G298" t="n">
        <v>99.59999999999999</v>
      </c>
    </row>
    <row r="299">
      <c r="A299" t="inlineStr">
        <is>
          <t>RESP0056</t>
        </is>
      </c>
      <c r="B299" t="inlineStr">
        <is>
          <t>Study flow 2</t>
        </is>
      </c>
      <c r="C299" t="n">
        <v>4</v>
      </c>
      <c r="D299" t="inlineStr">
        <is>
          <t>foodwaste_narrative</t>
        </is>
      </c>
      <c r="E299" t="inlineStr">
        <is>
          <t>NA</t>
        </is>
      </c>
      <c r="F299" t="n">
        <v>96.40000000000001</v>
      </c>
      <c r="G299" t="n">
        <v>99</v>
      </c>
    </row>
    <row r="300">
      <c r="A300" t="inlineStr">
        <is>
          <t>RESP0056</t>
        </is>
      </c>
      <c r="B300" t="inlineStr">
        <is>
          <t>Study flow 2</t>
        </is>
      </c>
      <c r="C300" t="n">
        <v>5</v>
      </c>
      <c r="D300" t="inlineStr">
        <is>
          <t>infographic</t>
        </is>
      </c>
      <c r="E300" t="inlineStr">
        <is>
          <t>NA</t>
        </is>
      </c>
      <c r="F300" t="n">
        <v>97.09999999999999</v>
      </c>
      <c r="G300" t="n">
        <v>98.8</v>
      </c>
    </row>
    <row r="301">
      <c r="A301" t="inlineStr">
        <is>
          <t>RESP0056</t>
        </is>
      </c>
      <c r="B301" t="inlineStr">
        <is>
          <t>Study flow 2</t>
        </is>
      </c>
      <c r="C301" t="n">
        <v>6</v>
      </c>
      <c r="D301" t="inlineStr">
        <is>
          <t>Questionnaire</t>
        </is>
      </c>
      <c r="E301" t="inlineStr">
        <is>
          <t>NA</t>
        </is>
      </c>
      <c r="F301" t="n">
        <v>98.2</v>
      </c>
      <c r="G301" t="n">
        <v>99</v>
      </c>
    </row>
    <row r="302">
      <c r="A302" t="inlineStr">
        <is>
          <t>RESP0056</t>
        </is>
      </c>
      <c r="B302" t="inlineStr">
        <is>
          <t>Study flow 2</t>
        </is>
      </c>
      <c r="C302" t="n">
        <v>7</v>
      </c>
      <c r="D302" t="inlineStr">
        <is>
          <t>Post-study calibration</t>
        </is>
      </c>
      <c r="E302" t="n">
        <v>3.69</v>
      </c>
      <c r="F302" t="n">
        <v>98.5</v>
      </c>
      <c r="G302" t="n">
        <v>99</v>
      </c>
    </row>
    <row r="303">
      <c r="A303" t="inlineStr">
        <is>
          <t>RESP0058</t>
        </is>
      </c>
      <c r="B303" t="inlineStr">
        <is>
          <t>Study flow 2</t>
        </is>
      </c>
      <c r="C303" t="n">
        <v>1</v>
      </c>
      <c r="D303" t="inlineStr">
        <is>
          <t>Pre-study calibration</t>
        </is>
      </c>
      <c r="E303" t="n">
        <v>1.01</v>
      </c>
      <c r="F303" t="n">
        <v>97.59999999999999</v>
      </c>
      <c r="G303" t="n">
        <v>99</v>
      </c>
    </row>
    <row r="304">
      <c r="A304" t="inlineStr">
        <is>
          <t>RESP0058</t>
        </is>
      </c>
      <c r="B304" t="inlineStr">
        <is>
          <t>Study flow 2</t>
        </is>
      </c>
      <c r="C304" t="n">
        <v>2</v>
      </c>
      <c r="D304" t="inlineStr">
        <is>
          <t>Instructions1</t>
        </is>
      </c>
      <c r="E304" t="inlineStr">
        <is>
          <t>NA</t>
        </is>
      </c>
      <c r="F304" t="n">
        <v>97.7</v>
      </c>
      <c r="G304" t="n">
        <v>99.09999999999999</v>
      </c>
    </row>
    <row r="305">
      <c r="A305" t="inlineStr">
        <is>
          <t>RESP0058</t>
        </is>
      </c>
      <c r="B305" t="inlineStr">
        <is>
          <t>Study flow 2</t>
        </is>
      </c>
      <c r="C305" t="n">
        <v>3</v>
      </c>
      <c r="D305" t="inlineStr">
        <is>
          <t>foodwaste_visual</t>
        </is>
      </c>
      <c r="E305" t="inlineStr">
        <is>
          <t>NA</t>
        </is>
      </c>
      <c r="F305" t="n">
        <v>95.09999999999999</v>
      </c>
      <c r="G305" t="n">
        <v>99.09999999999999</v>
      </c>
    </row>
    <row r="306">
      <c r="A306" t="inlineStr">
        <is>
          <t>RESP0058</t>
        </is>
      </c>
      <c r="B306" t="inlineStr">
        <is>
          <t>Study flow 2</t>
        </is>
      </c>
      <c r="C306" t="n">
        <v>4</v>
      </c>
      <c r="D306" t="inlineStr">
        <is>
          <t>foodwaste_narrative</t>
        </is>
      </c>
      <c r="E306" t="inlineStr">
        <is>
          <t>NA</t>
        </is>
      </c>
      <c r="F306" t="n">
        <v>97.90000000000001</v>
      </c>
      <c r="G306" t="n">
        <v>99.3</v>
      </c>
    </row>
    <row r="307">
      <c r="A307" t="inlineStr">
        <is>
          <t>RESP0058</t>
        </is>
      </c>
      <c r="B307" t="inlineStr">
        <is>
          <t>Study flow 2</t>
        </is>
      </c>
      <c r="C307" t="n">
        <v>5</v>
      </c>
      <c r="D307" t="inlineStr">
        <is>
          <t>infographic</t>
        </is>
      </c>
      <c r="E307" t="inlineStr">
        <is>
          <t>NA</t>
        </is>
      </c>
      <c r="F307" t="n">
        <v>98.8</v>
      </c>
      <c r="G307" t="n">
        <v>99.2</v>
      </c>
    </row>
    <row r="308">
      <c r="A308" t="inlineStr">
        <is>
          <t>RESP0058</t>
        </is>
      </c>
      <c r="B308" t="inlineStr">
        <is>
          <t>Study flow 2</t>
        </is>
      </c>
      <c r="C308" t="n">
        <v>6</v>
      </c>
      <c r="D308" t="inlineStr">
        <is>
          <t>Questionnaire</t>
        </is>
      </c>
      <c r="E308" t="inlineStr">
        <is>
          <t>NA</t>
        </is>
      </c>
      <c r="F308" t="n">
        <v>98.2</v>
      </c>
      <c r="G308" t="n">
        <v>98.8</v>
      </c>
    </row>
    <row r="309">
      <c r="A309" t="inlineStr">
        <is>
          <t>RESP0058</t>
        </is>
      </c>
      <c r="B309" t="inlineStr">
        <is>
          <t>Study flow 2</t>
        </is>
      </c>
      <c r="C309" t="n">
        <v>7</v>
      </c>
      <c r="D309" t="inlineStr">
        <is>
          <t>Post-study calibration</t>
        </is>
      </c>
      <c r="E309" t="n">
        <v>2.43</v>
      </c>
      <c r="F309" t="n">
        <v>96.40000000000001</v>
      </c>
      <c r="G309" t="n">
        <v>99.09999999999999</v>
      </c>
    </row>
    <row r="310">
      <c r="A310" t="inlineStr">
        <is>
          <t>RESP0059</t>
        </is>
      </c>
      <c r="B310" t="inlineStr">
        <is>
          <t>Study flow 1</t>
        </is>
      </c>
      <c r="C310" t="n">
        <v>1</v>
      </c>
      <c r="D310" t="inlineStr">
        <is>
          <t>Pre-study calibration</t>
        </is>
      </c>
      <c r="E310" t="n">
        <v>0.61</v>
      </c>
      <c r="F310" t="n">
        <v>94.2</v>
      </c>
      <c r="G310" t="n">
        <v>94.90000000000001</v>
      </c>
    </row>
    <row r="311">
      <c r="A311" t="inlineStr">
        <is>
          <t>RESP0059</t>
        </is>
      </c>
      <c r="B311" t="inlineStr">
        <is>
          <t>Study flow 1</t>
        </is>
      </c>
      <c r="C311" t="n">
        <v>2</v>
      </c>
      <c r="D311" t="inlineStr">
        <is>
          <t>Instructions1</t>
        </is>
      </c>
      <c r="E311" t="inlineStr">
        <is>
          <t>NA</t>
        </is>
      </c>
      <c r="F311" t="n">
        <v>91.90000000000001</v>
      </c>
      <c r="G311" t="n">
        <v>96.40000000000001</v>
      </c>
    </row>
    <row r="312">
      <c r="A312" t="inlineStr">
        <is>
          <t>RESP0059</t>
        </is>
      </c>
      <c r="B312" t="inlineStr">
        <is>
          <t>Study flow 1</t>
        </is>
      </c>
      <c r="C312" t="n">
        <v>3</v>
      </c>
      <c r="D312" t="inlineStr">
        <is>
          <t>foodwaste_narrative</t>
        </is>
      </c>
      <c r="E312" t="inlineStr">
        <is>
          <t>NA</t>
        </is>
      </c>
      <c r="F312" t="n">
        <v>90.5</v>
      </c>
      <c r="G312" t="n">
        <v>94.90000000000001</v>
      </c>
    </row>
    <row r="313">
      <c r="A313" t="inlineStr">
        <is>
          <t>RESP0059</t>
        </is>
      </c>
      <c r="B313" t="inlineStr">
        <is>
          <t>Study flow 1</t>
        </is>
      </c>
      <c r="C313" t="n">
        <v>4</v>
      </c>
      <c r="D313" t="inlineStr">
        <is>
          <t>foodwaste_visual</t>
        </is>
      </c>
      <c r="E313" t="inlineStr">
        <is>
          <t>NA</t>
        </is>
      </c>
      <c r="F313" t="n">
        <v>96</v>
      </c>
      <c r="G313" t="n">
        <v>93.09999999999999</v>
      </c>
    </row>
    <row r="314">
      <c r="A314" t="inlineStr">
        <is>
          <t>RESP0059</t>
        </is>
      </c>
      <c r="B314" t="inlineStr">
        <is>
          <t>Study flow 1</t>
        </is>
      </c>
      <c r="C314" t="n">
        <v>5</v>
      </c>
      <c r="D314" t="inlineStr">
        <is>
          <t>infographic</t>
        </is>
      </c>
      <c r="E314" t="inlineStr">
        <is>
          <t>NA</t>
        </is>
      </c>
      <c r="F314" t="n">
        <v>95.90000000000001</v>
      </c>
      <c r="G314" t="n">
        <v>93</v>
      </c>
    </row>
    <row r="315">
      <c r="A315" t="inlineStr">
        <is>
          <t>RESP0059</t>
        </is>
      </c>
      <c r="B315" t="inlineStr">
        <is>
          <t>Study flow 1</t>
        </is>
      </c>
      <c r="C315" t="n">
        <v>6</v>
      </c>
      <c r="D315" t="inlineStr">
        <is>
          <t>Questionnaire</t>
        </is>
      </c>
      <c r="E315" t="inlineStr">
        <is>
          <t>NA</t>
        </is>
      </c>
      <c r="F315" t="n">
        <v>96.40000000000001</v>
      </c>
      <c r="G315" t="n">
        <v>94.7</v>
      </c>
    </row>
    <row r="316">
      <c r="A316" t="inlineStr">
        <is>
          <t>RESP0059</t>
        </is>
      </c>
      <c r="B316" t="inlineStr">
        <is>
          <t>Study flow 1</t>
        </is>
      </c>
      <c r="C316" t="n">
        <v>7</v>
      </c>
      <c r="D316" t="inlineStr">
        <is>
          <t>Post-study calibration</t>
        </is>
      </c>
      <c r="E316" t="n">
        <v>1.55</v>
      </c>
      <c r="F316" t="n">
        <v>96.59999999999999</v>
      </c>
      <c r="G316" t="n">
        <v>92.7</v>
      </c>
    </row>
    <row r="317">
      <c r="A317" t="inlineStr">
        <is>
          <t>RESP0061</t>
        </is>
      </c>
      <c r="B317" t="inlineStr">
        <is>
          <t>Study flow 2</t>
        </is>
      </c>
      <c r="C317" t="n">
        <v>1</v>
      </c>
      <c r="D317" t="inlineStr">
        <is>
          <t>Pre-study calibration</t>
        </is>
      </c>
      <c r="E317" t="n">
        <v>0.88</v>
      </c>
      <c r="F317" t="n">
        <v>99.7</v>
      </c>
      <c r="G317" t="n">
        <v>99.90000000000001</v>
      </c>
    </row>
    <row r="318">
      <c r="A318" t="inlineStr">
        <is>
          <t>RESP0061</t>
        </is>
      </c>
      <c r="B318" t="inlineStr">
        <is>
          <t>Study flow 2</t>
        </is>
      </c>
      <c r="C318" t="n">
        <v>2</v>
      </c>
      <c r="D318" t="inlineStr">
        <is>
          <t>Instructions1</t>
        </is>
      </c>
      <c r="E318" t="inlineStr">
        <is>
          <t>NA</t>
        </is>
      </c>
      <c r="F318" t="n">
        <v>99.40000000000001</v>
      </c>
      <c r="G318" t="n">
        <v>99.90000000000001</v>
      </c>
    </row>
    <row r="319">
      <c r="A319" t="inlineStr">
        <is>
          <t>RESP0061</t>
        </is>
      </c>
      <c r="B319" t="inlineStr">
        <is>
          <t>Study flow 2</t>
        </is>
      </c>
      <c r="C319" t="n">
        <v>3</v>
      </c>
      <c r="D319" t="inlineStr">
        <is>
          <t>foodwaste_visual</t>
        </is>
      </c>
      <c r="E319" t="inlineStr">
        <is>
          <t>NA</t>
        </is>
      </c>
      <c r="F319" t="n">
        <v>99.40000000000001</v>
      </c>
      <c r="G319" t="n">
        <v>99.90000000000001</v>
      </c>
    </row>
    <row r="320">
      <c r="A320" t="inlineStr">
        <is>
          <t>RESP0061</t>
        </is>
      </c>
      <c r="B320" t="inlineStr">
        <is>
          <t>Study flow 2</t>
        </is>
      </c>
      <c r="C320" t="n">
        <v>4</v>
      </c>
      <c r="D320" t="inlineStr">
        <is>
          <t>foodwaste_narrative</t>
        </is>
      </c>
      <c r="E320" t="inlineStr">
        <is>
          <t>NA</t>
        </is>
      </c>
      <c r="F320" t="n">
        <v>99.3</v>
      </c>
      <c r="G320" t="n">
        <v>99.8</v>
      </c>
    </row>
    <row r="321">
      <c r="A321" t="inlineStr">
        <is>
          <t>RESP0061</t>
        </is>
      </c>
      <c r="B321" t="inlineStr">
        <is>
          <t>Study flow 2</t>
        </is>
      </c>
      <c r="C321" t="n">
        <v>5</v>
      </c>
      <c r="D321" t="inlineStr">
        <is>
          <t>infographic</t>
        </is>
      </c>
      <c r="E321" t="inlineStr">
        <is>
          <t>NA</t>
        </is>
      </c>
      <c r="F321" t="n">
        <v>99.59999999999999</v>
      </c>
      <c r="G321" t="n">
        <v>99.90000000000001</v>
      </c>
    </row>
    <row r="322">
      <c r="A322" t="inlineStr">
        <is>
          <t>RESP0061</t>
        </is>
      </c>
      <c r="B322" t="inlineStr">
        <is>
          <t>Study flow 2</t>
        </is>
      </c>
      <c r="C322" t="n">
        <v>6</v>
      </c>
      <c r="D322" t="inlineStr">
        <is>
          <t>Questionnaire</t>
        </is>
      </c>
      <c r="E322" t="inlineStr">
        <is>
          <t>NA</t>
        </is>
      </c>
      <c r="F322" t="n">
        <v>99.5</v>
      </c>
      <c r="G322" t="n">
        <v>99.90000000000001</v>
      </c>
    </row>
    <row r="323">
      <c r="A323" t="inlineStr">
        <is>
          <t>RESP0061</t>
        </is>
      </c>
      <c r="B323" t="inlineStr">
        <is>
          <t>Study flow 2</t>
        </is>
      </c>
      <c r="C323" t="n">
        <v>7</v>
      </c>
      <c r="D323" t="inlineStr">
        <is>
          <t>Post-study calibration</t>
        </is>
      </c>
      <c r="E323" t="n">
        <v>1.42</v>
      </c>
      <c r="F323" t="n">
        <v>99.5</v>
      </c>
      <c r="G323" t="n">
        <v>99.8</v>
      </c>
    </row>
    <row r="324">
      <c r="A324" t="inlineStr">
        <is>
          <t>RESP0062</t>
        </is>
      </c>
      <c r="B324" t="inlineStr">
        <is>
          <t>Study flow 2</t>
        </is>
      </c>
      <c r="C324" t="n">
        <v>1</v>
      </c>
      <c r="D324" t="inlineStr">
        <is>
          <t>Pre-study calibration</t>
        </is>
      </c>
      <c r="E324" t="n">
        <v>0.79</v>
      </c>
      <c r="F324" t="n">
        <v>96.90000000000001</v>
      </c>
      <c r="G324" t="n">
        <v>89.7</v>
      </c>
    </row>
    <row r="325">
      <c r="A325" t="inlineStr">
        <is>
          <t>RESP0062</t>
        </is>
      </c>
      <c r="B325" t="inlineStr">
        <is>
          <t>Study flow 2</t>
        </is>
      </c>
      <c r="C325" t="n">
        <v>2</v>
      </c>
      <c r="D325" t="inlineStr">
        <is>
          <t>Instructions1</t>
        </is>
      </c>
      <c r="E325" t="inlineStr">
        <is>
          <t>NA</t>
        </is>
      </c>
      <c r="F325" t="n">
        <v>95.90000000000001</v>
      </c>
      <c r="G325" t="n">
        <v>92.2</v>
      </c>
    </row>
    <row r="326">
      <c r="A326" t="inlineStr">
        <is>
          <t>RESP0062</t>
        </is>
      </c>
      <c r="B326" t="inlineStr">
        <is>
          <t>Study flow 2</t>
        </is>
      </c>
      <c r="C326" t="n">
        <v>3</v>
      </c>
      <c r="D326" t="inlineStr">
        <is>
          <t>foodwaste_visual</t>
        </is>
      </c>
      <c r="E326" t="inlineStr">
        <is>
          <t>NA</t>
        </is>
      </c>
      <c r="F326" t="n">
        <v>97</v>
      </c>
      <c r="G326" t="n">
        <v>94.2</v>
      </c>
    </row>
    <row r="327">
      <c r="A327" t="inlineStr">
        <is>
          <t>RESP0062</t>
        </is>
      </c>
      <c r="B327" t="inlineStr">
        <is>
          <t>Study flow 2</t>
        </is>
      </c>
      <c r="C327" t="n">
        <v>4</v>
      </c>
      <c r="D327" t="inlineStr">
        <is>
          <t>foodwaste_narrative</t>
        </is>
      </c>
      <c r="E327" t="inlineStr">
        <is>
          <t>NA</t>
        </is>
      </c>
      <c r="F327" t="n">
        <v>94.09999999999999</v>
      </c>
      <c r="G327" t="n">
        <v>94.7</v>
      </c>
    </row>
    <row r="328">
      <c r="A328" t="inlineStr">
        <is>
          <t>RESP0062</t>
        </is>
      </c>
      <c r="B328" t="inlineStr">
        <is>
          <t>Study flow 2</t>
        </is>
      </c>
      <c r="C328" t="n">
        <v>5</v>
      </c>
      <c r="D328" t="inlineStr">
        <is>
          <t>infographic</t>
        </is>
      </c>
      <c r="E328" t="inlineStr">
        <is>
          <t>NA</t>
        </is>
      </c>
      <c r="F328" t="n">
        <v>96.3</v>
      </c>
      <c r="G328" t="n">
        <v>89</v>
      </c>
    </row>
    <row r="329">
      <c r="A329" t="inlineStr">
        <is>
          <t>RESP0062</t>
        </is>
      </c>
      <c r="B329" t="inlineStr">
        <is>
          <t>Study flow 2</t>
        </is>
      </c>
      <c r="C329" t="n">
        <v>6</v>
      </c>
      <c r="D329" t="inlineStr">
        <is>
          <t>Questionnaire</t>
        </is>
      </c>
      <c r="E329" t="inlineStr">
        <is>
          <t>NA</t>
        </is>
      </c>
      <c r="F329" t="n">
        <v>97.5</v>
      </c>
      <c r="G329" t="n">
        <v>79.40000000000001</v>
      </c>
    </row>
    <row r="330">
      <c r="A330" t="inlineStr">
        <is>
          <t>RESP0062</t>
        </is>
      </c>
      <c r="B330" t="inlineStr">
        <is>
          <t>Study flow 2</t>
        </is>
      </c>
      <c r="C330" t="n">
        <v>7</v>
      </c>
      <c r="D330" t="inlineStr">
        <is>
          <t>Post-study calibration</t>
        </is>
      </c>
      <c r="E330" t="n">
        <v>1.93</v>
      </c>
      <c r="F330" t="n">
        <v>94.5</v>
      </c>
      <c r="G330" t="n">
        <v>88.40000000000001</v>
      </c>
    </row>
    <row r="331">
      <c r="A331" t="inlineStr">
        <is>
          <t>RESP0063</t>
        </is>
      </c>
      <c r="B331" t="inlineStr">
        <is>
          <t>Study flow 2</t>
        </is>
      </c>
      <c r="C331" t="n">
        <v>1</v>
      </c>
      <c r="D331" t="inlineStr">
        <is>
          <t>Pre-study calibration</t>
        </is>
      </c>
      <c r="E331" t="n">
        <v>2.14</v>
      </c>
      <c r="F331" t="n">
        <v>88.40000000000001</v>
      </c>
      <c r="G331" t="n">
        <v>95.90000000000001</v>
      </c>
    </row>
    <row r="332">
      <c r="A332" t="inlineStr">
        <is>
          <t>RESP0063</t>
        </is>
      </c>
      <c r="B332" t="inlineStr">
        <is>
          <t>Study flow 2</t>
        </is>
      </c>
      <c r="C332" t="n">
        <v>2</v>
      </c>
      <c r="D332" t="inlineStr">
        <is>
          <t>Instructions1</t>
        </is>
      </c>
      <c r="E332" t="inlineStr">
        <is>
          <t>NA</t>
        </is>
      </c>
      <c r="F332" t="n">
        <v>93.3</v>
      </c>
      <c r="G332" t="n">
        <v>95.90000000000001</v>
      </c>
    </row>
    <row r="333">
      <c r="A333" t="inlineStr">
        <is>
          <t>RESP0063</t>
        </is>
      </c>
      <c r="B333" t="inlineStr">
        <is>
          <t>Study flow 2</t>
        </is>
      </c>
      <c r="C333" t="n">
        <v>3</v>
      </c>
      <c r="D333" t="inlineStr">
        <is>
          <t>foodwaste_visual</t>
        </is>
      </c>
      <c r="E333" t="inlineStr">
        <is>
          <t>NA</t>
        </is>
      </c>
      <c r="F333" t="n">
        <v>92.5</v>
      </c>
      <c r="G333" t="n">
        <v>96.8</v>
      </c>
    </row>
    <row r="334">
      <c r="A334" t="inlineStr">
        <is>
          <t>RESP0063</t>
        </is>
      </c>
      <c r="B334" t="inlineStr">
        <is>
          <t>Study flow 2</t>
        </is>
      </c>
      <c r="C334" t="n">
        <v>4</v>
      </c>
      <c r="D334" t="inlineStr">
        <is>
          <t>foodwaste_narrative</t>
        </is>
      </c>
      <c r="E334" t="inlineStr">
        <is>
          <t>NA</t>
        </is>
      </c>
      <c r="F334" t="n">
        <v>85.40000000000001</v>
      </c>
      <c r="G334" t="n">
        <v>91.90000000000001</v>
      </c>
    </row>
    <row r="335">
      <c r="A335" t="inlineStr">
        <is>
          <t>RESP0063</t>
        </is>
      </c>
      <c r="B335" t="inlineStr">
        <is>
          <t>Study flow 2</t>
        </is>
      </c>
      <c r="C335" t="n">
        <v>5</v>
      </c>
      <c r="D335" t="inlineStr">
        <is>
          <t>infographic</t>
        </is>
      </c>
      <c r="E335" t="inlineStr">
        <is>
          <t>NA</t>
        </is>
      </c>
      <c r="F335" t="n">
        <v>91.7</v>
      </c>
      <c r="G335" t="n">
        <v>97.8</v>
      </c>
    </row>
    <row r="336">
      <c r="A336" t="inlineStr">
        <is>
          <t>RESP0063</t>
        </is>
      </c>
      <c r="B336" t="inlineStr">
        <is>
          <t>Study flow 2</t>
        </is>
      </c>
      <c r="C336" t="n">
        <v>6</v>
      </c>
      <c r="D336" t="inlineStr">
        <is>
          <t>Questionnaire</t>
        </is>
      </c>
      <c r="E336" t="inlineStr">
        <is>
          <t>NA</t>
        </is>
      </c>
      <c r="F336" t="n">
        <v>93.3</v>
      </c>
      <c r="G336" t="n">
        <v>96.09999999999999</v>
      </c>
    </row>
    <row r="337">
      <c r="A337" t="inlineStr">
        <is>
          <t>RESP0063</t>
        </is>
      </c>
      <c r="B337" t="inlineStr">
        <is>
          <t>Study flow 2</t>
        </is>
      </c>
      <c r="C337" t="n">
        <v>7</v>
      </c>
      <c r="D337" t="inlineStr">
        <is>
          <t>Post-study calibration</t>
        </is>
      </c>
      <c r="E337" t="n">
        <v>3.13</v>
      </c>
      <c r="F337" t="n">
        <v>91.40000000000001</v>
      </c>
      <c r="G337" t="n">
        <v>97.09999999999999</v>
      </c>
    </row>
    <row r="338">
      <c r="A338" t="inlineStr">
        <is>
          <t>RESP0064</t>
        </is>
      </c>
      <c r="B338" t="inlineStr">
        <is>
          <t>Study flow 2</t>
        </is>
      </c>
      <c r="C338" t="n">
        <v>1</v>
      </c>
      <c r="D338" t="inlineStr">
        <is>
          <t>Pre-study calibration</t>
        </is>
      </c>
      <c r="E338" t="n">
        <v>1.27</v>
      </c>
      <c r="F338" t="n">
        <v>99.09999999999999</v>
      </c>
      <c r="G338" t="n">
        <v>99.09999999999999</v>
      </c>
    </row>
    <row r="339">
      <c r="A339" t="inlineStr">
        <is>
          <t>RESP0064</t>
        </is>
      </c>
      <c r="B339" t="inlineStr">
        <is>
          <t>Study flow 2</t>
        </is>
      </c>
      <c r="C339" t="n">
        <v>2</v>
      </c>
      <c r="D339" t="inlineStr">
        <is>
          <t>Instructions1</t>
        </is>
      </c>
      <c r="E339" t="inlineStr">
        <is>
          <t>NA</t>
        </is>
      </c>
      <c r="F339" t="n">
        <v>99.5</v>
      </c>
      <c r="G339" t="n">
        <v>98.5</v>
      </c>
    </row>
    <row r="340">
      <c r="A340" t="inlineStr">
        <is>
          <t>RESP0064</t>
        </is>
      </c>
      <c r="B340" t="inlineStr">
        <is>
          <t>Study flow 2</t>
        </is>
      </c>
      <c r="C340" t="n">
        <v>3</v>
      </c>
      <c r="D340" t="inlineStr">
        <is>
          <t>foodwaste_visual</t>
        </is>
      </c>
      <c r="E340" t="inlineStr">
        <is>
          <t>NA</t>
        </is>
      </c>
      <c r="F340" t="n">
        <v>99.3</v>
      </c>
      <c r="G340" t="n">
        <v>99.09999999999999</v>
      </c>
    </row>
    <row r="341">
      <c r="A341" t="inlineStr">
        <is>
          <t>RESP0064</t>
        </is>
      </c>
      <c r="B341" t="inlineStr">
        <is>
          <t>Study flow 2</t>
        </is>
      </c>
      <c r="C341" t="n">
        <v>4</v>
      </c>
      <c r="D341" t="inlineStr">
        <is>
          <t>foodwaste_narrative</t>
        </is>
      </c>
      <c r="E341" t="inlineStr">
        <is>
          <t>NA</t>
        </is>
      </c>
      <c r="F341" t="n">
        <v>99.2</v>
      </c>
      <c r="G341" t="n">
        <v>99.2</v>
      </c>
    </row>
    <row r="342">
      <c r="A342" t="inlineStr">
        <is>
          <t>RESP0064</t>
        </is>
      </c>
      <c r="B342" t="inlineStr">
        <is>
          <t>Study flow 2</t>
        </is>
      </c>
      <c r="C342" t="n">
        <v>5</v>
      </c>
      <c r="D342" t="inlineStr">
        <is>
          <t>infographic</t>
        </is>
      </c>
      <c r="E342" t="inlineStr">
        <is>
          <t>NA</t>
        </is>
      </c>
      <c r="F342" t="n">
        <v>99.2</v>
      </c>
      <c r="G342" t="n">
        <v>99.2</v>
      </c>
    </row>
    <row r="343">
      <c r="A343" t="inlineStr">
        <is>
          <t>RESP0064</t>
        </is>
      </c>
      <c r="B343" t="inlineStr">
        <is>
          <t>Study flow 2</t>
        </is>
      </c>
      <c r="C343" t="n">
        <v>6</v>
      </c>
      <c r="D343" t="inlineStr">
        <is>
          <t>Questionnaire</t>
        </is>
      </c>
      <c r="E343" t="inlineStr">
        <is>
          <t>NA</t>
        </is>
      </c>
      <c r="F343" t="n">
        <v>98.7</v>
      </c>
      <c r="G343" t="n">
        <v>98.5</v>
      </c>
    </row>
    <row r="344">
      <c r="A344" t="inlineStr">
        <is>
          <t>RESP0064</t>
        </is>
      </c>
      <c r="B344" t="inlineStr">
        <is>
          <t>Study flow 2</t>
        </is>
      </c>
      <c r="C344" t="n">
        <v>7</v>
      </c>
      <c r="D344" t="inlineStr">
        <is>
          <t>Post-study calibration</t>
        </is>
      </c>
      <c r="E344" t="n">
        <v>1.89</v>
      </c>
      <c r="F344" t="n">
        <v>99.40000000000001</v>
      </c>
      <c r="G344" t="n">
        <v>98.8</v>
      </c>
    </row>
    <row r="345">
      <c r="A345" t="inlineStr">
        <is>
          <t>RESP0065</t>
        </is>
      </c>
      <c r="B345" t="inlineStr">
        <is>
          <t>Study flow 1</t>
        </is>
      </c>
      <c r="C345" t="n">
        <v>1</v>
      </c>
      <c r="D345" t="inlineStr">
        <is>
          <t>Pre-study calibration</t>
        </is>
      </c>
      <c r="E345" t="n">
        <v>3.4</v>
      </c>
      <c r="F345" t="n">
        <v>88.59999999999999</v>
      </c>
      <c r="G345" t="n">
        <v>57.8</v>
      </c>
    </row>
    <row r="346">
      <c r="A346" t="inlineStr">
        <is>
          <t>RESP0065</t>
        </is>
      </c>
      <c r="B346" t="inlineStr">
        <is>
          <t>Study flow 1</t>
        </is>
      </c>
      <c r="C346" t="n">
        <v>2</v>
      </c>
      <c r="D346" t="inlineStr">
        <is>
          <t>Instructions1</t>
        </is>
      </c>
      <c r="E346" t="inlineStr">
        <is>
          <t>NA</t>
        </is>
      </c>
      <c r="F346" t="n">
        <v>79.59999999999999</v>
      </c>
      <c r="G346" t="n">
        <v>53.6</v>
      </c>
    </row>
    <row r="347">
      <c r="A347" t="inlineStr">
        <is>
          <t>RESP0065</t>
        </is>
      </c>
      <c r="B347" t="inlineStr">
        <is>
          <t>Study flow 1</t>
        </is>
      </c>
      <c r="C347" t="n">
        <v>3</v>
      </c>
      <c r="D347" t="inlineStr">
        <is>
          <t>foodwaste_narrative</t>
        </is>
      </c>
      <c r="E347" t="inlineStr">
        <is>
          <t>NA</t>
        </is>
      </c>
      <c r="F347" t="n">
        <v>81.8</v>
      </c>
      <c r="G347" t="n">
        <v>54.6</v>
      </c>
    </row>
    <row r="348">
      <c r="A348" t="inlineStr">
        <is>
          <t>RESP0065</t>
        </is>
      </c>
      <c r="B348" t="inlineStr">
        <is>
          <t>Study flow 1</t>
        </is>
      </c>
      <c r="C348" t="n">
        <v>4</v>
      </c>
      <c r="D348" t="inlineStr">
        <is>
          <t>foodwaste_visual</t>
        </is>
      </c>
      <c r="E348" t="inlineStr">
        <is>
          <t>NA</t>
        </is>
      </c>
      <c r="F348" t="n">
        <v>77.59999999999999</v>
      </c>
      <c r="G348" t="n">
        <v>51.5</v>
      </c>
    </row>
    <row r="349">
      <c r="A349" t="inlineStr">
        <is>
          <t>RESP0065</t>
        </is>
      </c>
      <c r="B349" t="inlineStr">
        <is>
          <t>Study flow 1</t>
        </is>
      </c>
      <c r="C349" t="n">
        <v>5</v>
      </c>
      <c r="D349" t="inlineStr">
        <is>
          <t>infographic</t>
        </is>
      </c>
      <c r="E349" t="inlineStr">
        <is>
          <t>NA</t>
        </is>
      </c>
      <c r="F349" t="n">
        <v>92.5</v>
      </c>
      <c r="G349" t="n">
        <v>44</v>
      </c>
    </row>
    <row r="350">
      <c r="A350" t="inlineStr">
        <is>
          <t>RESP0065</t>
        </is>
      </c>
      <c r="B350" t="inlineStr">
        <is>
          <t>Study flow 1</t>
        </is>
      </c>
      <c r="C350" t="n">
        <v>6</v>
      </c>
      <c r="D350" t="inlineStr">
        <is>
          <t>Questionnaire</t>
        </is>
      </c>
      <c r="E350" t="inlineStr">
        <is>
          <t>NA</t>
        </is>
      </c>
      <c r="F350" t="n">
        <v>79.09999999999999</v>
      </c>
      <c r="G350" t="n">
        <v>50.7</v>
      </c>
    </row>
    <row r="351">
      <c r="A351" t="inlineStr">
        <is>
          <t>RESP0065</t>
        </is>
      </c>
      <c r="B351" t="inlineStr">
        <is>
          <t>Study flow 1</t>
        </is>
      </c>
      <c r="C351" t="n">
        <v>7</v>
      </c>
      <c r="D351" t="inlineStr">
        <is>
          <t>Post-study calibration</t>
        </is>
      </c>
      <c r="E351" t="n">
        <v>5.51</v>
      </c>
      <c r="F351" t="n">
        <v>86.3</v>
      </c>
      <c r="G351" t="n">
        <v>43.8</v>
      </c>
    </row>
    <row r="352">
      <c r="A352" t="inlineStr">
        <is>
          <t>RESP0066</t>
        </is>
      </c>
      <c r="B352" t="inlineStr">
        <is>
          <t>Study flow 2</t>
        </is>
      </c>
      <c r="C352" t="n">
        <v>1</v>
      </c>
      <c r="D352" t="inlineStr">
        <is>
          <t>Pre-study calibration</t>
        </is>
      </c>
      <c r="E352" t="n">
        <v>1.89</v>
      </c>
      <c r="F352" t="n">
        <v>93</v>
      </c>
      <c r="G352" t="n">
        <v>97.2</v>
      </c>
    </row>
    <row r="353">
      <c r="A353" t="inlineStr">
        <is>
          <t>RESP0066</t>
        </is>
      </c>
      <c r="B353" t="inlineStr">
        <is>
          <t>Study flow 2</t>
        </is>
      </c>
      <c r="C353" t="n">
        <v>2</v>
      </c>
      <c r="D353" t="inlineStr">
        <is>
          <t>Instructions1</t>
        </is>
      </c>
      <c r="E353" t="inlineStr">
        <is>
          <t>NA</t>
        </is>
      </c>
      <c r="F353" t="n">
        <v>84.8</v>
      </c>
      <c r="G353" t="n">
        <v>95</v>
      </c>
    </row>
    <row r="354">
      <c r="A354" t="inlineStr">
        <is>
          <t>RESP0066</t>
        </is>
      </c>
      <c r="B354" t="inlineStr">
        <is>
          <t>Study flow 2</t>
        </is>
      </c>
      <c r="C354" t="n">
        <v>3</v>
      </c>
      <c r="D354" t="inlineStr">
        <is>
          <t>foodwaste_visual</t>
        </is>
      </c>
      <c r="E354" t="inlineStr">
        <is>
          <t>NA</t>
        </is>
      </c>
      <c r="F354" t="n">
        <v>85.59999999999999</v>
      </c>
      <c r="G354" t="n">
        <v>95.8</v>
      </c>
    </row>
    <row r="355">
      <c r="A355" t="inlineStr">
        <is>
          <t>RESP0066</t>
        </is>
      </c>
      <c r="B355" t="inlineStr">
        <is>
          <t>Study flow 2</t>
        </is>
      </c>
      <c r="C355" t="n">
        <v>4</v>
      </c>
      <c r="D355" t="inlineStr">
        <is>
          <t>foodwaste_narrative</t>
        </is>
      </c>
      <c r="E355" t="inlineStr">
        <is>
          <t>NA</t>
        </is>
      </c>
      <c r="F355" t="n">
        <v>87.7</v>
      </c>
      <c r="G355" t="n">
        <v>97.90000000000001</v>
      </c>
    </row>
    <row r="356">
      <c r="A356" t="inlineStr">
        <is>
          <t>RESP0066</t>
        </is>
      </c>
      <c r="B356" t="inlineStr">
        <is>
          <t>Study flow 2</t>
        </is>
      </c>
      <c r="C356" t="n">
        <v>5</v>
      </c>
      <c r="D356" t="inlineStr">
        <is>
          <t>infographic</t>
        </is>
      </c>
      <c r="E356" t="inlineStr">
        <is>
          <t>NA</t>
        </is>
      </c>
      <c r="F356" t="n">
        <v>75.8</v>
      </c>
      <c r="G356" t="n">
        <v>99</v>
      </c>
    </row>
    <row r="357">
      <c r="A357" t="inlineStr">
        <is>
          <t>RESP0066</t>
        </is>
      </c>
      <c r="B357" t="inlineStr">
        <is>
          <t>Study flow 2</t>
        </is>
      </c>
      <c r="C357" t="n">
        <v>6</v>
      </c>
      <c r="D357" t="inlineStr">
        <is>
          <t>Questionnaire</t>
        </is>
      </c>
      <c r="E357" t="inlineStr">
        <is>
          <t>NA</t>
        </is>
      </c>
      <c r="F357" t="n">
        <v>82.8</v>
      </c>
      <c r="G357" t="n">
        <v>97.2</v>
      </c>
    </row>
    <row r="358">
      <c r="A358" t="inlineStr">
        <is>
          <t>RESP0066</t>
        </is>
      </c>
      <c r="B358" t="inlineStr">
        <is>
          <t>Study flow 2</t>
        </is>
      </c>
      <c r="C358" t="n">
        <v>7</v>
      </c>
      <c r="D358" t="inlineStr">
        <is>
          <t>Post-study calibration</t>
        </is>
      </c>
      <c r="E358" t="n">
        <v>2.73</v>
      </c>
      <c r="F358" t="n">
        <v>77.40000000000001</v>
      </c>
      <c r="G358" t="n">
        <v>98</v>
      </c>
    </row>
    <row r="359">
      <c r="A359" t="inlineStr">
        <is>
          <t>RESP0067</t>
        </is>
      </c>
      <c r="B359" t="inlineStr">
        <is>
          <t>Study flow 1</t>
        </is>
      </c>
      <c r="C359" t="n">
        <v>1</v>
      </c>
      <c r="D359" t="inlineStr">
        <is>
          <t>Pre-study calibration</t>
        </is>
      </c>
      <c r="E359" t="n">
        <v>0.77</v>
      </c>
      <c r="F359" t="n">
        <v>98.8</v>
      </c>
      <c r="G359" t="n">
        <v>99.3</v>
      </c>
    </row>
    <row r="360">
      <c r="A360" t="inlineStr">
        <is>
          <t>RESP0067</t>
        </is>
      </c>
      <c r="B360" t="inlineStr">
        <is>
          <t>Study flow 1</t>
        </is>
      </c>
      <c r="C360" t="n">
        <v>2</v>
      </c>
      <c r="D360" t="inlineStr">
        <is>
          <t>Instructions1</t>
        </is>
      </c>
      <c r="E360" t="inlineStr">
        <is>
          <t>NA</t>
        </is>
      </c>
      <c r="F360" t="n">
        <v>98.59999999999999</v>
      </c>
      <c r="G360" t="n">
        <v>99.40000000000001</v>
      </c>
    </row>
    <row r="361">
      <c r="A361" t="inlineStr">
        <is>
          <t>RESP0067</t>
        </is>
      </c>
      <c r="B361" t="inlineStr">
        <is>
          <t>Study flow 1</t>
        </is>
      </c>
      <c r="C361" t="n">
        <v>3</v>
      </c>
      <c r="D361" t="inlineStr">
        <is>
          <t>foodwaste_narrative</t>
        </is>
      </c>
      <c r="E361" t="inlineStr">
        <is>
          <t>NA</t>
        </is>
      </c>
      <c r="F361" t="n">
        <v>98.59999999999999</v>
      </c>
      <c r="G361" t="n">
        <v>99.5</v>
      </c>
    </row>
    <row r="362">
      <c r="A362" t="inlineStr">
        <is>
          <t>RESP0067</t>
        </is>
      </c>
      <c r="B362" t="inlineStr">
        <is>
          <t>Study flow 1</t>
        </is>
      </c>
      <c r="C362" t="n">
        <v>4</v>
      </c>
      <c r="D362" t="inlineStr">
        <is>
          <t>foodwaste_visual</t>
        </is>
      </c>
      <c r="E362" t="inlineStr">
        <is>
          <t>NA</t>
        </is>
      </c>
      <c r="F362" t="n">
        <v>98.7</v>
      </c>
      <c r="G362" t="n">
        <v>99.7</v>
      </c>
    </row>
    <row r="363">
      <c r="A363" t="inlineStr">
        <is>
          <t>RESP0067</t>
        </is>
      </c>
      <c r="B363" t="inlineStr">
        <is>
          <t>Study flow 1</t>
        </is>
      </c>
      <c r="C363" t="n">
        <v>5</v>
      </c>
      <c r="D363" t="inlineStr">
        <is>
          <t>infographic</t>
        </is>
      </c>
      <c r="E363" t="inlineStr">
        <is>
          <t>NA</t>
        </is>
      </c>
      <c r="F363" t="n">
        <v>98.7</v>
      </c>
      <c r="G363" t="n">
        <v>99.09999999999999</v>
      </c>
    </row>
    <row r="364">
      <c r="A364" t="inlineStr">
        <is>
          <t>RESP0067</t>
        </is>
      </c>
      <c r="B364" t="inlineStr">
        <is>
          <t>Study flow 1</t>
        </is>
      </c>
      <c r="C364" t="n">
        <v>6</v>
      </c>
      <c r="D364" t="inlineStr">
        <is>
          <t>Questionnaire</t>
        </is>
      </c>
      <c r="E364" t="inlineStr">
        <is>
          <t>NA</t>
        </is>
      </c>
      <c r="F364" t="n">
        <v>98.7</v>
      </c>
      <c r="G364" t="n">
        <v>99.40000000000001</v>
      </c>
    </row>
    <row r="365">
      <c r="A365" t="inlineStr">
        <is>
          <t>RESP0067</t>
        </is>
      </c>
      <c r="B365" t="inlineStr">
        <is>
          <t>Study flow 1</t>
        </is>
      </c>
      <c r="C365" t="n">
        <v>7</v>
      </c>
      <c r="D365" t="inlineStr">
        <is>
          <t>Post-study calibration</t>
        </is>
      </c>
      <c r="E365" t="n">
        <v>1.13</v>
      </c>
      <c r="F365" t="n">
        <v>99</v>
      </c>
      <c r="G365" t="n">
        <v>99.3</v>
      </c>
    </row>
    <row r="366">
      <c r="A366" t="inlineStr">
        <is>
          <t>RESP0069</t>
        </is>
      </c>
      <c r="B366" t="inlineStr">
        <is>
          <t>Study flow 1</t>
        </is>
      </c>
      <c r="C366" t="n">
        <v>1</v>
      </c>
      <c r="D366" t="inlineStr">
        <is>
          <t>Pre-study calibration</t>
        </is>
      </c>
      <c r="E366" t="n">
        <v>0.6</v>
      </c>
      <c r="F366" t="n">
        <v>98.40000000000001</v>
      </c>
      <c r="G366" t="n">
        <v>99.5</v>
      </c>
    </row>
    <row r="367">
      <c r="A367" t="inlineStr">
        <is>
          <t>RESP0069</t>
        </is>
      </c>
      <c r="B367" t="inlineStr">
        <is>
          <t>Study flow 1</t>
        </is>
      </c>
      <c r="C367" t="n">
        <v>2</v>
      </c>
      <c r="D367" t="inlineStr">
        <is>
          <t>Instructions1</t>
        </is>
      </c>
      <c r="E367" t="inlineStr">
        <is>
          <t>NA</t>
        </is>
      </c>
      <c r="F367" t="n">
        <v>98.7</v>
      </c>
      <c r="G367" t="n">
        <v>99.2</v>
      </c>
    </row>
    <row r="368">
      <c r="A368" t="inlineStr">
        <is>
          <t>RESP0069</t>
        </is>
      </c>
      <c r="B368" t="inlineStr">
        <is>
          <t>Study flow 1</t>
        </is>
      </c>
      <c r="C368" t="n">
        <v>3</v>
      </c>
      <c r="D368" t="inlineStr">
        <is>
          <t>foodwaste_narrative</t>
        </is>
      </c>
      <c r="E368" t="inlineStr">
        <is>
          <t>NA</t>
        </is>
      </c>
      <c r="F368" t="n">
        <v>98.09999999999999</v>
      </c>
      <c r="G368" t="n">
        <v>99.59999999999999</v>
      </c>
    </row>
    <row r="369">
      <c r="A369" t="inlineStr">
        <is>
          <t>RESP0069</t>
        </is>
      </c>
      <c r="B369" t="inlineStr">
        <is>
          <t>Study flow 1</t>
        </is>
      </c>
      <c r="C369" t="n">
        <v>4</v>
      </c>
      <c r="D369" t="inlineStr">
        <is>
          <t>foodwaste_visual</t>
        </is>
      </c>
      <c r="E369" t="inlineStr">
        <is>
          <t>NA</t>
        </is>
      </c>
      <c r="F369" t="n">
        <v>98</v>
      </c>
      <c r="G369" t="n">
        <v>99.09999999999999</v>
      </c>
    </row>
    <row r="370">
      <c r="A370" t="inlineStr">
        <is>
          <t>RESP0069</t>
        </is>
      </c>
      <c r="B370" t="inlineStr">
        <is>
          <t>Study flow 1</t>
        </is>
      </c>
      <c r="C370" t="n">
        <v>5</v>
      </c>
      <c r="D370" t="inlineStr">
        <is>
          <t>infographic</t>
        </is>
      </c>
      <c r="E370" t="inlineStr">
        <is>
          <t>NA</t>
        </is>
      </c>
      <c r="F370" t="n">
        <v>99</v>
      </c>
      <c r="G370" t="n">
        <v>99.59999999999999</v>
      </c>
    </row>
    <row r="371">
      <c r="A371" t="inlineStr">
        <is>
          <t>RESP0069</t>
        </is>
      </c>
      <c r="B371" t="inlineStr">
        <is>
          <t>Study flow 1</t>
        </is>
      </c>
      <c r="C371" t="n">
        <v>6</v>
      </c>
      <c r="D371" t="inlineStr">
        <is>
          <t>Questionnaire</t>
        </is>
      </c>
      <c r="E371" t="inlineStr">
        <is>
          <t>NA</t>
        </is>
      </c>
      <c r="F371" t="n">
        <v>98.2</v>
      </c>
      <c r="G371" t="n">
        <v>99.3</v>
      </c>
    </row>
    <row r="372">
      <c r="A372" t="inlineStr">
        <is>
          <t>RESP0069</t>
        </is>
      </c>
      <c r="B372" t="inlineStr">
        <is>
          <t>Study flow 1</t>
        </is>
      </c>
      <c r="C372" t="n">
        <v>7</v>
      </c>
      <c r="D372" t="inlineStr">
        <is>
          <t>Post-study calibration</t>
        </is>
      </c>
      <c r="E372" t="n">
        <v>0.64</v>
      </c>
      <c r="F372" t="n">
        <v>98.8</v>
      </c>
      <c r="G372" t="n">
        <v>99.5</v>
      </c>
    </row>
    <row r="373">
      <c r="A373" t="inlineStr">
        <is>
          <t>RESP0071</t>
        </is>
      </c>
      <c r="B373" t="inlineStr">
        <is>
          <t>Study flow 2</t>
        </is>
      </c>
      <c r="C373" t="n">
        <v>1</v>
      </c>
      <c r="D373" t="inlineStr">
        <is>
          <t>Pre-study calibration</t>
        </is>
      </c>
      <c r="E373" t="n">
        <v>1.63</v>
      </c>
      <c r="F373" t="n">
        <v>94</v>
      </c>
      <c r="G373" t="n">
        <v>93.40000000000001</v>
      </c>
    </row>
    <row r="374">
      <c r="A374" t="inlineStr">
        <is>
          <t>RESP0071</t>
        </is>
      </c>
      <c r="B374" t="inlineStr">
        <is>
          <t>Study flow 2</t>
        </is>
      </c>
      <c r="C374" t="n">
        <v>2</v>
      </c>
      <c r="D374" t="inlineStr">
        <is>
          <t>Instructions1</t>
        </is>
      </c>
      <c r="E374" t="inlineStr">
        <is>
          <t>NA</t>
        </is>
      </c>
      <c r="F374" t="n">
        <v>91.7</v>
      </c>
      <c r="G374" t="n">
        <v>94.3</v>
      </c>
    </row>
    <row r="375">
      <c r="A375" t="inlineStr">
        <is>
          <t>RESP0071</t>
        </is>
      </c>
      <c r="B375" t="inlineStr">
        <is>
          <t>Study flow 2</t>
        </is>
      </c>
      <c r="C375" t="n">
        <v>3</v>
      </c>
      <c r="D375" t="inlineStr">
        <is>
          <t>foodwaste_visual</t>
        </is>
      </c>
      <c r="E375" t="inlineStr">
        <is>
          <t>NA</t>
        </is>
      </c>
      <c r="F375" t="n">
        <v>95.40000000000001</v>
      </c>
      <c r="G375" t="n">
        <v>92.09999999999999</v>
      </c>
    </row>
    <row r="376">
      <c r="A376" t="inlineStr">
        <is>
          <t>RESP0071</t>
        </is>
      </c>
      <c r="B376" t="inlineStr">
        <is>
          <t>Study flow 2</t>
        </is>
      </c>
      <c r="C376" t="n">
        <v>4</v>
      </c>
      <c r="D376" t="inlineStr">
        <is>
          <t>foodwaste_narrative</t>
        </is>
      </c>
      <c r="E376" t="inlineStr">
        <is>
          <t>NA</t>
        </is>
      </c>
      <c r="F376" t="n">
        <v>96.3</v>
      </c>
      <c r="G376" t="n">
        <v>90.7</v>
      </c>
    </row>
    <row r="377">
      <c r="A377" t="inlineStr">
        <is>
          <t>RESP0071</t>
        </is>
      </c>
      <c r="B377" t="inlineStr">
        <is>
          <t>Study flow 2</t>
        </is>
      </c>
      <c r="C377" t="n">
        <v>5</v>
      </c>
      <c r="D377" t="inlineStr">
        <is>
          <t>infographic</t>
        </is>
      </c>
      <c r="E377" t="inlineStr">
        <is>
          <t>NA</t>
        </is>
      </c>
      <c r="F377" t="n">
        <v>94.7</v>
      </c>
      <c r="G377" t="n">
        <v>89.8</v>
      </c>
    </row>
    <row r="378">
      <c r="A378" t="inlineStr">
        <is>
          <t>RESP0071</t>
        </is>
      </c>
      <c r="B378" t="inlineStr">
        <is>
          <t>Study flow 2</t>
        </is>
      </c>
      <c r="C378" t="n">
        <v>6</v>
      </c>
      <c r="D378" t="inlineStr">
        <is>
          <t>Questionnaire</t>
        </is>
      </c>
      <c r="E378" t="inlineStr">
        <is>
          <t>NA</t>
        </is>
      </c>
      <c r="F378" t="n">
        <v>95.40000000000001</v>
      </c>
      <c r="G378" t="n">
        <v>88.3</v>
      </c>
    </row>
    <row r="379">
      <c r="A379" t="inlineStr">
        <is>
          <t>RESP0071</t>
        </is>
      </c>
      <c r="B379" t="inlineStr">
        <is>
          <t>Study flow 2</t>
        </is>
      </c>
      <c r="C379" t="n">
        <v>7</v>
      </c>
      <c r="D379" t="inlineStr">
        <is>
          <t>Post-study calibration</t>
        </is>
      </c>
      <c r="E379" t="n">
        <v>2.89</v>
      </c>
      <c r="F379" t="n">
        <v>94.7</v>
      </c>
      <c r="G379" t="n">
        <v>89.7</v>
      </c>
    </row>
    <row r="380">
      <c r="A380" t="inlineStr">
        <is>
          <t>RESP0072</t>
        </is>
      </c>
      <c r="B380" t="inlineStr">
        <is>
          <t>Study flow 1</t>
        </is>
      </c>
      <c r="C380" t="n">
        <v>1</v>
      </c>
      <c r="D380" t="inlineStr">
        <is>
          <t>Pre-study calibration</t>
        </is>
      </c>
      <c r="E380" t="n">
        <v>0.89</v>
      </c>
      <c r="F380" t="n">
        <v>97.8</v>
      </c>
      <c r="G380" t="n">
        <v>81.59999999999999</v>
      </c>
    </row>
    <row r="381">
      <c r="A381" t="inlineStr">
        <is>
          <t>RESP0072</t>
        </is>
      </c>
      <c r="B381" t="inlineStr">
        <is>
          <t>Study flow 1</t>
        </is>
      </c>
      <c r="C381" t="n">
        <v>2</v>
      </c>
      <c r="D381" t="inlineStr">
        <is>
          <t>Instructions1</t>
        </is>
      </c>
      <c r="E381" t="inlineStr">
        <is>
          <t>NA</t>
        </is>
      </c>
      <c r="F381" t="n">
        <v>96.8</v>
      </c>
      <c r="G381" t="n">
        <v>85.5</v>
      </c>
    </row>
    <row r="382">
      <c r="A382" t="inlineStr">
        <is>
          <t>RESP0072</t>
        </is>
      </c>
      <c r="B382" t="inlineStr">
        <is>
          <t>Study flow 1</t>
        </is>
      </c>
      <c r="C382" t="n">
        <v>3</v>
      </c>
      <c r="D382" t="inlineStr">
        <is>
          <t>foodwaste_narrative</t>
        </is>
      </c>
      <c r="E382" t="inlineStr">
        <is>
          <t>NA</t>
        </is>
      </c>
      <c r="F382" t="n">
        <v>95.3</v>
      </c>
      <c r="G382" t="n">
        <v>89.7</v>
      </c>
    </row>
    <row r="383">
      <c r="A383" t="inlineStr">
        <is>
          <t>RESP0072</t>
        </is>
      </c>
      <c r="B383" t="inlineStr">
        <is>
          <t>Study flow 1</t>
        </is>
      </c>
      <c r="C383" t="n">
        <v>4</v>
      </c>
      <c r="D383" t="inlineStr">
        <is>
          <t>foodwaste_visual</t>
        </is>
      </c>
      <c r="E383" t="inlineStr">
        <is>
          <t>NA</t>
        </is>
      </c>
      <c r="F383" t="n">
        <v>94.3</v>
      </c>
      <c r="G383" t="n">
        <v>93.5</v>
      </c>
    </row>
    <row r="384">
      <c r="A384" t="inlineStr">
        <is>
          <t>RESP0072</t>
        </is>
      </c>
      <c r="B384" t="inlineStr">
        <is>
          <t>Study flow 1</t>
        </is>
      </c>
      <c r="C384" t="n">
        <v>5</v>
      </c>
      <c r="D384" t="inlineStr">
        <is>
          <t>infographic</t>
        </is>
      </c>
      <c r="E384" t="inlineStr">
        <is>
          <t>NA</t>
        </is>
      </c>
      <c r="F384" t="n">
        <v>96.3</v>
      </c>
      <c r="G384" t="n">
        <v>90.59999999999999</v>
      </c>
    </row>
    <row r="385">
      <c r="A385" t="inlineStr">
        <is>
          <t>RESP0072</t>
        </is>
      </c>
      <c r="B385" t="inlineStr">
        <is>
          <t>Study flow 1</t>
        </is>
      </c>
      <c r="C385" t="n">
        <v>6</v>
      </c>
      <c r="D385" t="inlineStr">
        <is>
          <t>Questionnaire</t>
        </is>
      </c>
      <c r="E385" t="inlineStr">
        <is>
          <t>NA</t>
        </is>
      </c>
      <c r="F385" t="n">
        <v>98.09999999999999</v>
      </c>
      <c r="G385" t="n">
        <v>87.59999999999999</v>
      </c>
    </row>
    <row r="386">
      <c r="A386" t="inlineStr">
        <is>
          <t>RESP0072</t>
        </is>
      </c>
      <c r="B386" t="inlineStr">
        <is>
          <t>Study flow 1</t>
        </is>
      </c>
      <c r="C386" t="n">
        <v>7</v>
      </c>
      <c r="D386" t="inlineStr">
        <is>
          <t>Post-study calibration</t>
        </is>
      </c>
      <c r="E386" t="n">
        <v>1.41</v>
      </c>
      <c r="F386" t="n">
        <v>97.7</v>
      </c>
      <c r="G386" t="n">
        <v>92.5</v>
      </c>
    </row>
    <row r="387">
      <c r="A387" t="inlineStr">
        <is>
          <t>RESP0073</t>
        </is>
      </c>
      <c r="B387" t="inlineStr">
        <is>
          <t>Study flow 1</t>
        </is>
      </c>
      <c r="C387" t="n">
        <v>1</v>
      </c>
      <c r="D387" t="inlineStr">
        <is>
          <t>Pre-study calibration</t>
        </is>
      </c>
      <c r="E387" t="n">
        <v>1.44</v>
      </c>
      <c r="F387" t="n">
        <v>97.59999999999999</v>
      </c>
      <c r="G387" t="n">
        <v>97.90000000000001</v>
      </c>
    </row>
    <row r="388">
      <c r="A388" t="inlineStr">
        <is>
          <t>RESP0073</t>
        </is>
      </c>
      <c r="B388" t="inlineStr">
        <is>
          <t>Study flow 1</t>
        </is>
      </c>
      <c r="C388" t="n">
        <v>2</v>
      </c>
      <c r="D388" t="inlineStr">
        <is>
          <t>Instructions1</t>
        </is>
      </c>
      <c r="E388" t="inlineStr">
        <is>
          <t>NA</t>
        </is>
      </c>
      <c r="F388" t="n">
        <v>98.2</v>
      </c>
      <c r="G388" t="n">
        <v>98.09999999999999</v>
      </c>
    </row>
    <row r="389">
      <c r="A389" t="inlineStr">
        <is>
          <t>RESP0073</t>
        </is>
      </c>
      <c r="B389" t="inlineStr">
        <is>
          <t>Study flow 1</t>
        </is>
      </c>
      <c r="C389" t="n">
        <v>3</v>
      </c>
      <c r="D389" t="inlineStr">
        <is>
          <t>foodwaste_narrative</t>
        </is>
      </c>
      <c r="E389" t="inlineStr">
        <is>
          <t>NA</t>
        </is>
      </c>
      <c r="F389" t="n">
        <v>97</v>
      </c>
      <c r="G389" t="n">
        <v>98.7</v>
      </c>
    </row>
    <row r="390">
      <c r="A390" t="inlineStr">
        <is>
          <t>RESP0073</t>
        </is>
      </c>
      <c r="B390" t="inlineStr">
        <is>
          <t>Study flow 1</t>
        </is>
      </c>
      <c r="C390" t="n">
        <v>4</v>
      </c>
      <c r="D390" t="inlineStr">
        <is>
          <t>foodwaste_visual</t>
        </is>
      </c>
      <c r="E390" t="inlineStr">
        <is>
          <t>NA</t>
        </is>
      </c>
      <c r="F390" t="n">
        <v>98.3</v>
      </c>
      <c r="G390" t="n">
        <v>98.5</v>
      </c>
    </row>
    <row r="391">
      <c r="A391" t="inlineStr">
        <is>
          <t>RESP0073</t>
        </is>
      </c>
      <c r="B391" t="inlineStr">
        <is>
          <t>Study flow 1</t>
        </is>
      </c>
      <c r="C391" t="n">
        <v>5</v>
      </c>
      <c r="D391" t="inlineStr">
        <is>
          <t>infographic</t>
        </is>
      </c>
      <c r="E391" t="inlineStr">
        <is>
          <t>NA</t>
        </is>
      </c>
      <c r="F391" t="n">
        <v>99</v>
      </c>
      <c r="G391" t="n">
        <v>99.2</v>
      </c>
    </row>
    <row r="392">
      <c r="A392" t="inlineStr">
        <is>
          <t>RESP0073</t>
        </is>
      </c>
      <c r="B392" t="inlineStr">
        <is>
          <t>Study flow 1</t>
        </is>
      </c>
      <c r="C392" t="n">
        <v>6</v>
      </c>
      <c r="D392" t="inlineStr">
        <is>
          <t>Questionnaire</t>
        </is>
      </c>
      <c r="E392" t="inlineStr">
        <is>
          <t>NA</t>
        </is>
      </c>
      <c r="F392" t="n">
        <v>98.7</v>
      </c>
      <c r="G392" t="n">
        <v>99.2</v>
      </c>
    </row>
    <row r="393">
      <c r="A393" t="inlineStr">
        <is>
          <t>RESP0073</t>
        </is>
      </c>
      <c r="B393" t="inlineStr">
        <is>
          <t>Study flow 1</t>
        </is>
      </c>
      <c r="C393" t="n">
        <v>7</v>
      </c>
      <c r="D393" t="inlineStr">
        <is>
          <t>Post-study calibration</t>
        </is>
      </c>
      <c r="E393" t="n">
        <v>2.49</v>
      </c>
      <c r="F393" t="n">
        <v>97.59999999999999</v>
      </c>
      <c r="G393" t="n">
        <v>99.40000000000001</v>
      </c>
    </row>
    <row r="394">
      <c r="A394" t="inlineStr">
        <is>
          <t>RESP0074</t>
        </is>
      </c>
      <c r="B394" t="inlineStr">
        <is>
          <t>Study flow 2</t>
        </is>
      </c>
      <c r="C394" t="n">
        <v>1</v>
      </c>
      <c r="D394" t="inlineStr">
        <is>
          <t>Pre-study calibration</t>
        </is>
      </c>
      <c r="E394" t="n">
        <v>1.12</v>
      </c>
      <c r="F394" t="n">
        <v>98.59999999999999</v>
      </c>
      <c r="G394" t="n">
        <v>98.09999999999999</v>
      </c>
    </row>
    <row r="395">
      <c r="A395" t="inlineStr">
        <is>
          <t>RESP0074</t>
        </is>
      </c>
      <c r="B395" t="inlineStr">
        <is>
          <t>Study flow 2</t>
        </is>
      </c>
      <c r="C395" t="n">
        <v>2</v>
      </c>
      <c r="D395" t="inlineStr">
        <is>
          <t>Instructions1</t>
        </is>
      </c>
      <c r="E395" t="inlineStr">
        <is>
          <t>NA</t>
        </is>
      </c>
      <c r="F395" t="n">
        <v>98.8</v>
      </c>
      <c r="G395" t="n">
        <v>98.90000000000001</v>
      </c>
    </row>
    <row r="396">
      <c r="A396" t="inlineStr">
        <is>
          <t>RESP0074</t>
        </is>
      </c>
      <c r="B396" t="inlineStr">
        <is>
          <t>Study flow 2</t>
        </is>
      </c>
      <c r="C396" t="n">
        <v>3</v>
      </c>
      <c r="D396" t="inlineStr">
        <is>
          <t>foodwaste_visual</t>
        </is>
      </c>
      <c r="E396" t="inlineStr">
        <is>
          <t>NA</t>
        </is>
      </c>
      <c r="F396" t="n">
        <v>98.40000000000001</v>
      </c>
      <c r="G396" t="n">
        <v>99.09999999999999</v>
      </c>
    </row>
    <row r="397">
      <c r="A397" t="inlineStr">
        <is>
          <t>RESP0074</t>
        </is>
      </c>
      <c r="B397" t="inlineStr">
        <is>
          <t>Study flow 2</t>
        </is>
      </c>
      <c r="C397" t="n">
        <v>4</v>
      </c>
      <c r="D397" t="inlineStr">
        <is>
          <t>foodwaste_narrative</t>
        </is>
      </c>
      <c r="E397" t="inlineStr">
        <is>
          <t>NA</t>
        </is>
      </c>
      <c r="F397" t="n">
        <v>98.90000000000001</v>
      </c>
      <c r="G397" t="n">
        <v>99.09999999999999</v>
      </c>
    </row>
    <row r="398">
      <c r="A398" t="inlineStr">
        <is>
          <t>RESP0074</t>
        </is>
      </c>
      <c r="B398" t="inlineStr">
        <is>
          <t>Study flow 2</t>
        </is>
      </c>
      <c r="C398" t="n">
        <v>5</v>
      </c>
      <c r="D398" t="inlineStr">
        <is>
          <t>infographic</t>
        </is>
      </c>
      <c r="E398" t="inlineStr">
        <is>
          <t>NA</t>
        </is>
      </c>
      <c r="F398" t="n">
        <v>99.2</v>
      </c>
      <c r="G398" t="n">
        <v>99</v>
      </c>
    </row>
    <row r="399">
      <c r="A399" t="inlineStr">
        <is>
          <t>RESP0074</t>
        </is>
      </c>
      <c r="B399" t="inlineStr">
        <is>
          <t>Study flow 2</t>
        </is>
      </c>
      <c r="C399" t="n">
        <v>6</v>
      </c>
      <c r="D399" t="inlineStr">
        <is>
          <t>Questionnaire</t>
        </is>
      </c>
      <c r="E399" t="inlineStr">
        <is>
          <t>NA</t>
        </is>
      </c>
      <c r="F399" t="n">
        <v>98.8</v>
      </c>
      <c r="G399" t="n">
        <v>98.7</v>
      </c>
    </row>
    <row r="400">
      <c r="A400" t="inlineStr">
        <is>
          <t>RESP0074</t>
        </is>
      </c>
      <c r="B400" t="inlineStr">
        <is>
          <t>Study flow 2</t>
        </is>
      </c>
      <c r="C400" t="n">
        <v>7</v>
      </c>
      <c r="D400" t="inlineStr">
        <is>
          <t>Post-study calibration</t>
        </is>
      </c>
      <c r="E400" t="n">
        <v>1.42</v>
      </c>
      <c r="F400" t="n">
        <v>98.3</v>
      </c>
      <c r="G400" t="n">
        <v>98.8</v>
      </c>
    </row>
    <row r="401">
      <c r="A401" t="inlineStr">
        <is>
          <t>RESP0075</t>
        </is>
      </c>
      <c r="B401" t="inlineStr">
        <is>
          <t>Study flow 1</t>
        </is>
      </c>
      <c r="C401" t="n">
        <v>1</v>
      </c>
      <c r="D401" t="inlineStr">
        <is>
          <t>Pre-study calibration</t>
        </is>
      </c>
      <c r="E401" t="n">
        <v>1.51</v>
      </c>
      <c r="F401" t="n">
        <v>93.59999999999999</v>
      </c>
      <c r="G401" t="n">
        <v>77.7</v>
      </c>
    </row>
    <row r="402">
      <c r="A402" t="inlineStr">
        <is>
          <t>RESP0075</t>
        </is>
      </c>
      <c r="B402" t="inlineStr">
        <is>
          <t>Study flow 1</t>
        </is>
      </c>
      <c r="C402" t="n">
        <v>2</v>
      </c>
      <c r="D402" t="inlineStr">
        <is>
          <t>Instructions1</t>
        </is>
      </c>
      <c r="E402" t="inlineStr">
        <is>
          <t>NA</t>
        </is>
      </c>
      <c r="F402" t="n">
        <v>92.09999999999999</v>
      </c>
      <c r="G402" t="n">
        <v>74.7</v>
      </c>
    </row>
    <row r="403">
      <c r="A403" t="inlineStr">
        <is>
          <t>RESP0075</t>
        </is>
      </c>
      <c r="B403" t="inlineStr">
        <is>
          <t>Study flow 1</t>
        </is>
      </c>
      <c r="C403" t="n">
        <v>3</v>
      </c>
      <c r="D403" t="inlineStr">
        <is>
          <t>foodwaste_narrative</t>
        </is>
      </c>
      <c r="E403" t="inlineStr">
        <is>
          <t>NA</t>
        </is>
      </c>
      <c r="F403" t="n">
        <v>94.09999999999999</v>
      </c>
      <c r="G403" t="n">
        <v>75.8</v>
      </c>
    </row>
    <row r="404">
      <c r="A404" t="inlineStr">
        <is>
          <t>RESP0075</t>
        </is>
      </c>
      <c r="B404" t="inlineStr">
        <is>
          <t>Study flow 1</t>
        </is>
      </c>
      <c r="C404" t="n">
        <v>4</v>
      </c>
      <c r="D404" t="inlineStr">
        <is>
          <t>foodwaste_visual</t>
        </is>
      </c>
      <c r="E404" t="inlineStr">
        <is>
          <t>NA</t>
        </is>
      </c>
      <c r="F404" t="n">
        <v>94.09999999999999</v>
      </c>
      <c r="G404" t="n">
        <v>84.09999999999999</v>
      </c>
    </row>
    <row r="405">
      <c r="A405" t="inlineStr">
        <is>
          <t>RESP0075</t>
        </is>
      </c>
      <c r="B405" t="inlineStr">
        <is>
          <t>Study flow 1</t>
        </is>
      </c>
      <c r="C405" t="n">
        <v>5</v>
      </c>
      <c r="D405" t="inlineStr">
        <is>
          <t>infographic</t>
        </is>
      </c>
      <c r="E405" t="inlineStr">
        <is>
          <t>NA</t>
        </is>
      </c>
      <c r="F405" t="n">
        <v>91.3</v>
      </c>
      <c r="G405" t="n">
        <v>62.8</v>
      </c>
    </row>
    <row r="406">
      <c r="A406" t="inlineStr">
        <is>
          <t>RESP0075</t>
        </is>
      </c>
      <c r="B406" t="inlineStr">
        <is>
          <t>Study flow 1</t>
        </is>
      </c>
      <c r="C406" t="n">
        <v>6</v>
      </c>
      <c r="D406" t="inlineStr">
        <is>
          <t>Questionnaire</t>
        </is>
      </c>
      <c r="E406" t="inlineStr">
        <is>
          <t>NA</t>
        </is>
      </c>
      <c r="F406" t="n">
        <v>94.3</v>
      </c>
      <c r="G406" t="n">
        <v>78.7</v>
      </c>
    </row>
    <row r="407">
      <c r="A407" t="inlineStr">
        <is>
          <t>RESP0075</t>
        </is>
      </c>
      <c r="B407" t="inlineStr">
        <is>
          <t>Study flow 1</t>
        </is>
      </c>
      <c r="C407" t="n">
        <v>7</v>
      </c>
      <c r="D407" t="inlineStr">
        <is>
          <t>Post-study calibration</t>
        </is>
      </c>
      <c r="E407" t="n">
        <v>2.49</v>
      </c>
      <c r="F407" t="n">
        <v>92.7</v>
      </c>
      <c r="G407" t="n">
        <v>75.09999999999999</v>
      </c>
    </row>
    <row r="408">
      <c r="A408" t="inlineStr">
        <is>
          <t>RESP0076</t>
        </is>
      </c>
      <c r="B408" t="inlineStr">
        <is>
          <t>Study flow 2</t>
        </is>
      </c>
      <c r="C408" t="n">
        <v>1</v>
      </c>
      <c r="D408" t="inlineStr">
        <is>
          <t>Pre-study calibration</t>
        </is>
      </c>
      <c r="E408" t="n">
        <v>2.66</v>
      </c>
      <c r="F408" t="n">
        <v>95</v>
      </c>
      <c r="G408" t="n">
        <v>98.40000000000001</v>
      </c>
    </row>
    <row r="409">
      <c r="A409" t="inlineStr">
        <is>
          <t>RESP0076</t>
        </is>
      </c>
      <c r="B409" t="inlineStr">
        <is>
          <t>Study flow 2</t>
        </is>
      </c>
      <c r="C409" t="n">
        <v>2</v>
      </c>
      <c r="D409" t="inlineStr">
        <is>
          <t>Instructions1</t>
        </is>
      </c>
      <c r="E409" t="inlineStr">
        <is>
          <t>NA</t>
        </is>
      </c>
      <c r="F409" t="n">
        <v>93.40000000000001</v>
      </c>
      <c r="G409" t="n">
        <v>98.7</v>
      </c>
    </row>
    <row r="410">
      <c r="A410" t="inlineStr">
        <is>
          <t>RESP0076</t>
        </is>
      </c>
      <c r="B410" t="inlineStr">
        <is>
          <t>Study flow 2</t>
        </is>
      </c>
      <c r="C410" t="n">
        <v>3</v>
      </c>
      <c r="D410" t="inlineStr">
        <is>
          <t>foodwaste_visual</t>
        </is>
      </c>
      <c r="E410" t="inlineStr">
        <is>
          <t>NA</t>
        </is>
      </c>
      <c r="F410" t="n">
        <v>91.09999999999999</v>
      </c>
      <c r="G410" t="n">
        <v>97.7</v>
      </c>
    </row>
    <row r="411">
      <c r="A411" t="inlineStr">
        <is>
          <t>RESP0076</t>
        </is>
      </c>
      <c r="B411" t="inlineStr">
        <is>
          <t>Study flow 2</t>
        </is>
      </c>
      <c r="C411" t="n">
        <v>4</v>
      </c>
      <c r="D411" t="inlineStr">
        <is>
          <t>foodwaste_narrative</t>
        </is>
      </c>
      <c r="E411" t="inlineStr">
        <is>
          <t>NA</t>
        </is>
      </c>
      <c r="F411" t="n">
        <v>93.59999999999999</v>
      </c>
      <c r="G411" t="n">
        <v>98.59999999999999</v>
      </c>
    </row>
    <row r="412">
      <c r="A412" t="inlineStr">
        <is>
          <t>RESP0076</t>
        </is>
      </c>
      <c r="B412" t="inlineStr">
        <is>
          <t>Study flow 2</t>
        </is>
      </c>
      <c r="C412" t="n">
        <v>5</v>
      </c>
      <c r="D412" t="inlineStr">
        <is>
          <t>infographic</t>
        </is>
      </c>
      <c r="E412" t="inlineStr">
        <is>
          <t>NA</t>
        </is>
      </c>
      <c r="F412" t="n">
        <v>83.2</v>
      </c>
      <c r="G412" t="n">
        <v>98.5</v>
      </c>
    </row>
    <row r="413">
      <c r="A413" t="inlineStr">
        <is>
          <t>RESP0076</t>
        </is>
      </c>
      <c r="B413" t="inlineStr">
        <is>
          <t>Study flow 2</t>
        </is>
      </c>
      <c r="C413" t="n">
        <v>6</v>
      </c>
      <c r="D413" t="inlineStr">
        <is>
          <t>Questionnaire</t>
        </is>
      </c>
      <c r="E413" t="inlineStr">
        <is>
          <t>NA</t>
        </is>
      </c>
      <c r="F413" t="n">
        <v>91.09999999999999</v>
      </c>
      <c r="G413" t="n">
        <v>98.59999999999999</v>
      </c>
    </row>
    <row r="414">
      <c r="A414" t="inlineStr">
        <is>
          <t>RESP0076</t>
        </is>
      </c>
      <c r="B414" t="inlineStr">
        <is>
          <t>Study flow 2</t>
        </is>
      </c>
      <c r="C414" t="n">
        <v>7</v>
      </c>
      <c r="D414" t="inlineStr">
        <is>
          <t>Post-study calibration</t>
        </is>
      </c>
      <c r="E414" t="n">
        <v>2.96</v>
      </c>
      <c r="F414" t="n">
        <v>92.5</v>
      </c>
      <c r="G414" t="n">
        <v>98.59999999999999</v>
      </c>
    </row>
    <row r="415">
      <c r="A415" t="inlineStr">
        <is>
          <t>RESP0077</t>
        </is>
      </c>
      <c r="B415" t="inlineStr">
        <is>
          <t>Study flow 2</t>
        </is>
      </c>
      <c r="C415" t="n">
        <v>1</v>
      </c>
      <c r="D415" t="inlineStr">
        <is>
          <t>Pre-study calibration</t>
        </is>
      </c>
      <c r="E415" t="n">
        <v>3.04</v>
      </c>
      <c r="F415" t="n">
        <v>86.09999999999999</v>
      </c>
      <c r="G415" t="n">
        <v>98.8</v>
      </c>
    </row>
    <row r="416">
      <c r="A416" t="inlineStr">
        <is>
          <t>RESP0077</t>
        </is>
      </c>
      <c r="B416" t="inlineStr">
        <is>
          <t>Study flow 2</t>
        </is>
      </c>
      <c r="C416" t="n">
        <v>2</v>
      </c>
      <c r="D416" t="inlineStr">
        <is>
          <t>Instructions1</t>
        </is>
      </c>
      <c r="E416" t="inlineStr">
        <is>
          <t>NA</t>
        </is>
      </c>
      <c r="F416" t="n">
        <v>87.8</v>
      </c>
      <c r="G416" t="n">
        <v>97.8</v>
      </c>
    </row>
    <row r="417">
      <c r="A417" t="inlineStr">
        <is>
          <t>RESP0077</t>
        </is>
      </c>
      <c r="B417" t="inlineStr">
        <is>
          <t>Study flow 2</t>
        </is>
      </c>
      <c r="C417" t="n">
        <v>3</v>
      </c>
      <c r="D417" t="inlineStr">
        <is>
          <t>foodwaste_visual</t>
        </is>
      </c>
      <c r="E417" t="inlineStr">
        <is>
          <t>NA</t>
        </is>
      </c>
      <c r="F417" t="n">
        <v>90.5</v>
      </c>
      <c r="G417" t="n">
        <v>99.40000000000001</v>
      </c>
    </row>
    <row r="418">
      <c r="A418" t="inlineStr">
        <is>
          <t>RESP0077</t>
        </is>
      </c>
      <c r="B418" t="inlineStr">
        <is>
          <t>Study flow 2</t>
        </is>
      </c>
      <c r="C418" t="n">
        <v>4</v>
      </c>
      <c r="D418" t="inlineStr">
        <is>
          <t>foodwaste_narrative</t>
        </is>
      </c>
      <c r="E418" t="inlineStr">
        <is>
          <t>NA</t>
        </is>
      </c>
      <c r="F418" t="n">
        <v>93.8</v>
      </c>
      <c r="G418" t="n">
        <v>98.90000000000001</v>
      </c>
    </row>
    <row r="419">
      <c r="A419" t="inlineStr">
        <is>
          <t>RESP0077</t>
        </is>
      </c>
      <c r="B419" t="inlineStr">
        <is>
          <t>Study flow 2</t>
        </is>
      </c>
      <c r="C419" t="n">
        <v>5</v>
      </c>
      <c r="D419" t="inlineStr">
        <is>
          <t>infographic</t>
        </is>
      </c>
      <c r="E419" t="inlineStr">
        <is>
          <t>NA</t>
        </is>
      </c>
      <c r="F419" t="n">
        <v>91.8</v>
      </c>
      <c r="G419" t="n">
        <v>98.59999999999999</v>
      </c>
    </row>
    <row r="420">
      <c r="A420" t="inlineStr">
        <is>
          <t>RESP0077</t>
        </is>
      </c>
      <c r="B420" t="inlineStr">
        <is>
          <t>Study flow 2</t>
        </is>
      </c>
      <c r="C420" t="n">
        <v>6</v>
      </c>
      <c r="D420" t="inlineStr">
        <is>
          <t>Questionnaire</t>
        </is>
      </c>
      <c r="E420" t="inlineStr">
        <is>
          <t>NA</t>
        </is>
      </c>
      <c r="F420" t="n">
        <v>90.2</v>
      </c>
      <c r="G420" t="n">
        <v>98.09999999999999</v>
      </c>
    </row>
    <row r="421">
      <c r="A421" t="inlineStr">
        <is>
          <t>RESP0077</t>
        </is>
      </c>
      <c r="B421" t="inlineStr">
        <is>
          <t>Study flow 2</t>
        </is>
      </c>
      <c r="C421" t="n">
        <v>7</v>
      </c>
      <c r="D421" t="inlineStr">
        <is>
          <t>Post-study calibration</t>
        </is>
      </c>
      <c r="E421" t="n">
        <v>4.07</v>
      </c>
      <c r="F421" t="n">
        <v>94.3</v>
      </c>
      <c r="G421" t="n">
        <v>99</v>
      </c>
    </row>
    <row r="422">
      <c r="A422" t="inlineStr">
        <is>
          <t>RESP0078</t>
        </is>
      </c>
      <c r="B422" t="inlineStr">
        <is>
          <t>Study flow 2</t>
        </is>
      </c>
      <c r="C422" t="n">
        <v>1</v>
      </c>
      <c r="D422" t="inlineStr">
        <is>
          <t>Pre-study calibration</t>
        </is>
      </c>
      <c r="E422" t="n">
        <v>2.57</v>
      </c>
      <c r="F422" t="n">
        <v>86.2</v>
      </c>
      <c r="G422" t="n">
        <v>98</v>
      </c>
    </row>
    <row r="423">
      <c r="A423" t="inlineStr">
        <is>
          <t>RESP0078</t>
        </is>
      </c>
      <c r="B423" t="inlineStr">
        <is>
          <t>Study flow 2</t>
        </is>
      </c>
      <c r="C423" t="n">
        <v>2</v>
      </c>
      <c r="D423" t="inlineStr">
        <is>
          <t>Instructions1</t>
        </is>
      </c>
      <c r="E423" t="inlineStr">
        <is>
          <t>NA</t>
        </is>
      </c>
      <c r="F423" t="n">
        <v>81.2</v>
      </c>
      <c r="G423" t="n">
        <v>98.2</v>
      </c>
    </row>
    <row r="424">
      <c r="A424" t="inlineStr">
        <is>
          <t>RESP0078</t>
        </is>
      </c>
      <c r="B424" t="inlineStr">
        <is>
          <t>Study flow 2</t>
        </is>
      </c>
      <c r="C424" t="n">
        <v>3</v>
      </c>
      <c r="D424" t="inlineStr">
        <is>
          <t>foodwaste_visual</t>
        </is>
      </c>
      <c r="E424" t="inlineStr">
        <is>
          <t>NA</t>
        </is>
      </c>
      <c r="F424" t="n">
        <v>85.2</v>
      </c>
      <c r="G424" t="n">
        <v>98.3</v>
      </c>
    </row>
    <row r="425">
      <c r="A425" t="inlineStr">
        <is>
          <t>RESP0078</t>
        </is>
      </c>
      <c r="B425" t="inlineStr">
        <is>
          <t>Study flow 2</t>
        </is>
      </c>
      <c r="C425" t="n">
        <v>4</v>
      </c>
      <c r="D425" t="inlineStr">
        <is>
          <t>foodwaste_narrative</t>
        </is>
      </c>
      <c r="E425" t="inlineStr">
        <is>
          <t>NA</t>
        </is>
      </c>
      <c r="F425" t="n">
        <v>81.90000000000001</v>
      </c>
      <c r="G425" t="n">
        <v>98.2</v>
      </c>
    </row>
    <row r="426">
      <c r="A426" t="inlineStr">
        <is>
          <t>RESP0078</t>
        </is>
      </c>
      <c r="B426" t="inlineStr">
        <is>
          <t>Study flow 2</t>
        </is>
      </c>
      <c r="C426" t="n">
        <v>5</v>
      </c>
      <c r="D426" t="inlineStr">
        <is>
          <t>infographic</t>
        </is>
      </c>
      <c r="E426" t="inlineStr">
        <is>
          <t>NA</t>
        </is>
      </c>
      <c r="F426" t="n">
        <v>77.09999999999999</v>
      </c>
      <c r="G426" t="n">
        <v>98.5</v>
      </c>
    </row>
    <row r="427">
      <c r="A427" t="inlineStr">
        <is>
          <t>RESP0078</t>
        </is>
      </c>
      <c r="B427" t="inlineStr">
        <is>
          <t>Study flow 2</t>
        </is>
      </c>
      <c r="C427" t="n">
        <v>6</v>
      </c>
      <c r="D427" t="inlineStr">
        <is>
          <t>Questionnaire</t>
        </is>
      </c>
      <c r="E427" t="inlineStr">
        <is>
          <t>NA</t>
        </is>
      </c>
      <c r="F427" t="n">
        <v>65.59999999999999</v>
      </c>
      <c r="G427" t="n">
        <v>98.5</v>
      </c>
    </row>
    <row r="428">
      <c r="A428" t="inlineStr">
        <is>
          <t>RESP0078</t>
        </is>
      </c>
      <c r="B428" t="inlineStr">
        <is>
          <t>Study flow 2</t>
        </is>
      </c>
      <c r="C428" t="n">
        <v>7</v>
      </c>
      <c r="D428" t="inlineStr">
        <is>
          <t>Post-study calibration</t>
        </is>
      </c>
      <c r="E428" t="n">
        <v>3.27</v>
      </c>
      <c r="F428" t="n">
        <v>74.40000000000001</v>
      </c>
      <c r="G428" t="n">
        <v>98.09999999999999</v>
      </c>
    </row>
    <row r="429">
      <c r="A429" t="inlineStr">
        <is>
          <t>RESP0079</t>
        </is>
      </c>
      <c r="B429" t="inlineStr">
        <is>
          <t>Study flow 1</t>
        </is>
      </c>
      <c r="C429" t="n">
        <v>1</v>
      </c>
      <c r="D429" t="inlineStr">
        <is>
          <t>Pre-study calibration</t>
        </is>
      </c>
      <c r="E429" t="n">
        <v>1.52</v>
      </c>
      <c r="F429" t="n">
        <v>98.90000000000001</v>
      </c>
      <c r="G429" t="n">
        <v>97.3</v>
      </c>
    </row>
    <row r="430">
      <c r="A430" t="inlineStr">
        <is>
          <t>RESP0079</t>
        </is>
      </c>
      <c r="B430" t="inlineStr">
        <is>
          <t>Study flow 1</t>
        </is>
      </c>
      <c r="C430" t="n">
        <v>2</v>
      </c>
      <c r="D430" t="inlineStr">
        <is>
          <t>Instructions1</t>
        </is>
      </c>
      <c r="E430" t="inlineStr">
        <is>
          <t>NA</t>
        </is>
      </c>
      <c r="F430" t="n">
        <v>98.40000000000001</v>
      </c>
      <c r="G430" t="n">
        <v>97.5</v>
      </c>
    </row>
    <row r="431">
      <c r="A431" t="inlineStr">
        <is>
          <t>RESP0079</t>
        </is>
      </c>
      <c r="B431" t="inlineStr">
        <is>
          <t>Study flow 1</t>
        </is>
      </c>
      <c r="C431" t="n">
        <v>3</v>
      </c>
      <c r="D431" t="inlineStr">
        <is>
          <t>foodwaste_narrative</t>
        </is>
      </c>
      <c r="E431" t="inlineStr">
        <is>
          <t>NA</t>
        </is>
      </c>
      <c r="F431" t="n">
        <v>98.7</v>
      </c>
      <c r="G431" t="n">
        <v>96.7</v>
      </c>
    </row>
    <row r="432">
      <c r="A432" t="inlineStr">
        <is>
          <t>RESP0079</t>
        </is>
      </c>
      <c r="B432" t="inlineStr">
        <is>
          <t>Study flow 1</t>
        </is>
      </c>
      <c r="C432" t="n">
        <v>4</v>
      </c>
      <c r="D432" t="inlineStr">
        <is>
          <t>foodwaste_visual</t>
        </is>
      </c>
      <c r="E432" t="inlineStr">
        <is>
          <t>NA</t>
        </is>
      </c>
      <c r="F432" t="n">
        <v>99</v>
      </c>
      <c r="G432" t="n">
        <v>96.2</v>
      </c>
    </row>
    <row r="433">
      <c r="A433" t="inlineStr">
        <is>
          <t>RESP0079</t>
        </is>
      </c>
      <c r="B433" t="inlineStr">
        <is>
          <t>Study flow 1</t>
        </is>
      </c>
      <c r="C433" t="n">
        <v>5</v>
      </c>
      <c r="D433" t="inlineStr">
        <is>
          <t>infographic</t>
        </is>
      </c>
      <c r="E433" t="inlineStr">
        <is>
          <t>NA</t>
        </is>
      </c>
      <c r="F433" t="n">
        <v>99.3</v>
      </c>
      <c r="G433" t="n">
        <v>97.40000000000001</v>
      </c>
    </row>
    <row r="434">
      <c r="A434" t="inlineStr">
        <is>
          <t>RESP0079</t>
        </is>
      </c>
      <c r="B434" t="inlineStr">
        <is>
          <t>Study flow 1</t>
        </is>
      </c>
      <c r="C434" t="n">
        <v>6</v>
      </c>
      <c r="D434" t="inlineStr">
        <is>
          <t>Questionnaire</t>
        </is>
      </c>
      <c r="E434" t="inlineStr">
        <is>
          <t>NA</t>
        </is>
      </c>
      <c r="F434" t="n">
        <v>97.59999999999999</v>
      </c>
      <c r="G434" t="n">
        <v>96.90000000000001</v>
      </c>
    </row>
    <row r="435">
      <c r="A435" t="inlineStr">
        <is>
          <t>RESP0079</t>
        </is>
      </c>
      <c r="B435" t="inlineStr">
        <is>
          <t>Study flow 1</t>
        </is>
      </c>
      <c r="C435" t="n">
        <v>7</v>
      </c>
      <c r="D435" t="inlineStr">
        <is>
          <t>Post-study calibration</t>
        </is>
      </c>
      <c r="E435" t="n">
        <v>2.31</v>
      </c>
      <c r="F435" t="n">
        <v>98.7</v>
      </c>
      <c r="G435" t="n">
        <v>95.2</v>
      </c>
    </row>
    <row r="436">
      <c r="A436" t="inlineStr">
        <is>
          <t>RESP0080</t>
        </is>
      </c>
      <c r="B436" t="inlineStr">
        <is>
          <t>Study flow 2</t>
        </is>
      </c>
      <c r="C436" t="n">
        <v>1</v>
      </c>
      <c r="D436" t="inlineStr">
        <is>
          <t>Pre-study calibration</t>
        </is>
      </c>
      <c r="E436" t="n">
        <v>4.36</v>
      </c>
      <c r="F436" t="n">
        <v>77.2</v>
      </c>
      <c r="G436" t="n">
        <v>82.3</v>
      </c>
    </row>
    <row r="437">
      <c r="A437" t="inlineStr">
        <is>
          <t>RESP0080</t>
        </is>
      </c>
      <c r="B437" t="inlineStr">
        <is>
          <t>Study flow 2</t>
        </is>
      </c>
      <c r="C437" t="n">
        <v>2</v>
      </c>
      <c r="D437" t="inlineStr">
        <is>
          <t>Instructions1</t>
        </is>
      </c>
      <c r="E437" t="inlineStr">
        <is>
          <t>NA</t>
        </is>
      </c>
      <c r="F437" t="n">
        <v>62.4</v>
      </c>
      <c r="G437" t="n">
        <v>82.3</v>
      </c>
    </row>
    <row r="438">
      <c r="A438" t="inlineStr">
        <is>
          <t>RESP0080</t>
        </is>
      </c>
      <c r="B438" t="inlineStr">
        <is>
          <t>Study flow 2</t>
        </is>
      </c>
      <c r="C438" t="n">
        <v>3</v>
      </c>
      <c r="D438" t="inlineStr">
        <is>
          <t>foodwaste_visual</t>
        </is>
      </c>
      <c r="E438" t="inlineStr">
        <is>
          <t>NA</t>
        </is>
      </c>
      <c r="F438" t="n">
        <v>66.09999999999999</v>
      </c>
      <c r="G438" t="n">
        <v>79.90000000000001</v>
      </c>
    </row>
    <row r="439">
      <c r="A439" t="inlineStr">
        <is>
          <t>RESP0080</t>
        </is>
      </c>
      <c r="B439" t="inlineStr">
        <is>
          <t>Study flow 2</t>
        </is>
      </c>
      <c r="C439" t="n">
        <v>4</v>
      </c>
      <c r="D439" t="inlineStr">
        <is>
          <t>foodwaste_narrative</t>
        </is>
      </c>
      <c r="E439" t="inlineStr">
        <is>
          <t>NA</t>
        </is>
      </c>
      <c r="F439" t="n">
        <v>86.7</v>
      </c>
      <c r="G439" t="n">
        <v>87.09999999999999</v>
      </c>
    </row>
    <row r="440">
      <c r="A440" t="inlineStr">
        <is>
          <t>RESP0080</t>
        </is>
      </c>
      <c r="B440" t="inlineStr">
        <is>
          <t>Study flow 2</t>
        </is>
      </c>
      <c r="C440" t="n">
        <v>5</v>
      </c>
      <c r="D440" t="inlineStr">
        <is>
          <t>infographic</t>
        </is>
      </c>
      <c r="E440" t="inlineStr">
        <is>
          <t>NA</t>
        </is>
      </c>
      <c r="F440" t="n">
        <v>61</v>
      </c>
      <c r="G440" t="n">
        <v>93.40000000000001</v>
      </c>
    </row>
    <row r="441">
      <c r="A441" t="inlineStr">
        <is>
          <t>RESP0080</t>
        </is>
      </c>
      <c r="B441" t="inlineStr">
        <is>
          <t>Study flow 2</t>
        </is>
      </c>
      <c r="C441" t="n">
        <v>6</v>
      </c>
      <c r="D441" t="inlineStr">
        <is>
          <t>Questionnaire</t>
        </is>
      </c>
      <c r="E441" t="inlineStr">
        <is>
          <t>NA</t>
        </is>
      </c>
      <c r="F441" t="n">
        <v>64.7</v>
      </c>
      <c r="G441" t="n">
        <v>81.09999999999999</v>
      </c>
    </row>
    <row r="442">
      <c r="A442" t="inlineStr">
        <is>
          <t>RESP0080</t>
        </is>
      </c>
      <c r="B442" t="inlineStr">
        <is>
          <t>Study flow 2</t>
        </is>
      </c>
      <c r="C442" t="n">
        <v>7</v>
      </c>
      <c r="D442" t="inlineStr">
        <is>
          <t>Post-study calibration</t>
        </is>
      </c>
      <c r="E442" t="n">
        <v>5.45</v>
      </c>
      <c r="F442" t="n">
        <v>69.59999999999999</v>
      </c>
      <c r="G442" t="n">
        <v>86.09999999999999</v>
      </c>
    </row>
    <row r="443">
      <c r="A443" t="inlineStr">
        <is>
          <t>RESP0081</t>
        </is>
      </c>
      <c r="B443" t="inlineStr">
        <is>
          <t>Study flow 2</t>
        </is>
      </c>
      <c r="C443" t="n">
        <v>1</v>
      </c>
      <c r="D443" t="inlineStr">
        <is>
          <t>Pre-study calibration</t>
        </is>
      </c>
      <c r="E443" t="n">
        <v>2.03</v>
      </c>
      <c r="F443" t="n">
        <v>96.8</v>
      </c>
      <c r="G443" t="n">
        <v>99.3</v>
      </c>
    </row>
    <row r="444">
      <c r="A444" t="inlineStr">
        <is>
          <t>RESP0081</t>
        </is>
      </c>
      <c r="B444" t="inlineStr">
        <is>
          <t>Study flow 2</t>
        </is>
      </c>
      <c r="C444" t="n">
        <v>2</v>
      </c>
      <c r="D444" t="inlineStr">
        <is>
          <t>Instructions1</t>
        </is>
      </c>
      <c r="E444" t="inlineStr">
        <is>
          <t>NA</t>
        </is>
      </c>
      <c r="F444" t="n">
        <v>96.90000000000001</v>
      </c>
      <c r="G444" t="n">
        <v>99.5</v>
      </c>
    </row>
    <row r="445">
      <c r="A445" t="inlineStr">
        <is>
          <t>RESP0081</t>
        </is>
      </c>
      <c r="B445" t="inlineStr">
        <is>
          <t>Study flow 2</t>
        </is>
      </c>
      <c r="C445" t="n">
        <v>3</v>
      </c>
      <c r="D445" t="inlineStr">
        <is>
          <t>foodwaste_visual</t>
        </is>
      </c>
      <c r="E445" t="inlineStr">
        <is>
          <t>NA</t>
        </is>
      </c>
      <c r="F445" t="n">
        <v>97.5</v>
      </c>
      <c r="G445" t="n">
        <v>99.40000000000001</v>
      </c>
    </row>
    <row r="446">
      <c r="A446" t="inlineStr">
        <is>
          <t>RESP0081</t>
        </is>
      </c>
      <c r="B446" t="inlineStr">
        <is>
          <t>Study flow 2</t>
        </is>
      </c>
      <c r="C446" t="n">
        <v>4</v>
      </c>
      <c r="D446" t="inlineStr">
        <is>
          <t>foodwaste_narrative</t>
        </is>
      </c>
      <c r="E446" t="inlineStr">
        <is>
          <t>NA</t>
        </is>
      </c>
      <c r="F446" t="n">
        <v>98.09999999999999</v>
      </c>
      <c r="G446" t="n">
        <v>99.3</v>
      </c>
    </row>
    <row r="447">
      <c r="A447" t="inlineStr">
        <is>
          <t>RESP0081</t>
        </is>
      </c>
      <c r="B447" t="inlineStr">
        <is>
          <t>Study flow 2</t>
        </is>
      </c>
      <c r="C447" t="n">
        <v>5</v>
      </c>
      <c r="D447" t="inlineStr">
        <is>
          <t>infographic</t>
        </is>
      </c>
      <c r="E447" t="inlineStr">
        <is>
          <t>NA</t>
        </is>
      </c>
      <c r="F447" t="n">
        <v>97.8</v>
      </c>
      <c r="G447" t="n">
        <v>98.90000000000001</v>
      </c>
    </row>
    <row r="448">
      <c r="A448" t="inlineStr">
        <is>
          <t>RESP0081</t>
        </is>
      </c>
      <c r="B448" t="inlineStr">
        <is>
          <t>Study flow 2</t>
        </is>
      </c>
      <c r="C448" t="n">
        <v>6</v>
      </c>
      <c r="D448" t="inlineStr">
        <is>
          <t>Questionnaire</t>
        </is>
      </c>
      <c r="E448" t="inlineStr">
        <is>
          <t>NA</t>
        </is>
      </c>
      <c r="F448" t="n">
        <v>98.90000000000001</v>
      </c>
      <c r="G448" t="n">
        <v>99</v>
      </c>
    </row>
    <row r="449">
      <c r="A449" t="inlineStr">
        <is>
          <t>RESP0081</t>
        </is>
      </c>
      <c r="B449" t="inlineStr">
        <is>
          <t>Study flow 2</t>
        </is>
      </c>
      <c r="C449" t="n">
        <v>7</v>
      </c>
      <c r="D449" t="inlineStr">
        <is>
          <t>Post-study calibration</t>
        </is>
      </c>
      <c r="E449" t="n">
        <v>1.54</v>
      </c>
      <c r="F449" t="n">
        <v>97.8</v>
      </c>
      <c r="G449" t="n">
        <v>99.09999999999999</v>
      </c>
    </row>
    <row r="450">
      <c r="A450" t="inlineStr">
        <is>
          <t>RESP0082</t>
        </is>
      </c>
      <c r="B450" t="inlineStr">
        <is>
          <t>Study flow 1</t>
        </is>
      </c>
      <c r="C450" t="n">
        <v>1</v>
      </c>
      <c r="D450" t="inlineStr">
        <is>
          <t>Pre-study calibration</t>
        </is>
      </c>
      <c r="E450" t="n">
        <v>2.26</v>
      </c>
      <c r="F450" t="n">
        <v>93.90000000000001</v>
      </c>
      <c r="G450" t="n">
        <v>98</v>
      </c>
    </row>
    <row r="451">
      <c r="A451" t="inlineStr">
        <is>
          <t>RESP0082</t>
        </is>
      </c>
      <c r="B451" t="inlineStr">
        <is>
          <t>Study flow 1</t>
        </is>
      </c>
      <c r="C451" t="n">
        <v>2</v>
      </c>
      <c r="D451" t="inlineStr">
        <is>
          <t>Instructions1</t>
        </is>
      </c>
      <c r="E451" t="inlineStr">
        <is>
          <t>NA</t>
        </is>
      </c>
      <c r="F451" t="n">
        <v>90.7</v>
      </c>
      <c r="G451" t="n">
        <v>98</v>
      </c>
    </row>
    <row r="452">
      <c r="A452" t="inlineStr">
        <is>
          <t>RESP0082</t>
        </is>
      </c>
      <c r="B452" t="inlineStr">
        <is>
          <t>Study flow 1</t>
        </is>
      </c>
      <c r="C452" t="n">
        <v>3</v>
      </c>
      <c r="D452" t="inlineStr">
        <is>
          <t>foodwaste_narrative</t>
        </is>
      </c>
      <c r="E452" t="inlineStr">
        <is>
          <t>NA</t>
        </is>
      </c>
      <c r="F452" t="n">
        <v>97.40000000000001</v>
      </c>
      <c r="G452" t="n">
        <v>98</v>
      </c>
    </row>
    <row r="453">
      <c r="A453" t="inlineStr">
        <is>
          <t>RESP0082</t>
        </is>
      </c>
      <c r="B453" t="inlineStr">
        <is>
          <t>Study flow 1</t>
        </is>
      </c>
      <c r="C453" t="n">
        <v>4</v>
      </c>
      <c r="D453" t="inlineStr">
        <is>
          <t>foodwaste_visual</t>
        </is>
      </c>
      <c r="E453" t="inlineStr">
        <is>
          <t>NA</t>
        </is>
      </c>
      <c r="F453" t="n">
        <v>95.7</v>
      </c>
      <c r="G453" t="n">
        <v>99.2</v>
      </c>
    </row>
    <row r="454">
      <c r="A454" t="inlineStr">
        <is>
          <t>RESP0082</t>
        </is>
      </c>
      <c r="B454" t="inlineStr">
        <is>
          <t>Study flow 1</t>
        </is>
      </c>
      <c r="C454" t="n">
        <v>5</v>
      </c>
      <c r="D454" t="inlineStr">
        <is>
          <t>infographic</t>
        </is>
      </c>
      <c r="E454" t="inlineStr">
        <is>
          <t>NA</t>
        </is>
      </c>
      <c r="F454" t="n">
        <v>95.5</v>
      </c>
      <c r="G454" t="n">
        <v>98.40000000000001</v>
      </c>
    </row>
    <row r="455">
      <c r="A455" t="inlineStr">
        <is>
          <t>RESP0082</t>
        </is>
      </c>
      <c r="B455" t="inlineStr">
        <is>
          <t>Study flow 1</t>
        </is>
      </c>
      <c r="C455" t="n">
        <v>6</v>
      </c>
      <c r="D455" t="inlineStr">
        <is>
          <t>Questionnaire</t>
        </is>
      </c>
      <c r="E455" t="inlineStr">
        <is>
          <t>NA</t>
        </is>
      </c>
      <c r="F455" t="n">
        <v>94.5</v>
      </c>
      <c r="G455" t="n">
        <v>97.3</v>
      </c>
    </row>
    <row r="456">
      <c r="A456" t="inlineStr">
        <is>
          <t>RESP0082</t>
        </is>
      </c>
      <c r="B456" t="inlineStr">
        <is>
          <t>Study flow 1</t>
        </is>
      </c>
      <c r="C456" t="n">
        <v>7</v>
      </c>
      <c r="D456" t="inlineStr">
        <is>
          <t>Post-study calibration</t>
        </is>
      </c>
      <c r="E456" t="n">
        <v>2.17</v>
      </c>
      <c r="F456" t="n">
        <v>93.59999999999999</v>
      </c>
      <c r="G456" t="n">
        <v>99.09999999999999</v>
      </c>
    </row>
    <row r="457">
      <c r="A457" t="inlineStr">
        <is>
          <t>RESP0084</t>
        </is>
      </c>
      <c r="B457" t="inlineStr">
        <is>
          <t>Study flow 1</t>
        </is>
      </c>
      <c r="C457" t="n">
        <v>1</v>
      </c>
      <c r="D457" t="inlineStr">
        <is>
          <t>Pre-study calibration</t>
        </is>
      </c>
      <c r="E457" t="n">
        <v>6.29</v>
      </c>
      <c r="F457" t="n">
        <v>89.90000000000001</v>
      </c>
      <c r="G457" t="n">
        <v>99.40000000000001</v>
      </c>
    </row>
    <row r="458">
      <c r="A458" t="inlineStr">
        <is>
          <t>RESP0084</t>
        </is>
      </c>
      <c r="B458" t="inlineStr">
        <is>
          <t>Study flow 1</t>
        </is>
      </c>
      <c r="C458" t="n">
        <v>2</v>
      </c>
      <c r="D458" t="inlineStr">
        <is>
          <t>Instructions1</t>
        </is>
      </c>
      <c r="E458" t="inlineStr">
        <is>
          <t>NA</t>
        </is>
      </c>
      <c r="F458" t="n">
        <v>85.2</v>
      </c>
      <c r="G458" t="n">
        <v>99.3</v>
      </c>
    </row>
    <row r="459">
      <c r="A459" t="inlineStr">
        <is>
          <t>RESP0084</t>
        </is>
      </c>
      <c r="B459" t="inlineStr">
        <is>
          <t>Study flow 1</t>
        </is>
      </c>
      <c r="C459" t="n">
        <v>3</v>
      </c>
      <c r="D459" t="inlineStr">
        <is>
          <t>foodwaste_narrative</t>
        </is>
      </c>
      <c r="E459" t="inlineStr">
        <is>
          <t>NA</t>
        </is>
      </c>
      <c r="F459" t="n">
        <v>91.3</v>
      </c>
      <c r="G459" t="n">
        <v>99.8</v>
      </c>
    </row>
    <row r="460">
      <c r="A460" t="inlineStr">
        <is>
          <t>RESP0084</t>
        </is>
      </c>
      <c r="B460" t="inlineStr">
        <is>
          <t>Study flow 1</t>
        </is>
      </c>
      <c r="C460" t="n">
        <v>4</v>
      </c>
      <c r="D460" t="inlineStr">
        <is>
          <t>foodwaste_visual</t>
        </is>
      </c>
      <c r="E460" t="inlineStr">
        <is>
          <t>NA</t>
        </is>
      </c>
      <c r="F460" t="n">
        <v>87</v>
      </c>
      <c r="G460" t="n">
        <v>99.09999999999999</v>
      </c>
    </row>
    <row r="461">
      <c r="A461" t="inlineStr">
        <is>
          <t>RESP0084</t>
        </is>
      </c>
      <c r="B461" t="inlineStr">
        <is>
          <t>Study flow 1</t>
        </is>
      </c>
      <c r="C461" t="n">
        <v>5</v>
      </c>
      <c r="D461" t="inlineStr">
        <is>
          <t>infographic</t>
        </is>
      </c>
      <c r="E461" t="inlineStr">
        <is>
          <t>NA</t>
        </is>
      </c>
      <c r="F461" t="n">
        <v>92.3</v>
      </c>
      <c r="G461" t="n">
        <v>99.59999999999999</v>
      </c>
    </row>
    <row r="462">
      <c r="A462" t="inlineStr">
        <is>
          <t>RESP0084</t>
        </is>
      </c>
      <c r="B462" t="inlineStr">
        <is>
          <t>Study flow 1</t>
        </is>
      </c>
      <c r="C462" t="n">
        <v>6</v>
      </c>
      <c r="D462" t="inlineStr">
        <is>
          <t>Questionnaire</t>
        </is>
      </c>
      <c r="E462" t="inlineStr">
        <is>
          <t>NA</t>
        </is>
      </c>
      <c r="F462" t="n">
        <v>94.90000000000001</v>
      </c>
      <c r="G462" t="n">
        <v>99.5</v>
      </c>
    </row>
    <row r="463">
      <c r="A463" t="inlineStr">
        <is>
          <t>RESP0084</t>
        </is>
      </c>
      <c r="B463" t="inlineStr">
        <is>
          <t>Study flow 1</t>
        </is>
      </c>
      <c r="C463" t="n">
        <v>7</v>
      </c>
      <c r="D463" t="inlineStr">
        <is>
          <t>Post-study calibration</t>
        </is>
      </c>
      <c r="E463" t="n">
        <v>6.73</v>
      </c>
      <c r="F463" t="n">
        <v>91.2</v>
      </c>
      <c r="G463" t="n">
        <v>99.59999999999999</v>
      </c>
    </row>
    <row r="464">
      <c r="A464" t="inlineStr">
        <is>
          <t>RESP0085</t>
        </is>
      </c>
      <c r="B464" t="inlineStr">
        <is>
          <t>Study flow 2</t>
        </is>
      </c>
      <c r="C464" t="n">
        <v>1</v>
      </c>
      <c r="D464" t="inlineStr">
        <is>
          <t>Pre-study calibration</t>
        </is>
      </c>
      <c r="E464" t="n">
        <v>2.65</v>
      </c>
      <c r="F464" t="n">
        <v>97.5</v>
      </c>
      <c r="G464" t="n">
        <v>98</v>
      </c>
    </row>
    <row r="465">
      <c r="A465" t="inlineStr">
        <is>
          <t>RESP0085</t>
        </is>
      </c>
      <c r="B465" t="inlineStr">
        <is>
          <t>Study flow 2</t>
        </is>
      </c>
      <c r="C465" t="n">
        <v>2</v>
      </c>
      <c r="D465" t="inlineStr">
        <is>
          <t>Instructions1</t>
        </is>
      </c>
      <c r="E465" t="inlineStr">
        <is>
          <t>NA</t>
        </is>
      </c>
      <c r="F465" t="n">
        <v>96.7</v>
      </c>
      <c r="G465" t="n">
        <v>98.40000000000001</v>
      </c>
    </row>
    <row r="466">
      <c r="A466" t="inlineStr">
        <is>
          <t>RESP0085</t>
        </is>
      </c>
      <c r="B466" t="inlineStr">
        <is>
          <t>Study flow 2</t>
        </is>
      </c>
      <c r="C466" t="n">
        <v>3</v>
      </c>
      <c r="D466" t="inlineStr">
        <is>
          <t>foodwaste_visual</t>
        </is>
      </c>
      <c r="E466" t="inlineStr">
        <is>
          <t>NA</t>
        </is>
      </c>
      <c r="F466" t="n">
        <v>97.59999999999999</v>
      </c>
      <c r="G466" t="n">
        <v>98.40000000000001</v>
      </c>
    </row>
    <row r="467">
      <c r="A467" t="inlineStr">
        <is>
          <t>RESP0085</t>
        </is>
      </c>
      <c r="B467" t="inlineStr">
        <is>
          <t>Study flow 2</t>
        </is>
      </c>
      <c r="C467" t="n">
        <v>4</v>
      </c>
      <c r="D467" t="inlineStr">
        <is>
          <t>foodwaste_narrative</t>
        </is>
      </c>
      <c r="E467" t="inlineStr">
        <is>
          <t>NA</t>
        </is>
      </c>
      <c r="F467" t="n">
        <v>96.8</v>
      </c>
      <c r="G467" t="n">
        <v>97.59999999999999</v>
      </c>
    </row>
    <row r="468">
      <c r="A468" t="inlineStr">
        <is>
          <t>RESP0085</t>
        </is>
      </c>
      <c r="B468" t="inlineStr">
        <is>
          <t>Study flow 2</t>
        </is>
      </c>
      <c r="C468" t="n">
        <v>5</v>
      </c>
      <c r="D468" t="inlineStr">
        <is>
          <t>infographic</t>
        </is>
      </c>
      <c r="E468" t="inlineStr">
        <is>
          <t>NA</t>
        </is>
      </c>
      <c r="F468" t="n">
        <v>96.7</v>
      </c>
      <c r="G468" t="n">
        <v>96.3</v>
      </c>
    </row>
    <row r="469">
      <c r="A469" t="inlineStr">
        <is>
          <t>RESP0085</t>
        </is>
      </c>
      <c r="B469" t="inlineStr">
        <is>
          <t>Study flow 2</t>
        </is>
      </c>
      <c r="C469" t="n">
        <v>6</v>
      </c>
      <c r="D469" t="inlineStr">
        <is>
          <t>Questionnaire</t>
        </is>
      </c>
      <c r="E469" t="inlineStr">
        <is>
          <t>NA</t>
        </is>
      </c>
      <c r="F469" t="n">
        <v>96.3</v>
      </c>
      <c r="G469" t="n">
        <v>97.7</v>
      </c>
    </row>
    <row r="470">
      <c r="A470" t="inlineStr">
        <is>
          <t>RESP0085</t>
        </is>
      </c>
      <c r="B470" t="inlineStr">
        <is>
          <t>Study flow 2</t>
        </is>
      </c>
      <c r="C470" t="n">
        <v>7</v>
      </c>
      <c r="D470" t="inlineStr">
        <is>
          <t>Post-study calibration</t>
        </is>
      </c>
      <c r="E470" t="n">
        <v>3.53</v>
      </c>
      <c r="F470" t="n">
        <v>96.8</v>
      </c>
      <c r="G470" t="n">
        <v>99.3</v>
      </c>
    </row>
    <row r="471">
      <c r="A471" t="inlineStr">
        <is>
          <t>RESP0088</t>
        </is>
      </c>
      <c r="B471" t="inlineStr">
        <is>
          <t>Study flow 1</t>
        </is>
      </c>
      <c r="C471" t="n">
        <v>1</v>
      </c>
      <c r="D471" t="inlineStr">
        <is>
          <t>Pre-study calibration</t>
        </is>
      </c>
      <c r="E471" t="n">
        <v>2.79</v>
      </c>
      <c r="F471" t="n">
        <v>93</v>
      </c>
      <c r="G471" t="n">
        <v>91.7</v>
      </c>
    </row>
    <row r="472">
      <c r="A472" t="inlineStr">
        <is>
          <t>RESP0088</t>
        </is>
      </c>
      <c r="B472" t="inlineStr">
        <is>
          <t>Study flow 1</t>
        </is>
      </c>
      <c r="C472" t="n">
        <v>2</v>
      </c>
      <c r="D472" t="inlineStr">
        <is>
          <t>Instructions1</t>
        </is>
      </c>
      <c r="E472" t="inlineStr">
        <is>
          <t>NA</t>
        </is>
      </c>
      <c r="F472" t="n">
        <v>92.5</v>
      </c>
      <c r="G472" t="n">
        <v>78.40000000000001</v>
      </c>
    </row>
    <row r="473">
      <c r="A473" t="inlineStr">
        <is>
          <t>RESP0088</t>
        </is>
      </c>
      <c r="B473" t="inlineStr">
        <is>
          <t>Study flow 1</t>
        </is>
      </c>
      <c r="C473" t="n">
        <v>3</v>
      </c>
      <c r="D473" t="inlineStr">
        <is>
          <t>foodwaste_narrative</t>
        </is>
      </c>
      <c r="E473" t="inlineStr">
        <is>
          <t>NA</t>
        </is>
      </c>
      <c r="F473" t="n">
        <v>85.8</v>
      </c>
      <c r="G473" t="n">
        <v>89.59999999999999</v>
      </c>
    </row>
    <row r="474">
      <c r="A474" t="inlineStr">
        <is>
          <t>RESP0088</t>
        </is>
      </c>
      <c r="B474" t="inlineStr">
        <is>
          <t>Study flow 1</t>
        </is>
      </c>
      <c r="C474" t="n">
        <v>4</v>
      </c>
      <c r="D474" t="inlineStr">
        <is>
          <t>foodwaste_visual</t>
        </is>
      </c>
      <c r="E474" t="inlineStr">
        <is>
          <t>NA</t>
        </is>
      </c>
      <c r="F474" t="n">
        <v>93.59999999999999</v>
      </c>
      <c r="G474" t="n">
        <v>85.2</v>
      </c>
    </row>
    <row r="475">
      <c r="A475" t="inlineStr">
        <is>
          <t>RESP0088</t>
        </is>
      </c>
      <c r="B475" t="inlineStr">
        <is>
          <t>Study flow 1</t>
        </is>
      </c>
      <c r="C475" t="n">
        <v>5</v>
      </c>
      <c r="D475" t="inlineStr">
        <is>
          <t>infographic</t>
        </is>
      </c>
      <c r="E475" t="inlineStr">
        <is>
          <t>NA</t>
        </is>
      </c>
      <c r="F475" t="n">
        <v>90.7</v>
      </c>
      <c r="G475" t="n">
        <v>76.09999999999999</v>
      </c>
    </row>
    <row r="476">
      <c r="A476" t="inlineStr">
        <is>
          <t>RESP0088</t>
        </is>
      </c>
      <c r="B476" t="inlineStr">
        <is>
          <t>Study flow 1</t>
        </is>
      </c>
      <c r="C476" t="n">
        <v>6</v>
      </c>
      <c r="D476" t="inlineStr">
        <is>
          <t>Questionnaire</t>
        </is>
      </c>
      <c r="E476" t="inlineStr">
        <is>
          <t>NA</t>
        </is>
      </c>
      <c r="F476" t="n">
        <v>91</v>
      </c>
      <c r="G476" t="n">
        <v>89</v>
      </c>
    </row>
    <row r="477">
      <c r="A477" t="inlineStr">
        <is>
          <t>RESP0088</t>
        </is>
      </c>
      <c r="B477" t="inlineStr">
        <is>
          <t>Study flow 1</t>
        </is>
      </c>
      <c r="C477" t="n">
        <v>7</v>
      </c>
      <c r="D477" t="inlineStr">
        <is>
          <t>Post-study calibration</t>
        </is>
      </c>
      <c r="E477" t="n">
        <v>3.95</v>
      </c>
      <c r="F477" t="n">
        <v>92.2</v>
      </c>
      <c r="G477" t="n">
        <v>91</v>
      </c>
    </row>
    <row r="478">
      <c r="A478" t="inlineStr">
        <is>
          <t>RESP0090</t>
        </is>
      </c>
      <c r="B478" t="inlineStr">
        <is>
          <t>Study flow 2</t>
        </is>
      </c>
      <c r="C478" t="n">
        <v>1</v>
      </c>
      <c r="D478" t="inlineStr">
        <is>
          <t>Pre-study calibration</t>
        </is>
      </c>
      <c r="E478" t="n">
        <v>1.01</v>
      </c>
      <c r="F478" t="n">
        <v>98</v>
      </c>
      <c r="G478" t="n">
        <v>97.8</v>
      </c>
    </row>
    <row r="479">
      <c r="A479" t="inlineStr">
        <is>
          <t>RESP0090</t>
        </is>
      </c>
      <c r="B479" t="inlineStr">
        <is>
          <t>Study flow 2</t>
        </is>
      </c>
      <c r="C479" t="n">
        <v>2</v>
      </c>
      <c r="D479" t="inlineStr">
        <is>
          <t>Instructions1</t>
        </is>
      </c>
      <c r="E479" t="inlineStr">
        <is>
          <t>NA</t>
        </is>
      </c>
      <c r="F479" t="n">
        <v>98.09999999999999</v>
      </c>
      <c r="G479" t="n">
        <v>98.8</v>
      </c>
    </row>
    <row r="480">
      <c r="A480" t="inlineStr">
        <is>
          <t>RESP0090</t>
        </is>
      </c>
      <c r="B480" t="inlineStr">
        <is>
          <t>Study flow 2</t>
        </is>
      </c>
      <c r="C480" t="n">
        <v>3</v>
      </c>
      <c r="D480" t="inlineStr">
        <is>
          <t>foodwaste_visual</t>
        </is>
      </c>
      <c r="E480" t="inlineStr">
        <is>
          <t>NA</t>
        </is>
      </c>
      <c r="F480" t="n">
        <v>97.8</v>
      </c>
      <c r="G480" t="n">
        <v>98.7</v>
      </c>
    </row>
    <row r="481">
      <c r="A481" t="inlineStr">
        <is>
          <t>RESP0090</t>
        </is>
      </c>
      <c r="B481" t="inlineStr">
        <is>
          <t>Study flow 2</t>
        </is>
      </c>
      <c r="C481" t="n">
        <v>4</v>
      </c>
      <c r="D481" t="inlineStr">
        <is>
          <t>foodwaste_narrative</t>
        </is>
      </c>
      <c r="E481" t="inlineStr">
        <is>
          <t>NA</t>
        </is>
      </c>
      <c r="F481" t="n">
        <v>94.40000000000001</v>
      </c>
      <c r="G481" t="n">
        <v>98.2</v>
      </c>
    </row>
    <row r="482">
      <c r="A482" t="inlineStr">
        <is>
          <t>RESP0090</t>
        </is>
      </c>
      <c r="B482" t="inlineStr">
        <is>
          <t>Study flow 2</t>
        </is>
      </c>
      <c r="C482" t="n">
        <v>5</v>
      </c>
      <c r="D482" t="inlineStr">
        <is>
          <t>infographic</t>
        </is>
      </c>
      <c r="E482" t="inlineStr">
        <is>
          <t>NA</t>
        </is>
      </c>
      <c r="F482" t="n">
        <v>98.2</v>
      </c>
      <c r="G482" t="n">
        <v>98.8</v>
      </c>
    </row>
    <row r="483">
      <c r="A483" t="inlineStr">
        <is>
          <t>RESP0090</t>
        </is>
      </c>
      <c r="B483" t="inlineStr">
        <is>
          <t>Study flow 2</t>
        </is>
      </c>
      <c r="C483" t="n">
        <v>6</v>
      </c>
      <c r="D483" t="inlineStr">
        <is>
          <t>Questionnaire</t>
        </is>
      </c>
      <c r="E483" t="inlineStr">
        <is>
          <t>NA</t>
        </is>
      </c>
      <c r="F483" t="n">
        <v>98.3</v>
      </c>
      <c r="G483" t="n">
        <v>98.8</v>
      </c>
    </row>
    <row r="484">
      <c r="A484" t="inlineStr">
        <is>
          <t>RESP0090</t>
        </is>
      </c>
      <c r="B484" t="inlineStr">
        <is>
          <t>Study flow 2</t>
        </is>
      </c>
      <c r="C484" t="n">
        <v>7</v>
      </c>
      <c r="D484" t="inlineStr">
        <is>
          <t>Post-study calibration</t>
        </is>
      </c>
      <c r="E484" t="n">
        <v>1.04</v>
      </c>
      <c r="F484" t="n">
        <v>95.40000000000001</v>
      </c>
      <c r="G484" t="n">
        <v>98.90000000000001</v>
      </c>
    </row>
    <row r="485">
      <c r="A485" t="inlineStr">
        <is>
          <t>RESP0093</t>
        </is>
      </c>
      <c r="B485" t="inlineStr">
        <is>
          <t>Study flow 1</t>
        </is>
      </c>
      <c r="C485" t="n">
        <v>1</v>
      </c>
      <c r="D485" t="inlineStr">
        <is>
          <t>Pre-study calibration</t>
        </is>
      </c>
      <c r="E485" t="n">
        <v>0.75</v>
      </c>
      <c r="F485" t="n">
        <v>92.8</v>
      </c>
      <c r="G485" t="n">
        <v>98.5</v>
      </c>
    </row>
    <row r="486">
      <c r="A486" t="inlineStr">
        <is>
          <t>RESP0093</t>
        </is>
      </c>
      <c r="B486" t="inlineStr">
        <is>
          <t>Study flow 1</t>
        </is>
      </c>
      <c r="C486" t="n">
        <v>2</v>
      </c>
      <c r="D486" t="inlineStr">
        <is>
          <t>Instructions1</t>
        </is>
      </c>
      <c r="E486" t="inlineStr">
        <is>
          <t>NA</t>
        </is>
      </c>
      <c r="F486" t="n">
        <v>96.40000000000001</v>
      </c>
      <c r="G486" t="n">
        <v>99.09999999999999</v>
      </c>
    </row>
    <row r="487">
      <c r="A487" t="inlineStr">
        <is>
          <t>RESP0093</t>
        </is>
      </c>
      <c r="B487" t="inlineStr">
        <is>
          <t>Study flow 1</t>
        </is>
      </c>
      <c r="C487" t="n">
        <v>3</v>
      </c>
      <c r="D487" t="inlineStr">
        <is>
          <t>foodwaste_narrative</t>
        </is>
      </c>
      <c r="E487" t="inlineStr">
        <is>
          <t>NA</t>
        </is>
      </c>
      <c r="F487" t="n">
        <v>97.8</v>
      </c>
      <c r="G487" t="n">
        <v>98.90000000000001</v>
      </c>
    </row>
    <row r="488">
      <c r="A488" t="inlineStr">
        <is>
          <t>RESP0093</t>
        </is>
      </c>
      <c r="B488" t="inlineStr">
        <is>
          <t>Study flow 1</t>
        </is>
      </c>
      <c r="C488" t="n">
        <v>4</v>
      </c>
      <c r="D488" t="inlineStr">
        <is>
          <t>foodwaste_visual</t>
        </is>
      </c>
      <c r="E488" t="inlineStr">
        <is>
          <t>NA</t>
        </is>
      </c>
      <c r="F488" t="n">
        <v>97.5</v>
      </c>
      <c r="G488" t="n">
        <v>99.2</v>
      </c>
    </row>
    <row r="489">
      <c r="A489" t="inlineStr">
        <is>
          <t>RESP0093</t>
        </is>
      </c>
      <c r="B489" t="inlineStr">
        <is>
          <t>Study flow 1</t>
        </is>
      </c>
      <c r="C489" t="n">
        <v>5</v>
      </c>
      <c r="D489" t="inlineStr">
        <is>
          <t>infographic</t>
        </is>
      </c>
      <c r="E489" t="inlineStr">
        <is>
          <t>NA</t>
        </is>
      </c>
      <c r="F489" t="n">
        <v>98</v>
      </c>
      <c r="G489" t="n">
        <v>98.90000000000001</v>
      </c>
    </row>
    <row r="490">
      <c r="A490" t="inlineStr">
        <is>
          <t>RESP0093</t>
        </is>
      </c>
      <c r="B490" t="inlineStr">
        <is>
          <t>Study flow 1</t>
        </is>
      </c>
      <c r="C490" t="n">
        <v>6</v>
      </c>
      <c r="D490" t="inlineStr">
        <is>
          <t>Questionnaire</t>
        </is>
      </c>
      <c r="E490" t="inlineStr">
        <is>
          <t>NA</t>
        </is>
      </c>
      <c r="F490" t="n">
        <v>97.40000000000001</v>
      </c>
      <c r="G490" t="n">
        <v>99</v>
      </c>
    </row>
    <row r="491">
      <c r="A491" t="inlineStr">
        <is>
          <t>RESP0093</t>
        </is>
      </c>
      <c r="B491" t="inlineStr">
        <is>
          <t>Study flow 1</t>
        </is>
      </c>
      <c r="C491" t="n">
        <v>7</v>
      </c>
      <c r="D491" t="inlineStr">
        <is>
          <t>Post-study calibration</t>
        </is>
      </c>
      <c r="E491" t="n">
        <v>1.64</v>
      </c>
      <c r="F491" t="n">
        <v>96.90000000000001</v>
      </c>
      <c r="G491" t="n">
        <v>99</v>
      </c>
    </row>
    <row r="492">
      <c r="A492" t="inlineStr">
        <is>
          <t>RESP0094</t>
        </is>
      </c>
      <c r="B492" t="inlineStr">
        <is>
          <t>Study flow 2</t>
        </is>
      </c>
      <c r="C492" t="n">
        <v>1</v>
      </c>
      <c r="D492" t="inlineStr">
        <is>
          <t>Pre-study calibration</t>
        </is>
      </c>
      <c r="E492" t="n">
        <v>2.68</v>
      </c>
      <c r="F492" t="n">
        <v>96.90000000000001</v>
      </c>
      <c r="G492" t="n">
        <v>93.90000000000001</v>
      </c>
    </row>
    <row r="493">
      <c r="A493" t="inlineStr">
        <is>
          <t>RESP0094</t>
        </is>
      </c>
      <c r="B493" t="inlineStr">
        <is>
          <t>Study flow 2</t>
        </is>
      </c>
      <c r="C493" t="n">
        <v>2</v>
      </c>
      <c r="D493" t="inlineStr">
        <is>
          <t>Instructions1</t>
        </is>
      </c>
      <c r="E493" t="inlineStr">
        <is>
          <t>NA</t>
        </is>
      </c>
      <c r="F493" t="n">
        <v>97.59999999999999</v>
      </c>
      <c r="G493" t="n">
        <v>95.59999999999999</v>
      </c>
    </row>
    <row r="494">
      <c r="A494" t="inlineStr">
        <is>
          <t>RESP0094</t>
        </is>
      </c>
      <c r="B494" t="inlineStr">
        <is>
          <t>Study flow 2</t>
        </is>
      </c>
      <c r="C494" t="n">
        <v>3</v>
      </c>
      <c r="D494" t="inlineStr">
        <is>
          <t>foodwaste_visual</t>
        </is>
      </c>
      <c r="E494" t="inlineStr">
        <is>
          <t>NA</t>
        </is>
      </c>
      <c r="F494" t="n">
        <v>98.09999999999999</v>
      </c>
      <c r="G494" t="n">
        <v>92.90000000000001</v>
      </c>
    </row>
    <row r="495">
      <c r="A495" t="inlineStr">
        <is>
          <t>RESP0094</t>
        </is>
      </c>
      <c r="B495" t="inlineStr">
        <is>
          <t>Study flow 2</t>
        </is>
      </c>
      <c r="C495" t="n">
        <v>4</v>
      </c>
      <c r="D495" t="inlineStr">
        <is>
          <t>foodwaste_narrative</t>
        </is>
      </c>
      <c r="E495" t="inlineStr">
        <is>
          <t>NA</t>
        </is>
      </c>
      <c r="F495" t="n">
        <v>98.2</v>
      </c>
      <c r="G495" t="n">
        <v>97.90000000000001</v>
      </c>
    </row>
    <row r="496">
      <c r="A496" t="inlineStr">
        <is>
          <t>RESP0094</t>
        </is>
      </c>
      <c r="B496" t="inlineStr">
        <is>
          <t>Study flow 2</t>
        </is>
      </c>
      <c r="C496" t="n">
        <v>5</v>
      </c>
      <c r="D496" t="inlineStr">
        <is>
          <t>infographic</t>
        </is>
      </c>
      <c r="E496" t="inlineStr">
        <is>
          <t>NA</t>
        </is>
      </c>
      <c r="F496" t="n">
        <v>98.09999999999999</v>
      </c>
      <c r="G496" t="n">
        <v>95.90000000000001</v>
      </c>
    </row>
    <row r="497">
      <c r="A497" t="inlineStr">
        <is>
          <t>RESP0094</t>
        </is>
      </c>
      <c r="B497" t="inlineStr">
        <is>
          <t>Study flow 2</t>
        </is>
      </c>
      <c r="C497" t="n">
        <v>6</v>
      </c>
      <c r="D497" t="inlineStr">
        <is>
          <t>Questionnaire</t>
        </is>
      </c>
      <c r="E497" t="inlineStr">
        <is>
          <t>NA</t>
        </is>
      </c>
      <c r="F497" t="n">
        <v>98.59999999999999</v>
      </c>
      <c r="G497" t="n">
        <v>96.2</v>
      </c>
    </row>
    <row r="498">
      <c r="A498" t="inlineStr">
        <is>
          <t>RESP0094</t>
        </is>
      </c>
      <c r="B498" t="inlineStr">
        <is>
          <t>Study flow 2</t>
        </is>
      </c>
      <c r="C498" t="n">
        <v>7</v>
      </c>
      <c r="D498" t="inlineStr">
        <is>
          <t>Post-study calibration</t>
        </is>
      </c>
      <c r="E498" t="n">
        <v>2.91</v>
      </c>
      <c r="F498" t="n">
        <v>97.8</v>
      </c>
      <c r="G498" t="n">
        <v>96.3</v>
      </c>
    </row>
    <row r="499">
      <c r="A499" t="inlineStr">
        <is>
          <t>RESP0095</t>
        </is>
      </c>
      <c r="B499" t="inlineStr">
        <is>
          <t>Study flow 1</t>
        </is>
      </c>
      <c r="C499" t="n">
        <v>1</v>
      </c>
      <c r="D499" t="inlineStr">
        <is>
          <t>Pre-study calibration</t>
        </is>
      </c>
      <c r="E499" t="n">
        <v>1.54</v>
      </c>
      <c r="F499" t="n">
        <v>95</v>
      </c>
      <c r="G499" t="n">
        <v>89.5</v>
      </c>
    </row>
    <row r="500">
      <c r="A500" t="inlineStr">
        <is>
          <t>RESP0095</t>
        </is>
      </c>
      <c r="B500" t="inlineStr">
        <is>
          <t>Study flow 1</t>
        </is>
      </c>
      <c r="C500" t="n">
        <v>2</v>
      </c>
      <c r="D500" t="inlineStr">
        <is>
          <t>Instructions1</t>
        </is>
      </c>
      <c r="E500" t="inlineStr">
        <is>
          <t>NA</t>
        </is>
      </c>
      <c r="F500" t="n">
        <v>96.7</v>
      </c>
      <c r="G500" t="n">
        <v>84.90000000000001</v>
      </c>
    </row>
    <row r="501">
      <c r="A501" t="inlineStr">
        <is>
          <t>RESP0095</t>
        </is>
      </c>
      <c r="B501" t="inlineStr">
        <is>
          <t>Study flow 1</t>
        </is>
      </c>
      <c r="C501" t="n">
        <v>3</v>
      </c>
      <c r="D501" t="inlineStr">
        <is>
          <t>foodwaste_narrative</t>
        </is>
      </c>
      <c r="E501" t="inlineStr">
        <is>
          <t>NA</t>
        </is>
      </c>
      <c r="F501" t="n">
        <v>93.7</v>
      </c>
      <c r="G501" t="n">
        <v>89.3</v>
      </c>
    </row>
    <row r="502">
      <c r="A502" t="inlineStr">
        <is>
          <t>RESP0095</t>
        </is>
      </c>
      <c r="B502" t="inlineStr">
        <is>
          <t>Study flow 1</t>
        </is>
      </c>
      <c r="C502" t="n">
        <v>4</v>
      </c>
      <c r="D502" t="inlineStr">
        <is>
          <t>foodwaste_visual</t>
        </is>
      </c>
      <c r="E502" t="inlineStr">
        <is>
          <t>NA</t>
        </is>
      </c>
      <c r="F502" t="n">
        <v>94.09999999999999</v>
      </c>
      <c r="G502" t="n">
        <v>92.90000000000001</v>
      </c>
    </row>
    <row r="503">
      <c r="A503" t="inlineStr">
        <is>
          <t>RESP0095</t>
        </is>
      </c>
      <c r="B503" t="inlineStr">
        <is>
          <t>Study flow 1</t>
        </is>
      </c>
      <c r="C503" t="n">
        <v>5</v>
      </c>
      <c r="D503" t="inlineStr">
        <is>
          <t>infographic</t>
        </is>
      </c>
      <c r="E503" t="inlineStr">
        <is>
          <t>NA</t>
        </is>
      </c>
      <c r="F503" t="n">
        <v>95.5</v>
      </c>
      <c r="G503" t="n">
        <v>92</v>
      </c>
    </row>
    <row r="504">
      <c r="A504" t="inlineStr">
        <is>
          <t>RESP0095</t>
        </is>
      </c>
      <c r="B504" t="inlineStr">
        <is>
          <t>Study flow 1</t>
        </is>
      </c>
      <c r="C504" t="n">
        <v>6</v>
      </c>
      <c r="D504" t="inlineStr">
        <is>
          <t>Questionnaire</t>
        </is>
      </c>
      <c r="E504" t="inlineStr">
        <is>
          <t>NA</t>
        </is>
      </c>
      <c r="F504" t="n">
        <v>94.7</v>
      </c>
      <c r="G504" t="n">
        <v>89.5</v>
      </c>
    </row>
    <row r="505">
      <c r="A505" t="inlineStr">
        <is>
          <t>RESP0095</t>
        </is>
      </c>
      <c r="B505" t="inlineStr">
        <is>
          <t>Study flow 1</t>
        </is>
      </c>
      <c r="C505" t="n">
        <v>7</v>
      </c>
      <c r="D505" t="inlineStr">
        <is>
          <t>Post-study calibration</t>
        </is>
      </c>
      <c r="E505" t="n">
        <v>2.59</v>
      </c>
      <c r="F505" t="n">
        <v>93.90000000000001</v>
      </c>
      <c r="G505" t="n">
        <v>79.09999999999999</v>
      </c>
    </row>
    <row r="506">
      <c r="A506" t="inlineStr">
        <is>
          <t>RESP0096</t>
        </is>
      </c>
      <c r="B506" t="inlineStr">
        <is>
          <t>Study flow 2</t>
        </is>
      </c>
      <c r="C506" t="n">
        <v>1</v>
      </c>
      <c r="D506" t="inlineStr">
        <is>
          <t>Pre-study calibration</t>
        </is>
      </c>
      <c r="E506" t="n">
        <v>1.92</v>
      </c>
      <c r="F506" t="n">
        <v>90.5</v>
      </c>
      <c r="G506" t="n">
        <v>94.90000000000001</v>
      </c>
    </row>
    <row r="507">
      <c r="A507" t="inlineStr">
        <is>
          <t>RESP0096</t>
        </is>
      </c>
      <c r="B507" t="inlineStr">
        <is>
          <t>Study flow 2</t>
        </is>
      </c>
      <c r="C507" t="n">
        <v>2</v>
      </c>
      <c r="D507" t="inlineStr">
        <is>
          <t>Instructions1</t>
        </is>
      </c>
      <c r="E507" t="inlineStr">
        <is>
          <t>NA</t>
        </is>
      </c>
      <c r="F507" t="n">
        <v>92.5</v>
      </c>
      <c r="G507" t="n">
        <v>95.40000000000001</v>
      </c>
    </row>
    <row r="508">
      <c r="A508" t="inlineStr">
        <is>
          <t>RESP0096</t>
        </is>
      </c>
      <c r="B508" t="inlineStr">
        <is>
          <t>Study flow 2</t>
        </is>
      </c>
      <c r="C508" t="n">
        <v>3</v>
      </c>
      <c r="D508" t="inlineStr">
        <is>
          <t>foodwaste_visual</t>
        </is>
      </c>
      <c r="E508" t="inlineStr">
        <is>
          <t>NA</t>
        </is>
      </c>
      <c r="F508" t="n">
        <v>90.40000000000001</v>
      </c>
      <c r="G508" t="n">
        <v>96.8</v>
      </c>
    </row>
    <row r="509">
      <c r="A509" t="inlineStr">
        <is>
          <t>RESP0096</t>
        </is>
      </c>
      <c r="B509" t="inlineStr">
        <is>
          <t>Study flow 2</t>
        </is>
      </c>
      <c r="C509" t="n">
        <v>4</v>
      </c>
      <c r="D509" t="inlineStr">
        <is>
          <t>foodwaste_narrative</t>
        </is>
      </c>
      <c r="E509" t="inlineStr">
        <is>
          <t>NA</t>
        </is>
      </c>
      <c r="F509" t="n">
        <v>83.5</v>
      </c>
      <c r="G509" t="n">
        <v>89.09999999999999</v>
      </c>
    </row>
    <row r="510">
      <c r="A510" t="inlineStr">
        <is>
          <t>RESP0096</t>
        </is>
      </c>
      <c r="B510" t="inlineStr">
        <is>
          <t>Study flow 2</t>
        </is>
      </c>
      <c r="C510" t="n">
        <v>5</v>
      </c>
      <c r="D510" t="inlineStr">
        <is>
          <t>infographic</t>
        </is>
      </c>
      <c r="E510" t="inlineStr">
        <is>
          <t>NA</t>
        </is>
      </c>
      <c r="F510" t="n">
        <v>84</v>
      </c>
      <c r="G510" t="n">
        <v>96.8</v>
      </c>
    </row>
    <row r="511">
      <c r="A511" t="inlineStr">
        <is>
          <t>RESP0096</t>
        </is>
      </c>
      <c r="B511" t="inlineStr">
        <is>
          <t>Study flow 2</t>
        </is>
      </c>
      <c r="C511" t="n">
        <v>6</v>
      </c>
      <c r="D511" t="inlineStr">
        <is>
          <t>Questionnaire</t>
        </is>
      </c>
      <c r="E511" t="inlineStr">
        <is>
          <t>NA</t>
        </is>
      </c>
      <c r="F511" t="n">
        <v>80.09999999999999</v>
      </c>
      <c r="G511" t="n">
        <v>95.5</v>
      </c>
    </row>
    <row r="512">
      <c r="A512" t="inlineStr">
        <is>
          <t>RESP0096</t>
        </is>
      </c>
      <c r="B512" t="inlineStr">
        <is>
          <t>Study flow 2</t>
        </is>
      </c>
      <c r="C512" t="n">
        <v>7</v>
      </c>
      <c r="D512" t="inlineStr">
        <is>
          <t>Post-study calibration</t>
        </is>
      </c>
      <c r="E512" t="n">
        <v>2.63</v>
      </c>
      <c r="F512" t="n">
        <v>87.59999999999999</v>
      </c>
      <c r="G512" t="n">
        <v>95.5</v>
      </c>
    </row>
    <row r="513">
      <c r="A513" t="inlineStr">
        <is>
          <t>RESP0098</t>
        </is>
      </c>
      <c r="B513" t="inlineStr">
        <is>
          <t>Study flow 1</t>
        </is>
      </c>
      <c r="C513" t="n">
        <v>1</v>
      </c>
      <c r="D513" t="inlineStr">
        <is>
          <t>Pre-study calibration</t>
        </is>
      </c>
      <c r="E513" t="n">
        <v>1.73</v>
      </c>
      <c r="F513" t="n">
        <v>95.09999999999999</v>
      </c>
      <c r="G513" t="n">
        <v>90.09999999999999</v>
      </c>
    </row>
    <row r="514">
      <c r="A514" t="inlineStr">
        <is>
          <t>RESP0098</t>
        </is>
      </c>
      <c r="B514" t="inlineStr">
        <is>
          <t>Study flow 1</t>
        </is>
      </c>
      <c r="C514" t="n">
        <v>2</v>
      </c>
      <c r="D514" t="inlineStr">
        <is>
          <t>Instructions1</t>
        </is>
      </c>
      <c r="E514" t="inlineStr">
        <is>
          <t>NA</t>
        </is>
      </c>
      <c r="F514" t="n">
        <v>97.3</v>
      </c>
      <c r="G514" t="n">
        <v>94.59999999999999</v>
      </c>
    </row>
    <row r="515">
      <c r="A515" t="inlineStr">
        <is>
          <t>RESP0098</t>
        </is>
      </c>
      <c r="B515" t="inlineStr">
        <is>
          <t>Study flow 1</t>
        </is>
      </c>
      <c r="C515" t="n">
        <v>3</v>
      </c>
      <c r="D515" t="inlineStr">
        <is>
          <t>foodwaste_narrative</t>
        </is>
      </c>
      <c r="E515" t="inlineStr">
        <is>
          <t>NA</t>
        </is>
      </c>
      <c r="F515" t="n">
        <v>97.2</v>
      </c>
      <c r="G515" t="n">
        <v>88.8</v>
      </c>
    </row>
    <row r="516">
      <c r="A516" t="inlineStr">
        <is>
          <t>RESP0098</t>
        </is>
      </c>
      <c r="B516" t="inlineStr">
        <is>
          <t>Study flow 1</t>
        </is>
      </c>
      <c r="C516" t="n">
        <v>4</v>
      </c>
      <c r="D516" t="inlineStr">
        <is>
          <t>foodwaste_visual</t>
        </is>
      </c>
      <c r="E516" t="inlineStr">
        <is>
          <t>NA</t>
        </is>
      </c>
      <c r="F516" t="n">
        <v>96.59999999999999</v>
      </c>
      <c r="G516" t="n">
        <v>95.40000000000001</v>
      </c>
    </row>
    <row r="517">
      <c r="A517" t="inlineStr">
        <is>
          <t>RESP0098</t>
        </is>
      </c>
      <c r="B517" t="inlineStr">
        <is>
          <t>Study flow 1</t>
        </is>
      </c>
      <c r="C517" t="n">
        <v>5</v>
      </c>
      <c r="D517" t="inlineStr">
        <is>
          <t>infographic</t>
        </is>
      </c>
      <c r="E517" t="inlineStr">
        <is>
          <t>NA</t>
        </is>
      </c>
      <c r="F517" t="n">
        <v>93.7</v>
      </c>
      <c r="G517" t="n">
        <v>92</v>
      </c>
    </row>
    <row r="518">
      <c r="A518" t="inlineStr">
        <is>
          <t>RESP0098</t>
        </is>
      </c>
      <c r="B518" t="inlineStr">
        <is>
          <t>Study flow 1</t>
        </is>
      </c>
      <c r="C518" t="n">
        <v>6</v>
      </c>
      <c r="D518" t="inlineStr">
        <is>
          <t>Questionnaire</t>
        </is>
      </c>
      <c r="E518" t="inlineStr">
        <is>
          <t>NA</t>
        </is>
      </c>
      <c r="F518" t="n">
        <v>92.8</v>
      </c>
      <c r="G518" t="n">
        <v>92</v>
      </c>
    </row>
    <row r="519">
      <c r="A519" t="inlineStr">
        <is>
          <t>RESP0098</t>
        </is>
      </c>
      <c r="B519" t="inlineStr">
        <is>
          <t>Study flow 1</t>
        </is>
      </c>
      <c r="C519" t="n">
        <v>7</v>
      </c>
      <c r="D519" t="inlineStr">
        <is>
          <t>Post-study calibration</t>
        </is>
      </c>
      <c r="E519" t="n">
        <v>2.42</v>
      </c>
      <c r="F519" t="n">
        <v>97.2</v>
      </c>
      <c r="G519" t="n">
        <v>93</v>
      </c>
    </row>
    <row r="520">
      <c r="A520" t="inlineStr">
        <is>
          <t>RESP0099</t>
        </is>
      </c>
      <c r="B520" t="inlineStr">
        <is>
          <t>Study flow 2</t>
        </is>
      </c>
      <c r="C520" t="n">
        <v>1</v>
      </c>
      <c r="D520" t="inlineStr">
        <is>
          <t>Pre-study calibration</t>
        </is>
      </c>
      <c r="E520" t="n">
        <v>0.93</v>
      </c>
      <c r="F520" t="n">
        <v>97.7</v>
      </c>
      <c r="G520" t="n">
        <v>95.5</v>
      </c>
    </row>
    <row r="521">
      <c r="A521" t="inlineStr">
        <is>
          <t>RESP0099</t>
        </is>
      </c>
      <c r="B521" t="inlineStr">
        <is>
          <t>Study flow 2</t>
        </is>
      </c>
      <c r="C521" t="n">
        <v>2</v>
      </c>
      <c r="D521" t="inlineStr">
        <is>
          <t>Instructions1</t>
        </is>
      </c>
      <c r="E521" t="inlineStr">
        <is>
          <t>NA</t>
        </is>
      </c>
      <c r="F521" t="n">
        <v>97.09999999999999</v>
      </c>
      <c r="G521" t="n">
        <v>94.09999999999999</v>
      </c>
    </row>
    <row r="522">
      <c r="A522" t="inlineStr">
        <is>
          <t>RESP0099</t>
        </is>
      </c>
      <c r="B522" t="inlineStr">
        <is>
          <t>Study flow 2</t>
        </is>
      </c>
      <c r="C522" t="n">
        <v>3</v>
      </c>
      <c r="D522" t="inlineStr">
        <is>
          <t>foodwaste_visual</t>
        </is>
      </c>
      <c r="E522" t="inlineStr">
        <is>
          <t>NA</t>
        </is>
      </c>
      <c r="F522" t="n">
        <v>95.8</v>
      </c>
      <c r="G522" t="n">
        <v>96</v>
      </c>
    </row>
    <row r="523">
      <c r="A523" t="inlineStr">
        <is>
          <t>RESP0099</t>
        </is>
      </c>
      <c r="B523" t="inlineStr">
        <is>
          <t>Study flow 2</t>
        </is>
      </c>
      <c r="C523" t="n">
        <v>4</v>
      </c>
      <c r="D523" t="inlineStr">
        <is>
          <t>foodwaste_narrative</t>
        </is>
      </c>
      <c r="E523" t="inlineStr">
        <is>
          <t>NA</t>
        </is>
      </c>
      <c r="F523" t="n">
        <v>98.40000000000001</v>
      </c>
      <c r="G523" t="n">
        <v>95.7</v>
      </c>
    </row>
    <row r="524">
      <c r="A524" t="inlineStr">
        <is>
          <t>RESP0099</t>
        </is>
      </c>
      <c r="B524" t="inlineStr">
        <is>
          <t>Study flow 2</t>
        </is>
      </c>
      <c r="C524" t="n">
        <v>5</v>
      </c>
      <c r="D524" t="inlineStr">
        <is>
          <t>infographic</t>
        </is>
      </c>
      <c r="E524" t="inlineStr">
        <is>
          <t>NA</t>
        </is>
      </c>
      <c r="F524" t="n">
        <v>94.59999999999999</v>
      </c>
      <c r="G524" t="n">
        <v>89.40000000000001</v>
      </c>
    </row>
    <row r="525">
      <c r="A525" t="inlineStr">
        <is>
          <t>RESP0099</t>
        </is>
      </c>
      <c r="B525" t="inlineStr">
        <is>
          <t>Study flow 2</t>
        </is>
      </c>
      <c r="C525" t="n">
        <v>6</v>
      </c>
      <c r="D525" t="inlineStr">
        <is>
          <t>Questionnaire</t>
        </is>
      </c>
      <c r="E525" t="inlineStr">
        <is>
          <t>NA</t>
        </is>
      </c>
      <c r="F525" t="n">
        <v>97.09999999999999</v>
      </c>
      <c r="G525" t="n">
        <v>96</v>
      </c>
    </row>
    <row r="526">
      <c r="A526" t="inlineStr">
        <is>
          <t>RESP0099</t>
        </is>
      </c>
      <c r="B526" t="inlineStr">
        <is>
          <t>Study flow 2</t>
        </is>
      </c>
      <c r="C526" t="n">
        <v>7</v>
      </c>
      <c r="D526" t="inlineStr">
        <is>
          <t>Post-study calibration</t>
        </is>
      </c>
      <c r="E526" t="n">
        <v>1.71</v>
      </c>
      <c r="F526" t="n">
        <v>97.40000000000001</v>
      </c>
      <c r="G526" t="n">
        <v>96.40000000000001</v>
      </c>
    </row>
    <row r="527">
      <c r="A527" t="inlineStr">
        <is>
          <t>RESP0102</t>
        </is>
      </c>
      <c r="B527" t="inlineStr">
        <is>
          <t>Study flow 1</t>
        </is>
      </c>
      <c r="C527" t="n">
        <v>1</v>
      </c>
      <c r="D527" t="inlineStr">
        <is>
          <t>Pre-study calibration</t>
        </is>
      </c>
      <c r="E527" t="n">
        <v>2.14</v>
      </c>
      <c r="F527" t="n">
        <v>98.7</v>
      </c>
      <c r="G527" t="n">
        <v>98.90000000000001</v>
      </c>
    </row>
    <row r="528">
      <c r="A528" t="inlineStr">
        <is>
          <t>RESP0102</t>
        </is>
      </c>
      <c r="B528" t="inlineStr">
        <is>
          <t>Study flow 1</t>
        </is>
      </c>
      <c r="C528" t="n">
        <v>2</v>
      </c>
      <c r="D528" t="inlineStr">
        <is>
          <t>Instructions1</t>
        </is>
      </c>
      <c r="E528" t="inlineStr">
        <is>
          <t>NA</t>
        </is>
      </c>
      <c r="F528" t="n">
        <v>99.3</v>
      </c>
      <c r="G528" t="n">
        <v>99.09999999999999</v>
      </c>
    </row>
    <row r="529">
      <c r="A529" t="inlineStr">
        <is>
          <t>RESP0102</t>
        </is>
      </c>
      <c r="B529" t="inlineStr">
        <is>
          <t>Study flow 1</t>
        </is>
      </c>
      <c r="C529" t="n">
        <v>3</v>
      </c>
      <c r="D529" t="inlineStr">
        <is>
          <t>foodwaste_narrative</t>
        </is>
      </c>
      <c r="E529" t="inlineStr">
        <is>
          <t>NA</t>
        </is>
      </c>
      <c r="F529" t="n">
        <v>98.5</v>
      </c>
      <c r="G529" t="n">
        <v>99.09999999999999</v>
      </c>
    </row>
    <row r="530">
      <c r="A530" t="inlineStr">
        <is>
          <t>RESP0102</t>
        </is>
      </c>
      <c r="B530" t="inlineStr">
        <is>
          <t>Study flow 1</t>
        </is>
      </c>
      <c r="C530" t="n">
        <v>4</v>
      </c>
      <c r="D530" t="inlineStr">
        <is>
          <t>foodwaste_visual</t>
        </is>
      </c>
      <c r="E530" t="inlineStr">
        <is>
          <t>NA</t>
        </is>
      </c>
      <c r="F530" t="n">
        <v>98.7</v>
      </c>
      <c r="G530" t="n">
        <v>98.90000000000001</v>
      </c>
    </row>
    <row r="531">
      <c r="A531" t="inlineStr">
        <is>
          <t>RESP0102</t>
        </is>
      </c>
      <c r="B531" t="inlineStr">
        <is>
          <t>Study flow 1</t>
        </is>
      </c>
      <c r="C531" t="n">
        <v>5</v>
      </c>
      <c r="D531" t="inlineStr">
        <is>
          <t>infographic</t>
        </is>
      </c>
      <c r="E531" t="inlineStr">
        <is>
          <t>NA</t>
        </is>
      </c>
      <c r="F531" t="n">
        <v>97.8</v>
      </c>
      <c r="G531" t="n">
        <v>99</v>
      </c>
    </row>
    <row r="532">
      <c r="A532" t="inlineStr">
        <is>
          <t>RESP0102</t>
        </is>
      </c>
      <c r="B532" t="inlineStr">
        <is>
          <t>Study flow 1</t>
        </is>
      </c>
      <c r="C532" t="n">
        <v>6</v>
      </c>
      <c r="D532" t="inlineStr">
        <is>
          <t>Questionnaire</t>
        </is>
      </c>
      <c r="E532" t="inlineStr">
        <is>
          <t>NA</t>
        </is>
      </c>
      <c r="F532" t="n">
        <v>98.90000000000001</v>
      </c>
      <c r="G532" t="n">
        <v>99.3</v>
      </c>
    </row>
    <row r="533">
      <c r="A533" t="inlineStr">
        <is>
          <t>RESP0102</t>
        </is>
      </c>
      <c r="B533" t="inlineStr">
        <is>
          <t>Study flow 1</t>
        </is>
      </c>
      <c r="C533" t="n">
        <v>7</v>
      </c>
      <c r="D533" t="inlineStr">
        <is>
          <t>Post-study calibration</t>
        </is>
      </c>
      <c r="E533" t="n">
        <v>2.08</v>
      </c>
      <c r="F533" t="n">
        <v>97.7</v>
      </c>
      <c r="G533" t="n">
        <v>99</v>
      </c>
    </row>
    <row r="534">
      <c r="A534" t="inlineStr">
        <is>
          <t>RESP0108</t>
        </is>
      </c>
      <c r="B534" t="inlineStr">
        <is>
          <t>Study flow 1</t>
        </is>
      </c>
      <c r="C534" t="n">
        <v>1</v>
      </c>
      <c r="D534" t="inlineStr">
        <is>
          <t>Pre-study calibration</t>
        </is>
      </c>
      <c r="E534" t="n">
        <v>0.67</v>
      </c>
      <c r="F534" t="n">
        <v>98.40000000000001</v>
      </c>
      <c r="G534" t="n">
        <v>96.2</v>
      </c>
    </row>
    <row r="535">
      <c r="A535" t="inlineStr">
        <is>
          <t>RESP0108</t>
        </is>
      </c>
      <c r="B535" t="inlineStr">
        <is>
          <t>Study flow 1</t>
        </is>
      </c>
      <c r="C535" t="n">
        <v>2</v>
      </c>
      <c r="D535" t="inlineStr">
        <is>
          <t>Instructions1</t>
        </is>
      </c>
      <c r="E535" t="inlineStr">
        <is>
          <t>NA</t>
        </is>
      </c>
      <c r="F535" t="n">
        <v>97.2</v>
      </c>
      <c r="G535" t="n">
        <v>94.8</v>
      </c>
    </row>
    <row r="536">
      <c r="A536" t="inlineStr">
        <is>
          <t>RESP0108</t>
        </is>
      </c>
      <c r="B536" t="inlineStr">
        <is>
          <t>Study flow 1</t>
        </is>
      </c>
      <c r="C536" t="n">
        <v>3</v>
      </c>
      <c r="D536" t="inlineStr">
        <is>
          <t>foodwaste_narrative</t>
        </is>
      </c>
      <c r="E536" t="inlineStr">
        <is>
          <t>NA</t>
        </is>
      </c>
      <c r="F536" t="n">
        <v>95.2</v>
      </c>
      <c r="G536" t="n">
        <v>96.59999999999999</v>
      </c>
    </row>
    <row r="537">
      <c r="A537" t="inlineStr">
        <is>
          <t>RESP0108</t>
        </is>
      </c>
      <c r="B537" t="inlineStr">
        <is>
          <t>Study flow 1</t>
        </is>
      </c>
      <c r="C537" t="n">
        <v>4</v>
      </c>
      <c r="D537" t="inlineStr">
        <is>
          <t>foodwaste_visual</t>
        </is>
      </c>
      <c r="E537" t="inlineStr">
        <is>
          <t>NA</t>
        </is>
      </c>
      <c r="F537" t="n">
        <v>95.90000000000001</v>
      </c>
      <c r="G537" t="n">
        <v>96.8</v>
      </c>
    </row>
    <row r="538">
      <c r="A538" t="inlineStr">
        <is>
          <t>RESP0108</t>
        </is>
      </c>
      <c r="B538" t="inlineStr">
        <is>
          <t>Study flow 1</t>
        </is>
      </c>
      <c r="C538" t="n">
        <v>5</v>
      </c>
      <c r="D538" t="inlineStr">
        <is>
          <t>infographic</t>
        </is>
      </c>
      <c r="E538" t="inlineStr">
        <is>
          <t>NA</t>
        </is>
      </c>
      <c r="F538" t="n">
        <v>96.59999999999999</v>
      </c>
      <c r="G538" t="n">
        <v>97.59999999999999</v>
      </c>
    </row>
    <row r="539">
      <c r="A539" t="inlineStr">
        <is>
          <t>RESP0108</t>
        </is>
      </c>
      <c r="B539" t="inlineStr">
        <is>
          <t>Study flow 1</t>
        </is>
      </c>
      <c r="C539" t="n">
        <v>6</v>
      </c>
      <c r="D539" t="inlineStr">
        <is>
          <t>Questionnaire</t>
        </is>
      </c>
      <c r="E539" t="inlineStr">
        <is>
          <t>NA</t>
        </is>
      </c>
      <c r="F539" t="n">
        <v>95.2</v>
      </c>
      <c r="G539" t="n">
        <v>93.59999999999999</v>
      </c>
    </row>
    <row r="540">
      <c r="A540" t="inlineStr">
        <is>
          <t>RESP0108</t>
        </is>
      </c>
      <c r="B540" t="inlineStr">
        <is>
          <t>Study flow 1</t>
        </is>
      </c>
      <c r="C540" t="n">
        <v>7</v>
      </c>
      <c r="D540" t="inlineStr">
        <is>
          <t>Post-study calibration</t>
        </is>
      </c>
      <c r="E540" t="n">
        <v>1.53</v>
      </c>
      <c r="F540" t="n">
        <v>96</v>
      </c>
      <c r="G540" t="n">
        <v>94.59999999999999</v>
      </c>
    </row>
    <row r="541">
      <c r="A541" t="inlineStr">
        <is>
          <t>RESP0109</t>
        </is>
      </c>
      <c r="B541" t="inlineStr">
        <is>
          <t>Study flow 1</t>
        </is>
      </c>
      <c r="C541" t="n">
        <v>1</v>
      </c>
      <c r="D541" t="inlineStr">
        <is>
          <t>Pre-study calibration</t>
        </is>
      </c>
      <c r="E541" t="n">
        <v>2.34</v>
      </c>
      <c r="F541" t="n">
        <v>91.7</v>
      </c>
      <c r="G541" t="n">
        <v>98.59999999999999</v>
      </c>
    </row>
    <row r="542">
      <c r="A542" t="inlineStr">
        <is>
          <t>RESP0109</t>
        </is>
      </c>
      <c r="B542" t="inlineStr">
        <is>
          <t>Study flow 1</t>
        </is>
      </c>
      <c r="C542" t="n">
        <v>2</v>
      </c>
      <c r="D542" t="inlineStr">
        <is>
          <t>Instructions1</t>
        </is>
      </c>
      <c r="E542" t="inlineStr">
        <is>
          <t>NA</t>
        </is>
      </c>
      <c r="F542" t="n">
        <v>92.90000000000001</v>
      </c>
      <c r="G542" t="n">
        <v>98.59999999999999</v>
      </c>
    </row>
    <row r="543">
      <c r="A543" t="inlineStr">
        <is>
          <t>RESP0109</t>
        </is>
      </c>
      <c r="B543" t="inlineStr">
        <is>
          <t>Study flow 1</t>
        </is>
      </c>
      <c r="C543" t="n">
        <v>3</v>
      </c>
      <c r="D543" t="inlineStr">
        <is>
          <t>foodwaste_narrative</t>
        </is>
      </c>
      <c r="E543" t="inlineStr">
        <is>
          <t>NA</t>
        </is>
      </c>
      <c r="F543" t="n">
        <v>93.3</v>
      </c>
      <c r="G543" t="n">
        <v>99.3</v>
      </c>
    </row>
    <row r="544">
      <c r="A544" t="inlineStr">
        <is>
          <t>RESP0109</t>
        </is>
      </c>
      <c r="B544" t="inlineStr">
        <is>
          <t>Study flow 1</t>
        </is>
      </c>
      <c r="C544" t="n">
        <v>4</v>
      </c>
      <c r="D544" t="inlineStr">
        <is>
          <t>foodwaste_visual</t>
        </is>
      </c>
      <c r="E544" t="inlineStr">
        <is>
          <t>NA</t>
        </is>
      </c>
      <c r="F544" t="n">
        <v>94.3</v>
      </c>
      <c r="G544" t="n">
        <v>99</v>
      </c>
    </row>
    <row r="545">
      <c r="A545" t="inlineStr">
        <is>
          <t>RESP0109</t>
        </is>
      </c>
      <c r="B545" t="inlineStr">
        <is>
          <t>Study flow 1</t>
        </is>
      </c>
      <c r="C545" t="n">
        <v>5</v>
      </c>
      <c r="D545" t="inlineStr">
        <is>
          <t>infographic</t>
        </is>
      </c>
      <c r="E545" t="inlineStr">
        <is>
          <t>NA</t>
        </is>
      </c>
      <c r="F545" t="n">
        <v>90.40000000000001</v>
      </c>
      <c r="G545" t="n">
        <v>98.7</v>
      </c>
    </row>
    <row r="546">
      <c r="A546" t="inlineStr">
        <is>
          <t>RESP0109</t>
        </is>
      </c>
      <c r="B546" t="inlineStr">
        <is>
          <t>Study flow 1</t>
        </is>
      </c>
      <c r="C546" t="n">
        <v>6</v>
      </c>
      <c r="D546" t="inlineStr">
        <is>
          <t>Questionnaire</t>
        </is>
      </c>
      <c r="E546" t="inlineStr">
        <is>
          <t>NA</t>
        </is>
      </c>
      <c r="F546" t="n">
        <v>94.8</v>
      </c>
      <c r="G546" t="n">
        <v>98.09999999999999</v>
      </c>
    </row>
    <row r="547">
      <c r="A547" t="inlineStr">
        <is>
          <t>RESP0109</t>
        </is>
      </c>
      <c r="B547" t="inlineStr">
        <is>
          <t>Study flow 1</t>
        </is>
      </c>
      <c r="C547" t="n">
        <v>7</v>
      </c>
      <c r="D547" t="inlineStr">
        <is>
          <t>Post-study calibration</t>
        </is>
      </c>
      <c r="E547" t="n">
        <v>3.52</v>
      </c>
      <c r="F547" t="n">
        <v>88.7</v>
      </c>
      <c r="G547" t="n">
        <v>98.3</v>
      </c>
    </row>
    <row r="548">
      <c r="A548" t="inlineStr">
        <is>
          <t>RESP0111</t>
        </is>
      </c>
      <c r="B548" t="inlineStr">
        <is>
          <t>Study flow 2</t>
        </is>
      </c>
      <c r="C548" t="n">
        <v>1</v>
      </c>
      <c r="D548" t="inlineStr">
        <is>
          <t>Pre-study calibration</t>
        </is>
      </c>
      <c r="E548" t="n">
        <v>1.81</v>
      </c>
      <c r="F548" t="n">
        <v>96.8</v>
      </c>
      <c r="G548" t="n">
        <v>92.8</v>
      </c>
    </row>
    <row r="549">
      <c r="A549" t="inlineStr">
        <is>
          <t>RESP0111</t>
        </is>
      </c>
      <c r="B549" t="inlineStr">
        <is>
          <t>Study flow 2</t>
        </is>
      </c>
      <c r="C549" t="n">
        <v>2</v>
      </c>
      <c r="D549" t="inlineStr">
        <is>
          <t>Instructions1</t>
        </is>
      </c>
      <c r="E549" t="inlineStr">
        <is>
          <t>NA</t>
        </is>
      </c>
      <c r="F549" t="n">
        <v>95.2</v>
      </c>
      <c r="G549" t="n">
        <v>92.5</v>
      </c>
    </row>
    <row r="550">
      <c r="A550" t="inlineStr">
        <is>
          <t>RESP0111</t>
        </is>
      </c>
      <c r="B550" t="inlineStr">
        <is>
          <t>Study flow 2</t>
        </is>
      </c>
      <c r="C550" t="n">
        <v>3</v>
      </c>
      <c r="D550" t="inlineStr">
        <is>
          <t>foodwaste_visual</t>
        </is>
      </c>
      <c r="E550" t="inlineStr">
        <is>
          <t>NA</t>
        </is>
      </c>
      <c r="F550" t="n">
        <v>94.40000000000001</v>
      </c>
      <c r="G550" t="n">
        <v>88</v>
      </c>
    </row>
    <row r="551">
      <c r="A551" t="inlineStr">
        <is>
          <t>RESP0111</t>
        </is>
      </c>
      <c r="B551" t="inlineStr">
        <is>
          <t>Study flow 2</t>
        </is>
      </c>
      <c r="C551" t="n">
        <v>4</v>
      </c>
      <c r="D551" t="inlineStr">
        <is>
          <t>foodwaste_narrative</t>
        </is>
      </c>
      <c r="E551" t="inlineStr">
        <is>
          <t>NA</t>
        </is>
      </c>
      <c r="F551" t="n">
        <v>96.40000000000001</v>
      </c>
      <c r="G551" t="n">
        <v>88.2</v>
      </c>
    </row>
    <row r="552">
      <c r="A552" t="inlineStr">
        <is>
          <t>RESP0111</t>
        </is>
      </c>
      <c r="B552" t="inlineStr">
        <is>
          <t>Study flow 2</t>
        </is>
      </c>
      <c r="C552" t="n">
        <v>5</v>
      </c>
      <c r="D552" t="inlineStr">
        <is>
          <t>infographic</t>
        </is>
      </c>
      <c r="E552" t="inlineStr">
        <is>
          <t>NA</t>
        </is>
      </c>
      <c r="F552" t="n">
        <v>96.40000000000001</v>
      </c>
      <c r="G552" t="n">
        <v>95</v>
      </c>
    </row>
    <row r="553">
      <c r="A553" t="inlineStr">
        <is>
          <t>RESP0111</t>
        </is>
      </c>
      <c r="B553" t="inlineStr">
        <is>
          <t>Study flow 2</t>
        </is>
      </c>
      <c r="C553" t="n">
        <v>6</v>
      </c>
      <c r="D553" t="inlineStr">
        <is>
          <t>Questionnaire</t>
        </is>
      </c>
      <c r="E553" t="inlineStr">
        <is>
          <t>NA</t>
        </is>
      </c>
      <c r="F553" t="n">
        <v>92.8</v>
      </c>
      <c r="G553" t="n">
        <v>95</v>
      </c>
    </row>
    <row r="554">
      <c r="A554" t="inlineStr">
        <is>
          <t>RESP0111</t>
        </is>
      </c>
      <c r="B554" t="inlineStr">
        <is>
          <t>Study flow 2</t>
        </is>
      </c>
      <c r="C554" t="n">
        <v>7</v>
      </c>
      <c r="D554" t="inlineStr">
        <is>
          <t>Post-study calibration</t>
        </is>
      </c>
      <c r="E554" t="n">
        <v>2.95</v>
      </c>
      <c r="F554" t="n">
        <v>95.59999999999999</v>
      </c>
      <c r="G554" t="n">
        <v>92.5</v>
      </c>
    </row>
    <row r="555">
      <c r="A555" t="inlineStr">
        <is>
          <t>RESP0112</t>
        </is>
      </c>
      <c r="B555" t="inlineStr">
        <is>
          <t>Study flow 2</t>
        </is>
      </c>
      <c r="C555" t="n">
        <v>1</v>
      </c>
      <c r="D555" t="inlineStr">
        <is>
          <t>Pre-study calibration</t>
        </is>
      </c>
      <c r="E555" t="n">
        <v>2.78</v>
      </c>
      <c r="F555" t="n">
        <v>89.59999999999999</v>
      </c>
      <c r="G555" t="n">
        <v>97.8</v>
      </c>
    </row>
    <row r="556">
      <c r="A556" t="inlineStr">
        <is>
          <t>RESP0112</t>
        </is>
      </c>
      <c r="B556" t="inlineStr">
        <is>
          <t>Study flow 2</t>
        </is>
      </c>
      <c r="C556" t="n">
        <v>2</v>
      </c>
      <c r="D556" t="inlineStr">
        <is>
          <t>Instructions1</t>
        </is>
      </c>
      <c r="E556" t="inlineStr">
        <is>
          <t>NA</t>
        </is>
      </c>
      <c r="F556" t="n">
        <v>91.7</v>
      </c>
      <c r="G556" t="n">
        <v>96.8</v>
      </c>
    </row>
    <row r="557">
      <c r="A557" t="inlineStr">
        <is>
          <t>RESP0112</t>
        </is>
      </c>
      <c r="B557" t="inlineStr">
        <is>
          <t>Study flow 2</t>
        </is>
      </c>
      <c r="C557" t="n">
        <v>3</v>
      </c>
      <c r="D557" t="inlineStr">
        <is>
          <t>foodwaste_visual</t>
        </is>
      </c>
      <c r="E557" t="inlineStr">
        <is>
          <t>NA</t>
        </is>
      </c>
      <c r="F557" t="n">
        <v>94.2</v>
      </c>
      <c r="G557" t="n">
        <v>98.8</v>
      </c>
    </row>
    <row r="558">
      <c r="A558" t="inlineStr">
        <is>
          <t>RESP0112</t>
        </is>
      </c>
      <c r="B558" t="inlineStr">
        <is>
          <t>Study flow 2</t>
        </is>
      </c>
      <c r="C558" t="n">
        <v>4</v>
      </c>
      <c r="D558" t="inlineStr">
        <is>
          <t>foodwaste_narrative</t>
        </is>
      </c>
      <c r="E558" t="inlineStr">
        <is>
          <t>NA</t>
        </is>
      </c>
      <c r="F558" t="n">
        <v>94.59999999999999</v>
      </c>
      <c r="G558" t="n">
        <v>99</v>
      </c>
    </row>
    <row r="559">
      <c r="A559" t="inlineStr">
        <is>
          <t>RESP0112</t>
        </is>
      </c>
      <c r="B559" t="inlineStr">
        <is>
          <t>Study flow 2</t>
        </is>
      </c>
      <c r="C559" t="n">
        <v>5</v>
      </c>
      <c r="D559" t="inlineStr">
        <is>
          <t>infographic</t>
        </is>
      </c>
      <c r="E559" t="inlineStr">
        <is>
          <t>NA</t>
        </is>
      </c>
      <c r="F559" t="n">
        <v>93</v>
      </c>
      <c r="G559" t="n">
        <v>98.59999999999999</v>
      </c>
    </row>
    <row r="560">
      <c r="A560" t="inlineStr">
        <is>
          <t>RESP0112</t>
        </is>
      </c>
      <c r="B560" t="inlineStr">
        <is>
          <t>Study flow 2</t>
        </is>
      </c>
      <c r="C560" t="n">
        <v>6</v>
      </c>
      <c r="D560" t="inlineStr">
        <is>
          <t>Questionnaire</t>
        </is>
      </c>
      <c r="E560" t="inlineStr">
        <is>
          <t>NA</t>
        </is>
      </c>
      <c r="F560" t="n">
        <v>93</v>
      </c>
      <c r="G560" t="n">
        <v>98.40000000000001</v>
      </c>
    </row>
    <row r="561">
      <c r="A561" t="inlineStr">
        <is>
          <t>RESP0112</t>
        </is>
      </c>
      <c r="B561" t="inlineStr">
        <is>
          <t>Study flow 2</t>
        </is>
      </c>
      <c r="C561" t="n">
        <v>7</v>
      </c>
      <c r="D561" t="inlineStr">
        <is>
          <t>Post-study calibration</t>
        </is>
      </c>
      <c r="E561" t="n">
        <v>2.93</v>
      </c>
      <c r="F561" t="n">
        <v>91.7</v>
      </c>
      <c r="G561" t="n">
        <v>98.40000000000001</v>
      </c>
    </row>
    <row r="562">
      <c r="A562" t="inlineStr">
        <is>
          <t>RESP0113</t>
        </is>
      </c>
      <c r="B562" t="inlineStr">
        <is>
          <t>Study flow 1</t>
        </is>
      </c>
      <c r="C562" t="n">
        <v>1</v>
      </c>
      <c r="D562" t="inlineStr">
        <is>
          <t>Pre-study calibration</t>
        </is>
      </c>
      <c r="E562" t="n">
        <v>1.7</v>
      </c>
      <c r="F562" t="n">
        <v>95.09999999999999</v>
      </c>
      <c r="G562" t="n">
        <v>97.40000000000001</v>
      </c>
    </row>
    <row r="563">
      <c r="A563" t="inlineStr">
        <is>
          <t>RESP0113</t>
        </is>
      </c>
      <c r="B563" t="inlineStr">
        <is>
          <t>Study flow 1</t>
        </is>
      </c>
      <c r="C563" t="n">
        <v>2</v>
      </c>
      <c r="D563" t="inlineStr">
        <is>
          <t>Instructions1</t>
        </is>
      </c>
      <c r="E563" t="inlineStr">
        <is>
          <t>NA</t>
        </is>
      </c>
      <c r="F563" t="n">
        <v>95.7</v>
      </c>
      <c r="G563" t="n">
        <v>98.3</v>
      </c>
    </row>
    <row r="564">
      <c r="A564" t="inlineStr">
        <is>
          <t>RESP0113</t>
        </is>
      </c>
      <c r="B564" t="inlineStr">
        <is>
          <t>Study flow 1</t>
        </is>
      </c>
      <c r="C564" t="n">
        <v>3</v>
      </c>
      <c r="D564" t="inlineStr">
        <is>
          <t>foodwaste_narrative</t>
        </is>
      </c>
      <c r="E564" t="inlineStr">
        <is>
          <t>NA</t>
        </is>
      </c>
      <c r="F564" t="n">
        <v>93.09999999999999</v>
      </c>
      <c r="G564" t="n">
        <v>99.2</v>
      </c>
    </row>
    <row r="565">
      <c r="A565" t="inlineStr">
        <is>
          <t>RESP0113</t>
        </is>
      </c>
      <c r="B565" t="inlineStr">
        <is>
          <t>Study flow 1</t>
        </is>
      </c>
      <c r="C565" t="n">
        <v>4</v>
      </c>
      <c r="D565" t="inlineStr">
        <is>
          <t>foodwaste_visual</t>
        </is>
      </c>
      <c r="E565" t="inlineStr">
        <is>
          <t>NA</t>
        </is>
      </c>
      <c r="F565" t="n">
        <v>95</v>
      </c>
      <c r="G565" t="n">
        <v>98.7</v>
      </c>
    </row>
    <row r="566">
      <c r="A566" t="inlineStr">
        <is>
          <t>RESP0113</t>
        </is>
      </c>
      <c r="B566" t="inlineStr">
        <is>
          <t>Study flow 1</t>
        </is>
      </c>
      <c r="C566" t="n">
        <v>5</v>
      </c>
      <c r="D566" t="inlineStr">
        <is>
          <t>infographic</t>
        </is>
      </c>
      <c r="E566" t="inlineStr">
        <is>
          <t>NA</t>
        </is>
      </c>
      <c r="F566" t="n">
        <v>95.8</v>
      </c>
      <c r="G566" t="n">
        <v>98.90000000000001</v>
      </c>
    </row>
    <row r="567">
      <c r="A567" t="inlineStr">
        <is>
          <t>RESP0113</t>
        </is>
      </c>
      <c r="B567" t="inlineStr">
        <is>
          <t>Study flow 1</t>
        </is>
      </c>
      <c r="C567" t="n">
        <v>6</v>
      </c>
      <c r="D567" t="inlineStr">
        <is>
          <t>Questionnaire</t>
        </is>
      </c>
      <c r="E567" t="inlineStr">
        <is>
          <t>NA</t>
        </is>
      </c>
      <c r="F567" t="n">
        <v>92.40000000000001</v>
      </c>
      <c r="G567" t="n">
        <v>98.3</v>
      </c>
    </row>
    <row r="568">
      <c r="A568" t="inlineStr">
        <is>
          <t>RESP0113</t>
        </is>
      </c>
      <c r="B568" t="inlineStr">
        <is>
          <t>Study flow 1</t>
        </is>
      </c>
      <c r="C568" t="n">
        <v>7</v>
      </c>
      <c r="D568" t="inlineStr">
        <is>
          <t>Post-study calibration</t>
        </is>
      </c>
      <c r="E568" t="n">
        <v>2.81</v>
      </c>
      <c r="F568" t="n">
        <v>96.2</v>
      </c>
      <c r="G568" t="n">
        <v>98.09999999999999</v>
      </c>
    </row>
    <row r="569">
      <c r="A569" t="inlineStr">
        <is>
          <t>RESP0114</t>
        </is>
      </c>
      <c r="B569" t="inlineStr">
        <is>
          <t>Study flow 1</t>
        </is>
      </c>
      <c r="C569" t="n">
        <v>1</v>
      </c>
      <c r="D569" t="inlineStr">
        <is>
          <t>Pre-study calibration</t>
        </is>
      </c>
      <c r="E569" t="n">
        <v>2.11</v>
      </c>
      <c r="F569" t="n">
        <v>95.7</v>
      </c>
      <c r="G569" t="n">
        <v>97.59999999999999</v>
      </c>
    </row>
    <row r="570">
      <c r="A570" t="inlineStr">
        <is>
          <t>RESP0114</t>
        </is>
      </c>
      <c r="B570" t="inlineStr">
        <is>
          <t>Study flow 1</t>
        </is>
      </c>
      <c r="C570" t="n">
        <v>2</v>
      </c>
      <c r="D570" t="inlineStr">
        <is>
          <t>Instructions1</t>
        </is>
      </c>
      <c r="E570" t="inlineStr">
        <is>
          <t>NA</t>
        </is>
      </c>
      <c r="F570" t="n">
        <v>95.8</v>
      </c>
      <c r="G570" t="n">
        <v>99</v>
      </c>
    </row>
    <row r="571">
      <c r="A571" t="inlineStr">
        <is>
          <t>RESP0114</t>
        </is>
      </c>
      <c r="B571" t="inlineStr">
        <is>
          <t>Study flow 1</t>
        </is>
      </c>
      <c r="C571" t="n">
        <v>3</v>
      </c>
      <c r="D571" t="inlineStr">
        <is>
          <t>foodwaste_narrative</t>
        </is>
      </c>
      <c r="E571" t="inlineStr">
        <is>
          <t>NA</t>
        </is>
      </c>
      <c r="F571" t="n">
        <v>95.7</v>
      </c>
      <c r="G571" t="n">
        <v>98.3</v>
      </c>
    </row>
    <row r="572">
      <c r="A572" t="inlineStr">
        <is>
          <t>RESP0114</t>
        </is>
      </c>
      <c r="B572" t="inlineStr">
        <is>
          <t>Study flow 1</t>
        </is>
      </c>
      <c r="C572" t="n">
        <v>4</v>
      </c>
      <c r="D572" t="inlineStr">
        <is>
          <t>foodwaste_visual</t>
        </is>
      </c>
      <c r="E572" t="inlineStr">
        <is>
          <t>NA</t>
        </is>
      </c>
      <c r="F572" t="n">
        <v>95.59999999999999</v>
      </c>
      <c r="G572" t="n">
        <v>99.40000000000001</v>
      </c>
    </row>
    <row r="573">
      <c r="A573" t="inlineStr">
        <is>
          <t>RESP0114</t>
        </is>
      </c>
      <c r="B573" t="inlineStr">
        <is>
          <t>Study flow 1</t>
        </is>
      </c>
      <c r="C573" t="n">
        <v>5</v>
      </c>
      <c r="D573" t="inlineStr">
        <is>
          <t>infographic</t>
        </is>
      </c>
      <c r="E573" t="inlineStr">
        <is>
          <t>NA</t>
        </is>
      </c>
      <c r="F573" t="n">
        <v>92</v>
      </c>
      <c r="G573" t="n">
        <v>99.3</v>
      </c>
    </row>
    <row r="574">
      <c r="A574" t="inlineStr">
        <is>
          <t>RESP0114</t>
        </is>
      </c>
      <c r="B574" t="inlineStr">
        <is>
          <t>Study flow 1</t>
        </is>
      </c>
      <c r="C574" t="n">
        <v>6</v>
      </c>
      <c r="D574" t="inlineStr">
        <is>
          <t>Questionnaire</t>
        </is>
      </c>
      <c r="E574" t="inlineStr">
        <is>
          <t>NA</t>
        </is>
      </c>
      <c r="F574" t="n">
        <v>97.2</v>
      </c>
      <c r="G574" t="n">
        <v>99</v>
      </c>
    </row>
    <row r="575">
      <c r="A575" t="inlineStr">
        <is>
          <t>RESP0114</t>
        </is>
      </c>
      <c r="B575" t="inlineStr">
        <is>
          <t>Study flow 1</t>
        </is>
      </c>
      <c r="C575" t="n">
        <v>7</v>
      </c>
      <c r="D575" t="inlineStr">
        <is>
          <t>Post-study calibration</t>
        </is>
      </c>
      <c r="E575" t="n">
        <v>2.81</v>
      </c>
      <c r="F575" t="n">
        <v>97.7</v>
      </c>
      <c r="G575" t="n">
        <v>98</v>
      </c>
    </row>
    <row r="576">
      <c r="A576" t="inlineStr">
        <is>
          <t>RESP0115</t>
        </is>
      </c>
      <c r="B576" t="inlineStr">
        <is>
          <t>Study flow 1</t>
        </is>
      </c>
      <c r="C576" t="n">
        <v>1</v>
      </c>
      <c r="D576" t="inlineStr">
        <is>
          <t>Pre-study calibration</t>
        </is>
      </c>
      <c r="E576" t="n">
        <v>2.16</v>
      </c>
      <c r="F576" t="n">
        <v>93.59999999999999</v>
      </c>
      <c r="G576" t="n">
        <v>99.3</v>
      </c>
    </row>
    <row r="577">
      <c r="A577" t="inlineStr">
        <is>
          <t>RESP0115</t>
        </is>
      </c>
      <c r="B577" t="inlineStr">
        <is>
          <t>Study flow 1</t>
        </is>
      </c>
      <c r="C577" t="n">
        <v>2</v>
      </c>
      <c r="D577" t="inlineStr">
        <is>
          <t>Instructions1</t>
        </is>
      </c>
      <c r="E577" t="inlineStr">
        <is>
          <t>NA</t>
        </is>
      </c>
      <c r="F577" t="n">
        <v>97.8</v>
      </c>
      <c r="G577" t="n">
        <v>99.7</v>
      </c>
    </row>
    <row r="578">
      <c r="A578" t="inlineStr">
        <is>
          <t>RESP0115</t>
        </is>
      </c>
      <c r="B578" t="inlineStr">
        <is>
          <t>Study flow 1</t>
        </is>
      </c>
      <c r="C578" t="n">
        <v>3</v>
      </c>
      <c r="D578" t="inlineStr">
        <is>
          <t>foodwaste_narrative</t>
        </is>
      </c>
      <c r="E578" t="inlineStr">
        <is>
          <t>NA</t>
        </is>
      </c>
      <c r="F578" t="n">
        <v>97.8</v>
      </c>
      <c r="G578" t="n">
        <v>99.59999999999999</v>
      </c>
    </row>
    <row r="579">
      <c r="A579" t="inlineStr">
        <is>
          <t>RESP0115</t>
        </is>
      </c>
      <c r="B579" t="inlineStr">
        <is>
          <t>Study flow 1</t>
        </is>
      </c>
      <c r="C579" t="n">
        <v>4</v>
      </c>
      <c r="D579" t="inlineStr">
        <is>
          <t>foodwaste_visual</t>
        </is>
      </c>
      <c r="E579" t="inlineStr">
        <is>
          <t>NA</t>
        </is>
      </c>
      <c r="F579" t="n">
        <v>98.59999999999999</v>
      </c>
      <c r="G579" t="n">
        <v>99.59999999999999</v>
      </c>
    </row>
    <row r="580">
      <c r="A580" t="inlineStr">
        <is>
          <t>RESP0115</t>
        </is>
      </c>
      <c r="B580" t="inlineStr">
        <is>
          <t>Study flow 1</t>
        </is>
      </c>
      <c r="C580" t="n">
        <v>5</v>
      </c>
      <c r="D580" t="inlineStr">
        <is>
          <t>infographic</t>
        </is>
      </c>
      <c r="E580" t="inlineStr">
        <is>
          <t>NA</t>
        </is>
      </c>
      <c r="F580" t="n">
        <v>97.09999999999999</v>
      </c>
      <c r="G580" t="n">
        <v>99.2</v>
      </c>
    </row>
    <row r="581">
      <c r="A581" t="inlineStr">
        <is>
          <t>RESP0115</t>
        </is>
      </c>
      <c r="B581" t="inlineStr">
        <is>
          <t>Study flow 1</t>
        </is>
      </c>
      <c r="C581" t="n">
        <v>6</v>
      </c>
      <c r="D581" t="inlineStr">
        <is>
          <t>Questionnaire</t>
        </is>
      </c>
      <c r="E581" t="inlineStr">
        <is>
          <t>NA</t>
        </is>
      </c>
      <c r="F581" t="n">
        <v>96.2</v>
      </c>
      <c r="G581" t="n">
        <v>99.3</v>
      </c>
    </row>
    <row r="582">
      <c r="A582" t="inlineStr">
        <is>
          <t>RESP0115</t>
        </is>
      </c>
      <c r="B582" t="inlineStr">
        <is>
          <t>Study flow 1</t>
        </is>
      </c>
      <c r="C582" t="n">
        <v>7</v>
      </c>
      <c r="D582" t="inlineStr">
        <is>
          <t>Post-study calibration</t>
        </is>
      </c>
      <c r="E582" t="n">
        <v>2.96</v>
      </c>
      <c r="F582" t="n">
        <v>96.8</v>
      </c>
      <c r="G582" t="n">
        <v>99.40000000000001</v>
      </c>
    </row>
    <row r="583">
      <c r="A583" t="inlineStr">
        <is>
          <t>RESP0117</t>
        </is>
      </c>
      <c r="B583" t="inlineStr">
        <is>
          <t>Study flow 2</t>
        </is>
      </c>
      <c r="C583" t="n">
        <v>1</v>
      </c>
      <c r="D583" t="inlineStr">
        <is>
          <t>Pre-study calibration</t>
        </is>
      </c>
      <c r="E583" t="n">
        <v>0.62</v>
      </c>
      <c r="F583" t="n">
        <v>97.5</v>
      </c>
      <c r="G583" t="n">
        <v>99.09999999999999</v>
      </c>
    </row>
    <row r="584">
      <c r="A584" t="inlineStr">
        <is>
          <t>RESP0117</t>
        </is>
      </c>
      <c r="B584" t="inlineStr">
        <is>
          <t>Study flow 2</t>
        </is>
      </c>
      <c r="C584" t="n">
        <v>2</v>
      </c>
      <c r="D584" t="inlineStr">
        <is>
          <t>Instructions1</t>
        </is>
      </c>
      <c r="E584" t="inlineStr">
        <is>
          <t>NA</t>
        </is>
      </c>
      <c r="F584" t="n">
        <v>96.7</v>
      </c>
      <c r="G584" t="n">
        <v>99.2</v>
      </c>
    </row>
    <row r="585">
      <c r="A585" t="inlineStr">
        <is>
          <t>RESP0117</t>
        </is>
      </c>
      <c r="B585" t="inlineStr">
        <is>
          <t>Study flow 2</t>
        </is>
      </c>
      <c r="C585" t="n">
        <v>3</v>
      </c>
      <c r="D585" t="inlineStr">
        <is>
          <t>foodwaste_visual</t>
        </is>
      </c>
      <c r="E585" t="inlineStr">
        <is>
          <t>NA</t>
        </is>
      </c>
      <c r="F585" t="n">
        <v>98.2</v>
      </c>
      <c r="G585" t="n">
        <v>99.40000000000001</v>
      </c>
    </row>
    <row r="586">
      <c r="A586" t="inlineStr">
        <is>
          <t>RESP0117</t>
        </is>
      </c>
      <c r="B586" t="inlineStr">
        <is>
          <t>Study flow 2</t>
        </is>
      </c>
      <c r="C586" t="n">
        <v>4</v>
      </c>
      <c r="D586" t="inlineStr">
        <is>
          <t>foodwaste_narrative</t>
        </is>
      </c>
      <c r="E586" t="inlineStr">
        <is>
          <t>NA</t>
        </is>
      </c>
      <c r="F586" t="n">
        <v>97.40000000000001</v>
      </c>
      <c r="G586" t="n">
        <v>99.09999999999999</v>
      </c>
    </row>
    <row r="587">
      <c r="A587" t="inlineStr">
        <is>
          <t>RESP0117</t>
        </is>
      </c>
      <c r="B587" t="inlineStr">
        <is>
          <t>Study flow 2</t>
        </is>
      </c>
      <c r="C587" t="n">
        <v>5</v>
      </c>
      <c r="D587" t="inlineStr">
        <is>
          <t>infographic</t>
        </is>
      </c>
      <c r="E587" t="inlineStr">
        <is>
          <t>NA</t>
        </is>
      </c>
      <c r="F587" t="n">
        <v>96.59999999999999</v>
      </c>
      <c r="G587" t="n">
        <v>99.59999999999999</v>
      </c>
    </row>
    <row r="588">
      <c r="A588" t="inlineStr">
        <is>
          <t>RESP0117</t>
        </is>
      </c>
      <c r="B588" t="inlineStr">
        <is>
          <t>Study flow 2</t>
        </is>
      </c>
      <c r="C588" t="n">
        <v>6</v>
      </c>
      <c r="D588" t="inlineStr">
        <is>
          <t>Questionnaire</t>
        </is>
      </c>
      <c r="E588" t="inlineStr">
        <is>
          <t>NA</t>
        </is>
      </c>
      <c r="F588" t="n">
        <v>98.40000000000001</v>
      </c>
      <c r="G588" t="n">
        <v>99.2</v>
      </c>
    </row>
    <row r="589">
      <c r="A589" t="inlineStr">
        <is>
          <t>RESP0117</t>
        </is>
      </c>
      <c r="B589" t="inlineStr">
        <is>
          <t>Study flow 2</t>
        </is>
      </c>
      <c r="C589" t="n">
        <v>7</v>
      </c>
      <c r="D589" t="inlineStr">
        <is>
          <t>Post-study calibration</t>
        </is>
      </c>
      <c r="E589" t="n">
        <v>0.9399999999999999</v>
      </c>
      <c r="F589" t="n">
        <v>97.09999999999999</v>
      </c>
      <c r="G589" t="n">
        <v>99.40000000000001</v>
      </c>
    </row>
    <row r="590">
      <c r="A590" t="inlineStr">
        <is>
          <t>RESP0118</t>
        </is>
      </c>
      <c r="B590" t="inlineStr">
        <is>
          <t>Study flow 2</t>
        </is>
      </c>
      <c r="C590" t="n">
        <v>1</v>
      </c>
      <c r="D590" t="inlineStr">
        <is>
          <t>Pre-study calibration</t>
        </is>
      </c>
      <c r="E590" t="n">
        <v>1.16</v>
      </c>
      <c r="F590" t="n">
        <v>92.59999999999999</v>
      </c>
      <c r="G590" t="n">
        <v>99</v>
      </c>
    </row>
    <row r="591">
      <c r="A591" t="inlineStr">
        <is>
          <t>RESP0118</t>
        </is>
      </c>
      <c r="B591" t="inlineStr">
        <is>
          <t>Study flow 2</t>
        </is>
      </c>
      <c r="C591" t="n">
        <v>2</v>
      </c>
      <c r="D591" t="inlineStr">
        <is>
          <t>Instructions1</t>
        </is>
      </c>
      <c r="E591" t="inlineStr">
        <is>
          <t>NA</t>
        </is>
      </c>
      <c r="F591" t="n">
        <v>93.7</v>
      </c>
      <c r="G591" t="n">
        <v>99.3</v>
      </c>
    </row>
    <row r="592">
      <c r="A592" t="inlineStr">
        <is>
          <t>RESP0118</t>
        </is>
      </c>
      <c r="B592" t="inlineStr">
        <is>
          <t>Study flow 2</t>
        </is>
      </c>
      <c r="C592" t="n">
        <v>3</v>
      </c>
      <c r="D592" t="inlineStr">
        <is>
          <t>foodwaste_visual</t>
        </is>
      </c>
      <c r="E592" t="inlineStr">
        <is>
          <t>NA</t>
        </is>
      </c>
      <c r="F592" t="n">
        <v>95.8</v>
      </c>
      <c r="G592" t="n">
        <v>99.2</v>
      </c>
    </row>
    <row r="593">
      <c r="A593" t="inlineStr">
        <is>
          <t>RESP0118</t>
        </is>
      </c>
      <c r="B593" t="inlineStr">
        <is>
          <t>Study flow 2</t>
        </is>
      </c>
      <c r="C593" t="n">
        <v>4</v>
      </c>
      <c r="D593" t="inlineStr">
        <is>
          <t>foodwaste_narrative</t>
        </is>
      </c>
      <c r="E593" t="inlineStr">
        <is>
          <t>NA</t>
        </is>
      </c>
      <c r="F593" t="n">
        <v>95.8</v>
      </c>
      <c r="G593" t="n">
        <v>98.09999999999999</v>
      </c>
    </row>
    <row r="594">
      <c r="A594" t="inlineStr">
        <is>
          <t>RESP0118</t>
        </is>
      </c>
      <c r="B594" t="inlineStr">
        <is>
          <t>Study flow 2</t>
        </is>
      </c>
      <c r="C594" t="n">
        <v>5</v>
      </c>
      <c r="D594" t="inlineStr">
        <is>
          <t>infographic</t>
        </is>
      </c>
      <c r="E594" t="inlineStr">
        <is>
          <t>NA</t>
        </is>
      </c>
      <c r="F594" t="n">
        <v>97.3</v>
      </c>
      <c r="G594" t="n">
        <v>98.5</v>
      </c>
    </row>
    <row r="595">
      <c r="A595" t="inlineStr">
        <is>
          <t>RESP0118</t>
        </is>
      </c>
      <c r="B595" t="inlineStr">
        <is>
          <t>Study flow 2</t>
        </is>
      </c>
      <c r="C595" t="n">
        <v>6</v>
      </c>
      <c r="D595" t="inlineStr">
        <is>
          <t>Questionnaire</t>
        </is>
      </c>
      <c r="E595" t="inlineStr">
        <is>
          <t>NA</t>
        </is>
      </c>
      <c r="F595" t="n">
        <v>91</v>
      </c>
      <c r="G595" t="n">
        <v>98.7</v>
      </c>
    </row>
    <row r="596">
      <c r="A596" t="inlineStr">
        <is>
          <t>RESP0118</t>
        </is>
      </c>
      <c r="B596" t="inlineStr">
        <is>
          <t>Study flow 2</t>
        </is>
      </c>
      <c r="C596" t="n">
        <v>7</v>
      </c>
      <c r="D596" t="inlineStr">
        <is>
          <t>Post-study calibration</t>
        </is>
      </c>
      <c r="E596" t="n">
        <v>1.63</v>
      </c>
      <c r="F596" t="n">
        <v>96.3</v>
      </c>
      <c r="G596" t="n">
        <v>99.5</v>
      </c>
    </row>
    <row r="597">
      <c r="A597" t="inlineStr">
        <is>
          <t>RESP0120</t>
        </is>
      </c>
      <c r="B597" t="inlineStr">
        <is>
          <t>Study flow 2</t>
        </is>
      </c>
      <c r="C597" t="n">
        <v>1</v>
      </c>
      <c r="D597" t="inlineStr">
        <is>
          <t>Pre-study calibration</t>
        </is>
      </c>
      <c r="E597" t="n">
        <v>2.12</v>
      </c>
      <c r="F597" t="n">
        <v>91.2</v>
      </c>
      <c r="G597" t="n">
        <v>93</v>
      </c>
    </row>
    <row r="598">
      <c r="A598" t="inlineStr">
        <is>
          <t>RESP0120</t>
        </is>
      </c>
      <c r="B598" t="inlineStr">
        <is>
          <t>Study flow 2</t>
        </is>
      </c>
      <c r="C598" t="n">
        <v>2</v>
      </c>
      <c r="D598" t="inlineStr">
        <is>
          <t>Instructions1</t>
        </is>
      </c>
      <c r="E598" t="inlineStr">
        <is>
          <t>NA</t>
        </is>
      </c>
      <c r="F598" t="n">
        <v>93.90000000000001</v>
      </c>
      <c r="G598" t="n">
        <v>91.59999999999999</v>
      </c>
    </row>
    <row r="599">
      <c r="A599" t="inlineStr">
        <is>
          <t>RESP0120</t>
        </is>
      </c>
      <c r="B599" t="inlineStr">
        <is>
          <t>Study flow 2</t>
        </is>
      </c>
      <c r="C599" t="n">
        <v>3</v>
      </c>
      <c r="D599" t="inlineStr">
        <is>
          <t>foodwaste_visual</t>
        </is>
      </c>
      <c r="E599" t="inlineStr">
        <is>
          <t>NA</t>
        </is>
      </c>
      <c r="F599" t="n">
        <v>93.90000000000001</v>
      </c>
      <c r="G599" t="n">
        <v>90.90000000000001</v>
      </c>
    </row>
    <row r="600">
      <c r="A600" t="inlineStr">
        <is>
          <t>RESP0120</t>
        </is>
      </c>
      <c r="B600" t="inlineStr">
        <is>
          <t>Study flow 2</t>
        </is>
      </c>
      <c r="C600" t="n">
        <v>4</v>
      </c>
      <c r="D600" t="inlineStr">
        <is>
          <t>foodwaste_narrative</t>
        </is>
      </c>
      <c r="E600" t="inlineStr">
        <is>
          <t>NA</t>
        </is>
      </c>
      <c r="F600" t="n">
        <v>90.59999999999999</v>
      </c>
      <c r="G600" t="n">
        <v>94.3</v>
      </c>
    </row>
    <row r="601">
      <c r="A601" t="inlineStr">
        <is>
          <t>RESP0120</t>
        </is>
      </c>
      <c r="B601" t="inlineStr">
        <is>
          <t>Study flow 2</t>
        </is>
      </c>
      <c r="C601" t="n">
        <v>5</v>
      </c>
      <c r="D601" t="inlineStr">
        <is>
          <t>infographic</t>
        </is>
      </c>
      <c r="E601" t="inlineStr">
        <is>
          <t>NA</t>
        </is>
      </c>
      <c r="F601" t="n">
        <v>94.5</v>
      </c>
      <c r="G601" t="n">
        <v>83.40000000000001</v>
      </c>
    </row>
    <row r="602">
      <c r="A602" t="inlineStr">
        <is>
          <t>RESP0120</t>
        </is>
      </c>
      <c r="B602" t="inlineStr">
        <is>
          <t>Study flow 2</t>
        </is>
      </c>
      <c r="C602" t="n">
        <v>6</v>
      </c>
      <c r="D602" t="inlineStr">
        <is>
          <t>Questionnaire</t>
        </is>
      </c>
      <c r="E602" t="inlineStr">
        <is>
          <t>NA</t>
        </is>
      </c>
      <c r="F602" t="n">
        <v>92.3</v>
      </c>
      <c r="G602" t="n">
        <v>93.7</v>
      </c>
    </row>
    <row r="603">
      <c r="A603" t="inlineStr">
        <is>
          <t>RESP0120</t>
        </is>
      </c>
      <c r="B603" t="inlineStr">
        <is>
          <t>Study flow 2</t>
        </is>
      </c>
      <c r="C603" t="n">
        <v>7</v>
      </c>
      <c r="D603" t="inlineStr">
        <is>
          <t>Post-study calibration</t>
        </is>
      </c>
      <c r="E603" t="n">
        <v>2.84</v>
      </c>
      <c r="F603" t="n">
        <v>93.09999999999999</v>
      </c>
      <c r="G603" t="n">
        <v>91.8</v>
      </c>
    </row>
    <row r="604">
      <c r="A604" t="inlineStr">
        <is>
          <t>RESP0122</t>
        </is>
      </c>
      <c r="B604" t="inlineStr">
        <is>
          <t>Study flow 1</t>
        </is>
      </c>
      <c r="C604" t="n">
        <v>1</v>
      </c>
      <c r="D604" t="inlineStr">
        <is>
          <t>Pre-study calibration</t>
        </is>
      </c>
      <c r="E604" t="n">
        <v>1.58</v>
      </c>
      <c r="F604" t="n">
        <v>96.40000000000001</v>
      </c>
      <c r="G604" t="n">
        <v>96.7</v>
      </c>
    </row>
    <row r="605">
      <c r="A605" t="inlineStr">
        <is>
          <t>RESP0122</t>
        </is>
      </c>
      <c r="B605" t="inlineStr">
        <is>
          <t>Study flow 1</t>
        </is>
      </c>
      <c r="C605" t="n">
        <v>2</v>
      </c>
      <c r="D605" t="inlineStr">
        <is>
          <t>Instructions1</t>
        </is>
      </c>
      <c r="E605" t="inlineStr">
        <is>
          <t>NA</t>
        </is>
      </c>
      <c r="F605" t="n">
        <v>97</v>
      </c>
      <c r="G605" t="n">
        <v>98.40000000000001</v>
      </c>
    </row>
    <row r="606">
      <c r="A606" t="inlineStr">
        <is>
          <t>RESP0122</t>
        </is>
      </c>
      <c r="B606" t="inlineStr">
        <is>
          <t>Study flow 1</t>
        </is>
      </c>
      <c r="C606" t="n">
        <v>3</v>
      </c>
      <c r="D606" t="inlineStr">
        <is>
          <t>foodwaste_narrative</t>
        </is>
      </c>
      <c r="E606" t="inlineStr">
        <is>
          <t>NA</t>
        </is>
      </c>
      <c r="F606" t="n">
        <v>97.8</v>
      </c>
      <c r="G606" t="n">
        <v>98.3</v>
      </c>
    </row>
    <row r="607">
      <c r="A607" t="inlineStr">
        <is>
          <t>RESP0122</t>
        </is>
      </c>
      <c r="B607" t="inlineStr">
        <is>
          <t>Study flow 1</t>
        </is>
      </c>
      <c r="C607" t="n">
        <v>4</v>
      </c>
      <c r="D607" t="inlineStr">
        <is>
          <t>foodwaste_visual</t>
        </is>
      </c>
      <c r="E607" t="inlineStr">
        <is>
          <t>NA</t>
        </is>
      </c>
      <c r="F607" t="n">
        <v>97.59999999999999</v>
      </c>
      <c r="G607" t="n">
        <v>96.59999999999999</v>
      </c>
    </row>
    <row r="608">
      <c r="A608" t="inlineStr">
        <is>
          <t>RESP0122</t>
        </is>
      </c>
      <c r="B608" t="inlineStr">
        <is>
          <t>Study flow 1</t>
        </is>
      </c>
      <c r="C608" t="n">
        <v>5</v>
      </c>
      <c r="D608" t="inlineStr">
        <is>
          <t>infographic</t>
        </is>
      </c>
      <c r="E608" t="inlineStr">
        <is>
          <t>NA</t>
        </is>
      </c>
      <c r="F608" t="n">
        <v>97.7</v>
      </c>
      <c r="G608" t="n">
        <v>97.7</v>
      </c>
    </row>
    <row r="609">
      <c r="A609" t="inlineStr">
        <is>
          <t>RESP0122</t>
        </is>
      </c>
      <c r="B609" t="inlineStr">
        <is>
          <t>Study flow 1</t>
        </is>
      </c>
      <c r="C609" t="n">
        <v>6</v>
      </c>
      <c r="D609" t="inlineStr">
        <is>
          <t>Questionnaire</t>
        </is>
      </c>
      <c r="E609" t="inlineStr">
        <is>
          <t>NA</t>
        </is>
      </c>
      <c r="F609" t="n">
        <v>98.09999999999999</v>
      </c>
      <c r="G609" t="n">
        <v>98.5</v>
      </c>
    </row>
    <row r="610">
      <c r="A610" t="inlineStr">
        <is>
          <t>RESP0122</t>
        </is>
      </c>
      <c r="B610" t="inlineStr">
        <is>
          <t>Study flow 1</t>
        </is>
      </c>
      <c r="C610" t="n">
        <v>7</v>
      </c>
      <c r="D610" t="inlineStr">
        <is>
          <t>Post-study calibration</t>
        </is>
      </c>
      <c r="E610" t="n">
        <v>2.37</v>
      </c>
      <c r="F610" t="n">
        <v>98</v>
      </c>
      <c r="G610" t="n">
        <v>98.5</v>
      </c>
    </row>
    <row r="611">
      <c r="A611" t="inlineStr">
        <is>
          <t>RESP0123</t>
        </is>
      </c>
      <c r="B611" t="inlineStr">
        <is>
          <t>Study flow 2</t>
        </is>
      </c>
      <c r="C611" t="n">
        <v>1</v>
      </c>
      <c r="D611" t="inlineStr">
        <is>
          <t>Pre-study calibration</t>
        </is>
      </c>
      <c r="E611" t="n">
        <v>0.53</v>
      </c>
      <c r="F611" t="n">
        <v>97.5</v>
      </c>
      <c r="G611" t="n">
        <v>95.90000000000001</v>
      </c>
    </row>
    <row r="612">
      <c r="A612" t="inlineStr">
        <is>
          <t>RESP0123</t>
        </is>
      </c>
      <c r="B612" t="inlineStr">
        <is>
          <t>Study flow 2</t>
        </is>
      </c>
      <c r="C612" t="n">
        <v>2</v>
      </c>
      <c r="D612" t="inlineStr">
        <is>
          <t>Instructions1</t>
        </is>
      </c>
      <c r="E612" t="inlineStr">
        <is>
          <t>NA</t>
        </is>
      </c>
      <c r="F612" t="n">
        <v>97.2</v>
      </c>
      <c r="G612" t="n">
        <v>97.3</v>
      </c>
    </row>
    <row r="613">
      <c r="A613" t="inlineStr">
        <is>
          <t>RESP0123</t>
        </is>
      </c>
      <c r="B613" t="inlineStr">
        <is>
          <t>Study flow 2</t>
        </is>
      </c>
      <c r="C613" t="n">
        <v>3</v>
      </c>
      <c r="D613" t="inlineStr">
        <is>
          <t>foodwaste_visual</t>
        </is>
      </c>
      <c r="E613" t="inlineStr">
        <is>
          <t>NA</t>
        </is>
      </c>
      <c r="F613" t="n">
        <v>91.90000000000001</v>
      </c>
      <c r="G613" t="n">
        <v>95.8</v>
      </c>
    </row>
    <row r="614">
      <c r="A614" t="inlineStr">
        <is>
          <t>RESP0123</t>
        </is>
      </c>
      <c r="B614" t="inlineStr">
        <is>
          <t>Study flow 2</t>
        </is>
      </c>
      <c r="C614" t="n">
        <v>4</v>
      </c>
      <c r="D614" t="inlineStr">
        <is>
          <t>foodwaste_narrative</t>
        </is>
      </c>
      <c r="E614" t="inlineStr">
        <is>
          <t>NA</t>
        </is>
      </c>
      <c r="F614" t="n">
        <v>94.8</v>
      </c>
      <c r="G614" t="n">
        <v>97.90000000000001</v>
      </c>
    </row>
    <row r="615">
      <c r="A615" t="inlineStr">
        <is>
          <t>RESP0123</t>
        </is>
      </c>
      <c r="B615" t="inlineStr">
        <is>
          <t>Study flow 2</t>
        </is>
      </c>
      <c r="C615" t="n">
        <v>5</v>
      </c>
      <c r="D615" t="inlineStr">
        <is>
          <t>infographic</t>
        </is>
      </c>
      <c r="E615" t="inlineStr">
        <is>
          <t>NA</t>
        </is>
      </c>
      <c r="F615" t="n">
        <v>95.3</v>
      </c>
      <c r="G615" t="n">
        <v>95.7</v>
      </c>
    </row>
    <row r="616">
      <c r="A616" t="inlineStr">
        <is>
          <t>RESP0123</t>
        </is>
      </c>
      <c r="B616" t="inlineStr">
        <is>
          <t>Study flow 2</t>
        </is>
      </c>
      <c r="C616" t="n">
        <v>6</v>
      </c>
      <c r="D616" t="inlineStr">
        <is>
          <t>Questionnaire</t>
        </is>
      </c>
      <c r="E616" t="inlineStr">
        <is>
          <t>NA</t>
        </is>
      </c>
      <c r="F616" t="n">
        <v>95.3</v>
      </c>
      <c r="G616" t="n">
        <v>97</v>
      </c>
    </row>
    <row r="617">
      <c r="A617" t="inlineStr">
        <is>
          <t>RESP0123</t>
        </is>
      </c>
      <c r="B617" t="inlineStr">
        <is>
          <t>Study flow 2</t>
        </is>
      </c>
      <c r="C617" t="n">
        <v>7</v>
      </c>
      <c r="D617" t="inlineStr">
        <is>
          <t>Post-study calibration</t>
        </is>
      </c>
      <c r="E617" t="n">
        <v>1.02</v>
      </c>
      <c r="F617" t="n">
        <v>94.59999999999999</v>
      </c>
      <c r="G617" t="n">
        <v>96.40000000000001</v>
      </c>
    </row>
    <row r="618">
      <c r="A618" t="inlineStr">
        <is>
          <t>RESP0124</t>
        </is>
      </c>
      <c r="B618" t="inlineStr">
        <is>
          <t>Study flow 1</t>
        </is>
      </c>
      <c r="C618" t="n">
        <v>1</v>
      </c>
      <c r="D618" t="inlineStr">
        <is>
          <t>Pre-study calibration</t>
        </is>
      </c>
      <c r="E618" t="n">
        <v>2.11</v>
      </c>
      <c r="F618" t="n">
        <v>96.90000000000001</v>
      </c>
      <c r="G618" t="n">
        <v>92.7</v>
      </c>
    </row>
    <row r="619">
      <c r="A619" t="inlineStr">
        <is>
          <t>RESP0124</t>
        </is>
      </c>
      <c r="B619" t="inlineStr">
        <is>
          <t>Study flow 1</t>
        </is>
      </c>
      <c r="C619" t="n">
        <v>2</v>
      </c>
      <c r="D619" t="inlineStr">
        <is>
          <t>Instructions1</t>
        </is>
      </c>
      <c r="E619" t="inlineStr">
        <is>
          <t>NA</t>
        </is>
      </c>
      <c r="F619" t="n">
        <v>93.90000000000001</v>
      </c>
      <c r="G619" t="n">
        <v>95.40000000000001</v>
      </c>
    </row>
    <row r="620">
      <c r="A620" t="inlineStr">
        <is>
          <t>RESP0124</t>
        </is>
      </c>
      <c r="B620" t="inlineStr">
        <is>
          <t>Study flow 1</t>
        </is>
      </c>
      <c r="C620" t="n">
        <v>3</v>
      </c>
      <c r="D620" t="inlineStr">
        <is>
          <t>foodwaste_narrative</t>
        </is>
      </c>
      <c r="E620" t="inlineStr">
        <is>
          <t>NA</t>
        </is>
      </c>
      <c r="F620" t="n">
        <v>90.3</v>
      </c>
      <c r="G620" t="n">
        <v>95.59999999999999</v>
      </c>
    </row>
    <row r="621">
      <c r="A621" t="inlineStr">
        <is>
          <t>RESP0124</t>
        </is>
      </c>
      <c r="B621" t="inlineStr">
        <is>
          <t>Study flow 1</t>
        </is>
      </c>
      <c r="C621" t="n">
        <v>4</v>
      </c>
      <c r="D621" t="inlineStr">
        <is>
          <t>foodwaste_visual</t>
        </is>
      </c>
      <c r="E621" t="inlineStr">
        <is>
          <t>NA</t>
        </is>
      </c>
      <c r="F621" t="n">
        <v>96.59999999999999</v>
      </c>
      <c r="G621" t="n">
        <v>89.3</v>
      </c>
    </row>
    <row r="622">
      <c r="A622" t="inlineStr">
        <is>
          <t>RESP0124</t>
        </is>
      </c>
      <c r="B622" t="inlineStr">
        <is>
          <t>Study flow 1</t>
        </is>
      </c>
      <c r="C622" t="n">
        <v>5</v>
      </c>
      <c r="D622" t="inlineStr">
        <is>
          <t>infographic</t>
        </is>
      </c>
      <c r="E622" t="inlineStr">
        <is>
          <t>NA</t>
        </is>
      </c>
      <c r="F622" t="n">
        <v>95.7</v>
      </c>
      <c r="G622" t="n">
        <v>91.09999999999999</v>
      </c>
    </row>
    <row r="623">
      <c r="A623" t="inlineStr">
        <is>
          <t>RESP0124</t>
        </is>
      </c>
      <c r="B623" t="inlineStr">
        <is>
          <t>Study flow 1</t>
        </is>
      </c>
      <c r="C623" t="n">
        <v>6</v>
      </c>
      <c r="D623" t="inlineStr">
        <is>
          <t>Questionnaire</t>
        </is>
      </c>
      <c r="E623" t="inlineStr">
        <is>
          <t>NA</t>
        </is>
      </c>
      <c r="F623" t="n">
        <v>95.5</v>
      </c>
      <c r="G623" t="n">
        <v>92.2</v>
      </c>
    </row>
    <row r="624">
      <c r="A624" t="inlineStr">
        <is>
          <t>RESP0124</t>
        </is>
      </c>
      <c r="B624" t="inlineStr">
        <is>
          <t>Study flow 1</t>
        </is>
      </c>
      <c r="C624" t="n">
        <v>7</v>
      </c>
      <c r="D624" t="inlineStr">
        <is>
          <t>Post-study calibration</t>
        </is>
      </c>
      <c r="E624" t="n">
        <v>2.78</v>
      </c>
      <c r="F624" t="n">
        <v>96.3</v>
      </c>
      <c r="G624" t="n">
        <v>92.8</v>
      </c>
    </row>
    <row r="625">
      <c r="A625" t="inlineStr">
        <is>
          <t>RESP0125</t>
        </is>
      </c>
      <c r="B625" t="inlineStr">
        <is>
          <t>Study flow 2</t>
        </is>
      </c>
      <c r="C625" t="n">
        <v>1</v>
      </c>
      <c r="D625" t="inlineStr">
        <is>
          <t>Pre-study calibration</t>
        </is>
      </c>
      <c r="E625" t="n">
        <v>1.85</v>
      </c>
      <c r="F625" t="n">
        <v>96.5</v>
      </c>
      <c r="G625" t="n">
        <v>96.5</v>
      </c>
    </row>
    <row r="626">
      <c r="A626" t="inlineStr">
        <is>
          <t>RESP0125</t>
        </is>
      </c>
      <c r="B626" t="inlineStr">
        <is>
          <t>Study flow 2</t>
        </is>
      </c>
      <c r="C626" t="n">
        <v>2</v>
      </c>
      <c r="D626" t="inlineStr">
        <is>
          <t>Instructions1</t>
        </is>
      </c>
      <c r="E626" t="inlineStr">
        <is>
          <t>NA</t>
        </is>
      </c>
      <c r="F626" t="n">
        <v>94.7</v>
      </c>
      <c r="G626" t="n">
        <v>99</v>
      </c>
    </row>
    <row r="627">
      <c r="A627" t="inlineStr">
        <is>
          <t>RESP0125</t>
        </is>
      </c>
      <c r="B627" t="inlineStr">
        <is>
          <t>Study flow 2</t>
        </is>
      </c>
      <c r="C627" t="n">
        <v>3</v>
      </c>
      <c r="D627" t="inlineStr">
        <is>
          <t>foodwaste_visual</t>
        </is>
      </c>
      <c r="E627" t="inlineStr">
        <is>
          <t>NA</t>
        </is>
      </c>
      <c r="F627" t="n">
        <v>97.7</v>
      </c>
      <c r="G627" t="n">
        <v>97.40000000000001</v>
      </c>
    </row>
    <row r="628">
      <c r="A628" t="inlineStr">
        <is>
          <t>RESP0125</t>
        </is>
      </c>
      <c r="B628" t="inlineStr">
        <is>
          <t>Study flow 2</t>
        </is>
      </c>
      <c r="C628" t="n">
        <v>4</v>
      </c>
      <c r="D628" t="inlineStr">
        <is>
          <t>foodwaste_narrative</t>
        </is>
      </c>
      <c r="E628" t="inlineStr">
        <is>
          <t>NA</t>
        </is>
      </c>
      <c r="F628" t="n">
        <v>93</v>
      </c>
      <c r="G628" t="n">
        <v>98.40000000000001</v>
      </c>
    </row>
    <row r="629">
      <c r="A629" t="inlineStr">
        <is>
          <t>RESP0125</t>
        </is>
      </c>
      <c r="B629" t="inlineStr">
        <is>
          <t>Study flow 2</t>
        </is>
      </c>
      <c r="C629" t="n">
        <v>5</v>
      </c>
      <c r="D629" t="inlineStr">
        <is>
          <t>infographic</t>
        </is>
      </c>
      <c r="E629" t="inlineStr">
        <is>
          <t>NA</t>
        </is>
      </c>
      <c r="F629" t="n">
        <v>95.7</v>
      </c>
      <c r="G629" t="n">
        <v>97</v>
      </c>
    </row>
    <row r="630">
      <c r="A630" t="inlineStr">
        <is>
          <t>RESP0125</t>
        </is>
      </c>
      <c r="B630" t="inlineStr">
        <is>
          <t>Study flow 2</t>
        </is>
      </c>
      <c r="C630" t="n">
        <v>6</v>
      </c>
      <c r="D630" t="inlineStr">
        <is>
          <t>Questionnaire</t>
        </is>
      </c>
      <c r="E630" t="inlineStr">
        <is>
          <t>NA</t>
        </is>
      </c>
      <c r="F630" t="n">
        <v>92.3</v>
      </c>
      <c r="G630" t="n">
        <v>98.59999999999999</v>
      </c>
    </row>
    <row r="631">
      <c r="A631" t="inlineStr">
        <is>
          <t>RESP0125</t>
        </is>
      </c>
      <c r="B631" t="inlineStr">
        <is>
          <t>Study flow 2</t>
        </is>
      </c>
      <c r="C631" t="n">
        <v>7</v>
      </c>
      <c r="D631" t="inlineStr">
        <is>
          <t>Post-study calibration</t>
        </is>
      </c>
      <c r="E631" t="n">
        <v>2.15</v>
      </c>
      <c r="F631" t="n">
        <v>93.3</v>
      </c>
      <c r="G631" t="n">
        <v>98.7</v>
      </c>
    </row>
    <row r="632">
      <c r="A632" t="inlineStr">
        <is>
          <t>RESP0129</t>
        </is>
      </c>
      <c r="B632" t="inlineStr">
        <is>
          <t>Study flow 2</t>
        </is>
      </c>
      <c r="C632" t="n">
        <v>1</v>
      </c>
      <c r="D632" t="inlineStr">
        <is>
          <t>Pre-study calibration</t>
        </is>
      </c>
      <c r="E632" t="n">
        <v>1.23</v>
      </c>
      <c r="F632" t="n">
        <v>95.2</v>
      </c>
      <c r="G632" t="n">
        <v>99.3</v>
      </c>
    </row>
    <row r="633">
      <c r="A633" t="inlineStr">
        <is>
          <t>RESP0129</t>
        </is>
      </c>
      <c r="B633" t="inlineStr">
        <is>
          <t>Study flow 2</t>
        </is>
      </c>
      <c r="C633" t="n">
        <v>2</v>
      </c>
      <c r="D633" t="inlineStr">
        <is>
          <t>Instructions1</t>
        </is>
      </c>
      <c r="E633" t="inlineStr">
        <is>
          <t>NA</t>
        </is>
      </c>
      <c r="F633" t="n">
        <v>95.3</v>
      </c>
      <c r="G633" t="n">
        <v>98.8</v>
      </c>
    </row>
    <row r="634">
      <c r="A634" t="inlineStr">
        <is>
          <t>RESP0129</t>
        </is>
      </c>
      <c r="B634" t="inlineStr">
        <is>
          <t>Study flow 2</t>
        </is>
      </c>
      <c r="C634" t="n">
        <v>3</v>
      </c>
      <c r="D634" t="inlineStr">
        <is>
          <t>foodwaste_visual</t>
        </is>
      </c>
      <c r="E634" t="inlineStr">
        <is>
          <t>NA</t>
        </is>
      </c>
      <c r="F634" t="n">
        <v>96.7</v>
      </c>
      <c r="G634" t="n">
        <v>98.5</v>
      </c>
    </row>
    <row r="635">
      <c r="A635" t="inlineStr">
        <is>
          <t>RESP0129</t>
        </is>
      </c>
      <c r="B635" t="inlineStr">
        <is>
          <t>Study flow 2</t>
        </is>
      </c>
      <c r="C635" t="n">
        <v>4</v>
      </c>
      <c r="D635" t="inlineStr">
        <is>
          <t>foodwaste_narrative</t>
        </is>
      </c>
      <c r="E635" t="inlineStr">
        <is>
          <t>NA</t>
        </is>
      </c>
      <c r="F635" t="n">
        <v>97.59999999999999</v>
      </c>
      <c r="G635" t="n">
        <v>98.59999999999999</v>
      </c>
    </row>
    <row r="636">
      <c r="A636" t="inlineStr">
        <is>
          <t>RESP0129</t>
        </is>
      </c>
      <c r="B636" t="inlineStr">
        <is>
          <t>Study flow 2</t>
        </is>
      </c>
      <c r="C636" t="n">
        <v>5</v>
      </c>
      <c r="D636" t="inlineStr">
        <is>
          <t>infographic</t>
        </is>
      </c>
      <c r="E636" t="inlineStr">
        <is>
          <t>NA</t>
        </is>
      </c>
      <c r="F636" t="n">
        <v>93.5</v>
      </c>
      <c r="G636" t="n">
        <v>98.90000000000001</v>
      </c>
    </row>
    <row r="637">
      <c r="A637" t="inlineStr">
        <is>
          <t>RESP0129</t>
        </is>
      </c>
      <c r="B637" t="inlineStr">
        <is>
          <t>Study flow 2</t>
        </is>
      </c>
      <c r="C637" t="n">
        <v>6</v>
      </c>
      <c r="D637" t="inlineStr">
        <is>
          <t>Questionnaire</t>
        </is>
      </c>
      <c r="E637" t="inlineStr">
        <is>
          <t>NA</t>
        </is>
      </c>
      <c r="F637" t="n">
        <v>96.2</v>
      </c>
      <c r="G637" t="n">
        <v>99.3</v>
      </c>
    </row>
    <row r="638">
      <c r="A638" t="inlineStr">
        <is>
          <t>RESP0129</t>
        </is>
      </c>
      <c r="B638" t="inlineStr">
        <is>
          <t>Study flow 2</t>
        </is>
      </c>
      <c r="C638" t="n">
        <v>7</v>
      </c>
      <c r="D638" t="inlineStr">
        <is>
          <t>Post-study calibration</t>
        </is>
      </c>
      <c r="E638" t="n">
        <v>2.76</v>
      </c>
      <c r="F638" t="n">
        <v>96.5</v>
      </c>
      <c r="G638" t="n">
        <v>99.3</v>
      </c>
    </row>
    <row r="639">
      <c r="A639" t="inlineStr">
        <is>
          <t>RESP0130</t>
        </is>
      </c>
      <c r="B639" t="inlineStr">
        <is>
          <t>Study flow 1</t>
        </is>
      </c>
      <c r="C639" t="n">
        <v>1</v>
      </c>
      <c r="D639" t="inlineStr">
        <is>
          <t>Pre-study calibration</t>
        </is>
      </c>
      <c r="E639" t="n">
        <v>2.69</v>
      </c>
      <c r="F639" t="n">
        <v>94</v>
      </c>
      <c r="G639" t="n">
        <v>78</v>
      </c>
    </row>
    <row r="640">
      <c r="A640" t="inlineStr">
        <is>
          <t>RESP0130</t>
        </is>
      </c>
      <c r="B640" t="inlineStr">
        <is>
          <t>Study flow 1</t>
        </is>
      </c>
      <c r="C640" t="n">
        <v>2</v>
      </c>
      <c r="D640" t="inlineStr">
        <is>
          <t>Instructions1</t>
        </is>
      </c>
      <c r="E640" t="inlineStr">
        <is>
          <t>NA</t>
        </is>
      </c>
      <c r="F640" t="n">
        <v>89.7</v>
      </c>
      <c r="G640" t="n">
        <v>76.59999999999999</v>
      </c>
    </row>
    <row r="641">
      <c r="A641" t="inlineStr">
        <is>
          <t>RESP0130</t>
        </is>
      </c>
      <c r="B641" t="inlineStr">
        <is>
          <t>Study flow 1</t>
        </is>
      </c>
      <c r="C641" t="n">
        <v>3</v>
      </c>
      <c r="D641" t="inlineStr">
        <is>
          <t>foodwaste_narrative</t>
        </is>
      </c>
      <c r="E641" t="inlineStr">
        <is>
          <t>NA</t>
        </is>
      </c>
      <c r="F641" t="n">
        <v>81.7</v>
      </c>
      <c r="G641" t="n">
        <v>73</v>
      </c>
    </row>
    <row r="642">
      <c r="A642" t="inlineStr">
        <is>
          <t>RESP0130</t>
        </is>
      </c>
      <c r="B642" t="inlineStr">
        <is>
          <t>Study flow 1</t>
        </is>
      </c>
      <c r="C642" t="n">
        <v>4</v>
      </c>
      <c r="D642" t="inlineStr">
        <is>
          <t>foodwaste_visual</t>
        </is>
      </c>
      <c r="E642" t="inlineStr">
        <is>
          <t>NA</t>
        </is>
      </c>
      <c r="F642" t="n">
        <v>85.8</v>
      </c>
      <c r="G642" t="n">
        <v>80.59999999999999</v>
      </c>
    </row>
    <row r="643">
      <c r="A643" t="inlineStr">
        <is>
          <t>RESP0130</t>
        </is>
      </c>
      <c r="B643" t="inlineStr">
        <is>
          <t>Study flow 1</t>
        </is>
      </c>
      <c r="C643" t="n">
        <v>5</v>
      </c>
      <c r="D643" t="inlineStr">
        <is>
          <t>infographic</t>
        </is>
      </c>
      <c r="E643" t="inlineStr">
        <is>
          <t>NA</t>
        </is>
      </c>
      <c r="F643" t="n">
        <v>85.7</v>
      </c>
      <c r="G643" t="n">
        <v>64.8</v>
      </c>
    </row>
    <row r="644">
      <c r="A644" t="inlineStr">
        <is>
          <t>RESP0130</t>
        </is>
      </c>
      <c r="B644" t="inlineStr">
        <is>
          <t>Study flow 1</t>
        </is>
      </c>
      <c r="C644" t="n">
        <v>6</v>
      </c>
      <c r="D644" t="inlineStr">
        <is>
          <t>Questionnaire</t>
        </is>
      </c>
      <c r="E644" t="inlineStr">
        <is>
          <t>NA</t>
        </is>
      </c>
      <c r="F644" t="n">
        <v>81.5</v>
      </c>
      <c r="G644" t="n">
        <v>74.90000000000001</v>
      </c>
    </row>
    <row r="645">
      <c r="A645" t="inlineStr">
        <is>
          <t>RESP0130</t>
        </is>
      </c>
      <c r="B645" t="inlineStr">
        <is>
          <t>Study flow 1</t>
        </is>
      </c>
      <c r="C645" t="n">
        <v>7</v>
      </c>
      <c r="D645" t="inlineStr">
        <is>
          <t>Post-study calibration</t>
        </is>
      </c>
      <c r="E645" t="n">
        <v>3.54</v>
      </c>
      <c r="F645" t="n">
        <v>90.90000000000001</v>
      </c>
      <c r="G645" t="n">
        <v>72</v>
      </c>
    </row>
    <row r="646">
      <c r="A646" t="inlineStr">
        <is>
          <t>RESP0131</t>
        </is>
      </c>
      <c r="B646" t="inlineStr">
        <is>
          <t>Study flow 2</t>
        </is>
      </c>
      <c r="C646" t="n">
        <v>1</v>
      </c>
      <c r="D646" t="inlineStr">
        <is>
          <t>Pre-study calibration</t>
        </is>
      </c>
      <c r="E646" t="n">
        <v>0.8100000000000001</v>
      </c>
      <c r="F646" t="n">
        <v>98.5</v>
      </c>
      <c r="G646" t="n">
        <v>93.2</v>
      </c>
    </row>
    <row r="647">
      <c r="A647" t="inlineStr">
        <is>
          <t>RESP0131</t>
        </is>
      </c>
      <c r="B647" t="inlineStr">
        <is>
          <t>Study flow 2</t>
        </is>
      </c>
      <c r="C647" t="n">
        <v>2</v>
      </c>
      <c r="D647" t="inlineStr">
        <is>
          <t>Instructions1</t>
        </is>
      </c>
      <c r="E647" t="inlineStr">
        <is>
          <t>NA</t>
        </is>
      </c>
      <c r="F647" t="n">
        <v>99.09999999999999</v>
      </c>
      <c r="G647" t="n">
        <v>96.40000000000001</v>
      </c>
    </row>
    <row r="648">
      <c r="A648" t="inlineStr">
        <is>
          <t>RESP0131</t>
        </is>
      </c>
      <c r="B648" t="inlineStr">
        <is>
          <t>Study flow 2</t>
        </is>
      </c>
      <c r="C648" t="n">
        <v>3</v>
      </c>
      <c r="D648" t="inlineStr">
        <is>
          <t>foodwaste_visual</t>
        </is>
      </c>
      <c r="E648" t="inlineStr">
        <is>
          <t>NA</t>
        </is>
      </c>
      <c r="F648" t="n">
        <v>99.3</v>
      </c>
      <c r="G648" t="n">
        <v>93.3</v>
      </c>
    </row>
    <row r="649">
      <c r="A649" t="inlineStr">
        <is>
          <t>RESP0131</t>
        </is>
      </c>
      <c r="B649" t="inlineStr">
        <is>
          <t>Study flow 2</t>
        </is>
      </c>
      <c r="C649" t="n">
        <v>4</v>
      </c>
      <c r="D649" t="inlineStr">
        <is>
          <t>foodwaste_narrative</t>
        </is>
      </c>
      <c r="E649" t="inlineStr">
        <is>
          <t>NA</t>
        </is>
      </c>
      <c r="F649" t="n">
        <v>99.09999999999999</v>
      </c>
      <c r="G649" t="n">
        <v>91.8</v>
      </c>
    </row>
    <row r="650">
      <c r="A650" t="inlineStr">
        <is>
          <t>RESP0131</t>
        </is>
      </c>
      <c r="B650" t="inlineStr">
        <is>
          <t>Study flow 2</t>
        </is>
      </c>
      <c r="C650" t="n">
        <v>5</v>
      </c>
      <c r="D650" t="inlineStr">
        <is>
          <t>infographic</t>
        </is>
      </c>
      <c r="E650" t="inlineStr">
        <is>
          <t>NA</t>
        </is>
      </c>
      <c r="F650" t="n">
        <v>97.90000000000001</v>
      </c>
      <c r="G650" t="n">
        <v>95</v>
      </c>
    </row>
    <row r="651">
      <c r="A651" t="inlineStr">
        <is>
          <t>RESP0131</t>
        </is>
      </c>
      <c r="B651" t="inlineStr">
        <is>
          <t>Study flow 2</t>
        </is>
      </c>
      <c r="C651" t="n">
        <v>6</v>
      </c>
      <c r="D651" t="inlineStr">
        <is>
          <t>Questionnaire</t>
        </is>
      </c>
      <c r="E651" t="inlineStr">
        <is>
          <t>NA</t>
        </is>
      </c>
      <c r="F651" t="n">
        <v>99</v>
      </c>
      <c r="G651" t="n">
        <v>93.8</v>
      </c>
    </row>
    <row r="652">
      <c r="A652" t="inlineStr">
        <is>
          <t>RESP0131</t>
        </is>
      </c>
      <c r="B652" t="inlineStr">
        <is>
          <t>Study flow 2</t>
        </is>
      </c>
      <c r="C652" t="n">
        <v>7</v>
      </c>
      <c r="D652" t="inlineStr">
        <is>
          <t>Post-study calibration</t>
        </is>
      </c>
      <c r="E652" t="n">
        <v>1.3</v>
      </c>
      <c r="F652" t="n">
        <v>98.8</v>
      </c>
      <c r="G652" t="n">
        <v>94.59999999999999</v>
      </c>
    </row>
    <row r="653">
      <c r="A653" t="inlineStr">
        <is>
          <t>RESP0133</t>
        </is>
      </c>
      <c r="B653" t="inlineStr">
        <is>
          <t>Study flow 2</t>
        </is>
      </c>
      <c r="C653" t="n">
        <v>1</v>
      </c>
      <c r="D653" t="inlineStr">
        <is>
          <t>Pre-study calibration</t>
        </is>
      </c>
      <c r="E653" t="n">
        <v>1.01</v>
      </c>
      <c r="F653" t="n">
        <v>96.2</v>
      </c>
      <c r="G653" t="n">
        <v>94</v>
      </c>
    </row>
    <row r="654">
      <c r="A654" t="inlineStr">
        <is>
          <t>RESP0133</t>
        </is>
      </c>
      <c r="B654" t="inlineStr">
        <is>
          <t>Study flow 2</t>
        </is>
      </c>
      <c r="C654" t="n">
        <v>2</v>
      </c>
      <c r="D654" t="inlineStr">
        <is>
          <t>Instructions1</t>
        </is>
      </c>
      <c r="E654" t="inlineStr">
        <is>
          <t>NA</t>
        </is>
      </c>
      <c r="F654" t="n">
        <v>97.90000000000001</v>
      </c>
      <c r="G654" t="n">
        <v>93.5</v>
      </c>
    </row>
    <row r="655">
      <c r="A655" t="inlineStr">
        <is>
          <t>RESP0133</t>
        </is>
      </c>
      <c r="B655" t="inlineStr">
        <is>
          <t>Study flow 2</t>
        </is>
      </c>
      <c r="C655" t="n">
        <v>3</v>
      </c>
      <c r="D655" t="inlineStr">
        <is>
          <t>foodwaste_visual</t>
        </is>
      </c>
      <c r="E655" t="inlineStr">
        <is>
          <t>NA</t>
        </is>
      </c>
      <c r="F655" t="n">
        <v>97.3</v>
      </c>
      <c r="G655" t="n">
        <v>94.3</v>
      </c>
    </row>
    <row r="656">
      <c r="A656" t="inlineStr">
        <is>
          <t>RESP0133</t>
        </is>
      </c>
      <c r="B656" t="inlineStr">
        <is>
          <t>Study flow 2</t>
        </is>
      </c>
      <c r="C656" t="n">
        <v>4</v>
      </c>
      <c r="D656" t="inlineStr">
        <is>
          <t>foodwaste_narrative</t>
        </is>
      </c>
      <c r="E656" t="inlineStr">
        <is>
          <t>NA</t>
        </is>
      </c>
      <c r="F656" t="n">
        <v>95.90000000000001</v>
      </c>
      <c r="G656" t="n">
        <v>92.7</v>
      </c>
    </row>
    <row r="657">
      <c r="A657" t="inlineStr">
        <is>
          <t>RESP0133</t>
        </is>
      </c>
      <c r="B657" t="inlineStr">
        <is>
          <t>Study flow 2</t>
        </is>
      </c>
      <c r="C657" t="n">
        <v>5</v>
      </c>
      <c r="D657" t="inlineStr">
        <is>
          <t>infographic</t>
        </is>
      </c>
      <c r="E657" t="inlineStr">
        <is>
          <t>NA</t>
        </is>
      </c>
      <c r="F657" t="n">
        <v>98</v>
      </c>
      <c r="G657" t="n">
        <v>93.3</v>
      </c>
    </row>
    <row r="658">
      <c r="A658" t="inlineStr">
        <is>
          <t>RESP0133</t>
        </is>
      </c>
      <c r="B658" t="inlineStr">
        <is>
          <t>Study flow 2</t>
        </is>
      </c>
      <c r="C658" t="n">
        <v>6</v>
      </c>
      <c r="D658" t="inlineStr">
        <is>
          <t>Questionnaire</t>
        </is>
      </c>
      <c r="E658" t="inlineStr">
        <is>
          <t>NA</t>
        </is>
      </c>
      <c r="F658" t="n">
        <v>96.90000000000001</v>
      </c>
      <c r="G658" t="n">
        <v>97.2</v>
      </c>
    </row>
    <row r="659">
      <c r="A659" t="inlineStr">
        <is>
          <t>RESP0133</t>
        </is>
      </c>
      <c r="B659" t="inlineStr">
        <is>
          <t>Study flow 2</t>
        </is>
      </c>
      <c r="C659" t="n">
        <v>7</v>
      </c>
      <c r="D659" t="inlineStr">
        <is>
          <t>Post-study calibration</t>
        </is>
      </c>
      <c r="E659" t="n">
        <v>1.47</v>
      </c>
      <c r="F659" t="n">
        <v>94.5</v>
      </c>
      <c r="G659" t="n">
        <v>96.59999999999999</v>
      </c>
    </row>
    <row r="660">
      <c r="A660" t="inlineStr">
        <is>
          <t>RESP0134</t>
        </is>
      </c>
      <c r="B660" t="inlineStr">
        <is>
          <t>Study flow 2</t>
        </is>
      </c>
      <c r="C660" t="n">
        <v>1</v>
      </c>
      <c r="D660" t="inlineStr">
        <is>
          <t>Pre-study calibration</t>
        </is>
      </c>
      <c r="E660" t="n">
        <v>3.41</v>
      </c>
      <c r="F660" t="n">
        <v>93.40000000000001</v>
      </c>
      <c r="G660" t="n">
        <v>97.3</v>
      </c>
    </row>
    <row r="661">
      <c r="A661" t="inlineStr">
        <is>
          <t>RESP0134</t>
        </is>
      </c>
      <c r="B661" t="inlineStr">
        <is>
          <t>Study flow 2</t>
        </is>
      </c>
      <c r="C661" t="n">
        <v>2</v>
      </c>
      <c r="D661" t="inlineStr">
        <is>
          <t>Instructions1</t>
        </is>
      </c>
      <c r="E661" t="inlineStr">
        <is>
          <t>NA</t>
        </is>
      </c>
      <c r="F661" t="n">
        <v>92.3</v>
      </c>
      <c r="G661" t="n">
        <v>97</v>
      </c>
    </row>
    <row r="662">
      <c r="A662" t="inlineStr">
        <is>
          <t>RESP0134</t>
        </is>
      </c>
      <c r="B662" t="inlineStr">
        <is>
          <t>Study flow 2</t>
        </is>
      </c>
      <c r="C662" t="n">
        <v>3</v>
      </c>
      <c r="D662" t="inlineStr">
        <is>
          <t>foodwaste_visual</t>
        </is>
      </c>
      <c r="E662" t="inlineStr">
        <is>
          <t>NA</t>
        </is>
      </c>
      <c r="F662" t="n">
        <v>91.40000000000001</v>
      </c>
      <c r="G662" t="n">
        <v>96.8</v>
      </c>
    </row>
    <row r="663">
      <c r="A663" t="inlineStr">
        <is>
          <t>RESP0134</t>
        </is>
      </c>
      <c r="B663" t="inlineStr">
        <is>
          <t>Study flow 2</t>
        </is>
      </c>
      <c r="C663" t="n">
        <v>4</v>
      </c>
      <c r="D663" t="inlineStr">
        <is>
          <t>foodwaste_narrative</t>
        </is>
      </c>
      <c r="E663" t="inlineStr">
        <is>
          <t>NA</t>
        </is>
      </c>
      <c r="F663" t="n">
        <v>90.5</v>
      </c>
      <c r="G663" t="n">
        <v>95.09999999999999</v>
      </c>
    </row>
    <row r="664">
      <c r="A664" t="inlineStr">
        <is>
          <t>RESP0134</t>
        </is>
      </c>
      <c r="B664" t="inlineStr">
        <is>
          <t>Study flow 2</t>
        </is>
      </c>
      <c r="C664" t="n">
        <v>5</v>
      </c>
      <c r="D664" t="inlineStr">
        <is>
          <t>infographic</t>
        </is>
      </c>
      <c r="E664" t="inlineStr">
        <is>
          <t>NA</t>
        </is>
      </c>
      <c r="F664" t="n">
        <v>93.5</v>
      </c>
      <c r="G664" t="n">
        <v>93.09999999999999</v>
      </c>
    </row>
    <row r="665">
      <c r="A665" t="inlineStr">
        <is>
          <t>RESP0134</t>
        </is>
      </c>
      <c r="B665" t="inlineStr">
        <is>
          <t>Study flow 2</t>
        </is>
      </c>
      <c r="C665" t="n">
        <v>6</v>
      </c>
      <c r="D665" t="inlineStr">
        <is>
          <t>Questionnaire</t>
        </is>
      </c>
      <c r="E665" t="inlineStr">
        <is>
          <t>NA</t>
        </is>
      </c>
      <c r="F665" t="n">
        <v>93.09999999999999</v>
      </c>
      <c r="G665" t="n">
        <v>95.2</v>
      </c>
    </row>
    <row r="666">
      <c r="A666" t="inlineStr">
        <is>
          <t>RESP0134</t>
        </is>
      </c>
      <c r="B666" t="inlineStr">
        <is>
          <t>Study flow 2</t>
        </is>
      </c>
      <c r="C666" t="n">
        <v>7</v>
      </c>
      <c r="D666" t="inlineStr">
        <is>
          <t>Post-study calibration</t>
        </is>
      </c>
      <c r="E666" t="n">
        <v>5</v>
      </c>
      <c r="F666" t="n">
        <v>93.7</v>
      </c>
      <c r="G666" t="n">
        <v>97</v>
      </c>
    </row>
    <row r="667">
      <c r="A667" t="inlineStr">
        <is>
          <t>RESP0137</t>
        </is>
      </c>
      <c r="B667" t="inlineStr">
        <is>
          <t>Study flow 2</t>
        </is>
      </c>
      <c r="C667" t="n">
        <v>1</v>
      </c>
      <c r="D667" t="inlineStr">
        <is>
          <t>Pre-study calibration</t>
        </is>
      </c>
      <c r="E667" t="n">
        <v>2.28</v>
      </c>
      <c r="F667" t="n">
        <v>95.5</v>
      </c>
      <c r="G667" t="n">
        <v>99.09999999999999</v>
      </c>
    </row>
    <row r="668">
      <c r="A668" t="inlineStr">
        <is>
          <t>RESP0137</t>
        </is>
      </c>
      <c r="B668" t="inlineStr">
        <is>
          <t>Study flow 2</t>
        </is>
      </c>
      <c r="C668" t="n">
        <v>2</v>
      </c>
      <c r="D668" t="inlineStr">
        <is>
          <t>Instructions1</t>
        </is>
      </c>
      <c r="E668" t="inlineStr">
        <is>
          <t>NA</t>
        </is>
      </c>
      <c r="F668" t="n">
        <v>93.59999999999999</v>
      </c>
      <c r="G668" t="n">
        <v>99.09999999999999</v>
      </c>
    </row>
    <row r="669">
      <c r="A669" t="inlineStr">
        <is>
          <t>RESP0137</t>
        </is>
      </c>
      <c r="B669" t="inlineStr">
        <is>
          <t>Study flow 2</t>
        </is>
      </c>
      <c r="C669" t="n">
        <v>3</v>
      </c>
      <c r="D669" t="inlineStr">
        <is>
          <t>foodwaste_visual</t>
        </is>
      </c>
      <c r="E669" t="inlineStr">
        <is>
          <t>NA</t>
        </is>
      </c>
      <c r="F669" t="n">
        <v>95.40000000000001</v>
      </c>
      <c r="G669" t="n">
        <v>97.8</v>
      </c>
    </row>
    <row r="670">
      <c r="A670" t="inlineStr">
        <is>
          <t>RESP0137</t>
        </is>
      </c>
      <c r="B670" t="inlineStr">
        <is>
          <t>Study flow 2</t>
        </is>
      </c>
      <c r="C670" t="n">
        <v>4</v>
      </c>
      <c r="D670" t="inlineStr">
        <is>
          <t>foodwaste_narrative</t>
        </is>
      </c>
      <c r="E670" t="inlineStr">
        <is>
          <t>NA</t>
        </is>
      </c>
      <c r="F670" t="n">
        <v>91.3</v>
      </c>
      <c r="G670" t="n">
        <v>99.40000000000001</v>
      </c>
    </row>
    <row r="671">
      <c r="A671" t="inlineStr">
        <is>
          <t>RESP0137</t>
        </is>
      </c>
      <c r="B671" t="inlineStr">
        <is>
          <t>Study flow 2</t>
        </is>
      </c>
      <c r="C671" t="n">
        <v>5</v>
      </c>
      <c r="D671" t="inlineStr">
        <is>
          <t>infographic</t>
        </is>
      </c>
      <c r="E671" t="inlineStr">
        <is>
          <t>NA</t>
        </is>
      </c>
      <c r="F671" t="n">
        <v>93.8</v>
      </c>
      <c r="G671" t="n">
        <v>99.09999999999999</v>
      </c>
    </row>
    <row r="672">
      <c r="A672" t="inlineStr">
        <is>
          <t>RESP0137</t>
        </is>
      </c>
      <c r="B672" t="inlineStr">
        <is>
          <t>Study flow 2</t>
        </is>
      </c>
      <c r="C672" t="n">
        <v>6</v>
      </c>
      <c r="D672" t="inlineStr">
        <is>
          <t>Questionnaire</t>
        </is>
      </c>
      <c r="E672" t="inlineStr">
        <is>
          <t>NA</t>
        </is>
      </c>
      <c r="F672" t="n">
        <v>91.59999999999999</v>
      </c>
      <c r="G672" t="n">
        <v>99.40000000000001</v>
      </c>
    </row>
    <row r="673">
      <c r="A673" t="inlineStr">
        <is>
          <t>RESP0137</t>
        </is>
      </c>
      <c r="B673" t="inlineStr">
        <is>
          <t>Study flow 2</t>
        </is>
      </c>
      <c r="C673" t="n">
        <v>7</v>
      </c>
      <c r="D673" t="inlineStr">
        <is>
          <t>Post-study calibration</t>
        </is>
      </c>
      <c r="E673" t="n">
        <v>3.29</v>
      </c>
      <c r="F673" t="n">
        <v>96.2</v>
      </c>
      <c r="G673" t="n">
        <v>99.3</v>
      </c>
    </row>
    <row r="674">
      <c r="A674" t="inlineStr">
        <is>
          <t>RESP0140</t>
        </is>
      </c>
      <c r="B674" t="inlineStr">
        <is>
          <t>Study flow 2</t>
        </is>
      </c>
      <c r="C674" t="n">
        <v>1</v>
      </c>
      <c r="D674" t="inlineStr">
        <is>
          <t>Pre-study calibration</t>
        </is>
      </c>
      <c r="E674" t="n">
        <v>2.11</v>
      </c>
      <c r="F674" t="n">
        <v>80.8</v>
      </c>
      <c r="G674" t="n">
        <v>72.8</v>
      </c>
    </row>
    <row r="675">
      <c r="A675" t="inlineStr">
        <is>
          <t>RESP0140</t>
        </is>
      </c>
      <c r="B675" t="inlineStr">
        <is>
          <t>Study flow 2</t>
        </is>
      </c>
      <c r="C675" t="n">
        <v>2</v>
      </c>
      <c r="D675" t="inlineStr">
        <is>
          <t>Instructions1</t>
        </is>
      </c>
      <c r="E675" t="inlineStr">
        <is>
          <t>NA</t>
        </is>
      </c>
      <c r="F675" t="n">
        <v>85</v>
      </c>
      <c r="G675" t="n">
        <v>89.2</v>
      </c>
    </row>
    <row r="676">
      <c r="A676" t="inlineStr">
        <is>
          <t>RESP0140</t>
        </is>
      </c>
      <c r="B676" t="inlineStr">
        <is>
          <t>Study flow 2</t>
        </is>
      </c>
      <c r="C676" t="n">
        <v>3</v>
      </c>
      <c r="D676" t="inlineStr">
        <is>
          <t>foodwaste_visual</t>
        </is>
      </c>
      <c r="E676" t="inlineStr">
        <is>
          <t>NA</t>
        </is>
      </c>
      <c r="F676" t="n">
        <v>90.59999999999999</v>
      </c>
      <c r="G676" t="n">
        <v>88.09999999999999</v>
      </c>
    </row>
    <row r="677">
      <c r="A677" t="inlineStr">
        <is>
          <t>RESP0140</t>
        </is>
      </c>
      <c r="B677" t="inlineStr">
        <is>
          <t>Study flow 2</t>
        </is>
      </c>
      <c r="C677" t="n">
        <v>4</v>
      </c>
      <c r="D677" t="inlineStr">
        <is>
          <t>foodwaste_narrative</t>
        </is>
      </c>
      <c r="E677" t="inlineStr">
        <is>
          <t>NA</t>
        </is>
      </c>
      <c r="F677" t="n">
        <v>89.59999999999999</v>
      </c>
      <c r="G677" t="n">
        <v>90.59999999999999</v>
      </c>
    </row>
    <row r="678">
      <c r="A678" t="inlineStr">
        <is>
          <t>RESP0140</t>
        </is>
      </c>
      <c r="B678" t="inlineStr">
        <is>
          <t>Study flow 2</t>
        </is>
      </c>
      <c r="C678" t="n">
        <v>5</v>
      </c>
      <c r="D678" t="inlineStr">
        <is>
          <t>infographic</t>
        </is>
      </c>
      <c r="E678" t="inlineStr">
        <is>
          <t>NA</t>
        </is>
      </c>
      <c r="F678" t="n">
        <v>91.09999999999999</v>
      </c>
      <c r="G678" t="n">
        <v>86.40000000000001</v>
      </c>
    </row>
    <row r="679">
      <c r="A679" t="inlineStr">
        <is>
          <t>RESP0140</t>
        </is>
      </c>
      <c r="B679" t="inlineStr">
        <is>
          <t>Study flow 2</t>
        </is>
      </c>
      <c r="C679" t="n">
        <v>6</v>
      </c>
      <c r="D679" t="inlineStr">
        <is>
          <t>Questionnaire</t>
        </is>
      </c>
      <c r="E679" t="inlineStr">
        <is>
          <t>NA</t>
        </is>
      </c>
      <c r="F679" t="n">
        <v>89.3</v>
      </c>
      <c r="G679" t="n">
        <v>89.2</v>
      </c>
    </row>
    <row r="680">
      <c r="A680" t="inlineStr">
        <is>
          <t>RESP0140</t>
        </is>
      </c>
      <c r="B680" t="inlineStr">
        <is>
          <t>Study flow 2</t>
        </is>
      </c>
      <c r="C680" t="n">
        <v>7</v>
      </c>
      <c r="D680" t="inlineStr">
        <is>
          <t>Post-study calibration</t>
        </is>
      </c>
      <c r="E680" t="n">
        <v>2.87</v>
      </c>
      <c r="F680" t="n">
        <v>88.8</v>
      </c>
      <c r="G680" t="n">
        <v>88.5</v>
      </c>
    </row>
    <row r="681">
      <c r="A681" t="inlineStr">
        <is>
          <t>RESP0141</t>
        </is>
      </c>
      <c r="B681" t="inlineStr">
        <is>
          <t>Study flow 1</t>
        </is>
      </c>
      <c r="C681" t="n">
        <v>1</v>
      </c>
      <c r="D681" t="inlineStr">
        <is>
          <t>Pre-study calibration</t>
        </is>
      </c>
      <c r="E681" t="n">
        <v>1.72</v>
      </c>
      <c r="F681" t="n">
        <v>96.2</v>
      </c>
      <c r="G681" t="n">
        <v>95.5</v>
      </c>
    </row>
    <row r="682">
      <c r="A682" t="inlineStr">
        <is>
          <t>RESP0141</t>
        </is>
      </c>
      <c r="B682" t="inlineStr">
        <is>
          <t>Study flow 1</t>
        </is>
      </c>
      <c r="C682" t="n">
        <v>2</v>
      </c>
      <c r="D682" t="inlineStr">
        <is>
          <t>Instructions1</t>
        </is>
      </c>
      <c r="E682" t="inlineStr">
        <is>
          <t>NA</t>
        </is>
      </c>
      <c r="F682" t="n">
        <v>92.7</v>
      </c>
      <c r="G682" t="n">
        <v>95.2</v>
      </c>
    </row>
    <row r="683">
      <c r="A683" t="inlineStr">
        <is>
          <t>RESP0141</t>
        </is>
      </c>
      <c r="B683" t="inlineStr">
        <is>
          <t>Study flow 1</t>
        </is>
      </c>
      <c r="C683" t="n">
        <v>3</v>
      </c>
      <c r="D683" t="inlineStr">
        <is>
          <t>foodwaste_narrative</t>
        </is>
      </c>
      <c r="E683" t="inlineStr">
        <is>
          <t>NA</t>
        </is>
      </c>
      <c r="F683" t="n">
        <v>95.8</v>
      </c>
      <c r="G683" t="n">
        <v>94.8</v>
      </c>
    </row>
    <row r="684">
      <c r="A684" t="inlineStr">
        <is>
          <t>RESP0141</t>
        </is>
      </c>
      <c r="B684" t="inlineStr">
        <is>
          <t>Study flow 1</t>
        </is>
      </c>
      <c r="C684" t="n">
        <v>4</v>
      </c>
      <c r="D684" t="inlineStr">
        <is>
          <t>foodwaste_visual</t>
        </is>
      </c>
      <c r="E684" t="inlineStr">
        <is>
          <t>NA</t>
        </is>
      </c>
      <c r="F684" t="n">
        <v>94.3</v>
      </c>
      <c r="G684" t="n">
        <v>95.7</v>
      </c>
    </row>
    <row r="685">
      <c r="A685" t="inlineStr">
        <is>
          <t>RESP0141</t>
        </is>
      </c>
      <c r="B685" t="inlineStr">
        <is>
          <t>Study flow 1</t>
        </is>
      </c>
      <c r="C685" t="n">
        <v>5</v>
      </c>
      <c r="D685" t="inlineStr">
        <is>
          <t>infographic</t>
        </is>
      </c>
      <c r="E685" t="inlineStr">
        <is>
          <t>NA</t>
        </is>
      </c>
      <c r="F685" t="n">
        <v>95.40000000000001</v>
      </c>
      <c r="G685" t="n">
        <v>94.7</v>
      </c>
    </row>
    <row r="686">
      <c r="A686" t="inlineStr">
        <is>
          <t>RESP0141</t>
        </is>
      </c>
      <c r="B686" t="inlineStr">
        <is>
          <t>Study flow 1</t>
        </is>
      </c>
      <c r="C686" t="n">
        <v>6</v>
      </c>
      <c r="D686" t="inlineStr">
        <is>
          <t>Questionnaire</t>
        </is>
      </c>
      <c r="E686" t="inlineStr">
        <is>
          <t>NA</t>
        </is>
      </c>
      <c r="F686" t="n">
        <v>94.40000000000001</v>
      </c>
      <c r="G686" t="n">
        <v>94.09999999999999</v>
      </c>
    </row>
    <row r="687">
      <c r="A687" t="inlineStr">
        <is>
          <t>RESP0141</t>
        </is>
      </c>
      <c r="B687" t="inlineStr">
        <is>
          <t>Study flow 1</t>
        </is>
      </c>
      <c r="C687" t="n">
        <v>7</v>
      </c>
      <c r="D687" t="inlineStr">
        <is>
          <t>Post-study calibration</t>
        </is>
      </c>
      <c r="E687" t="n">
        <v>2.42</v>
      </c>
      <c r="F687" t="n">
        <v>94.90000000000001</v>
      </c>
      <c r="G687" t="n">
        <v>94.5</v>
      </c>
    </row>
    <row r="688">
      <c r="A688" t="inlineStr">
        <is>
          <t>RESP0142</t>
        </is>
      </c>
      <c r="B688" t="inlineStr">
        <is>
          <t>Study flow 2</t>
        </is>
      </c>
      <c r="C688" t="n">
        <v>1</v>
      </c>
      <c r="D688" t="inlineStr">
        <is>
          <t>Pre-study calibration</t>
        </is>
      </c>
      <c r="E688" t="n">
        <v>1.6</v>
      </c>
      <c r="F688" t="n">
        <v>98.90000000000001</v>
      </c>
      <c r="G688" t="n">
        <v>98</v>
      </c>
    </row>
    <row r="689">
      <c r="A689" t="inlineStr">
        <is>
          <t>RESP0142</t>
        </is>
      </c>
      <c r="B689" t="inlineStr">
        <is>
          <t>Study flow 2</t>
        </is>
      </c>
      <c r="C689" t="n">
        <v>2</v>
      </c>
      <c r="D689" t="inlineStr">
        <is>
          <t>Instructions1</t>
        </is>
      </c>
      <c r="E689" t="inlineStr">
        <is>
          <t>NA</t>
        </is>
      </c>
      <c r="F689" t="n">
        <v>97.7</v>
      </c>
      <c r="G689" t="n">
        <v>99.3</v>
      </c>
    </row>
    <row r="690">
      <c r="A690" t="inlineStr">
        <is>
          <t>RESP0142</t>
        </is>
      </c>
      <c r="B690" t="inlineStr">
        <is>
          <t>Study flow 2</t>
        </is>
      </c>
      <c r="C690" t="n">
        <v>3</v>
      </c>
      <c r="D690" t="inlineStr">
        <is>
          <t>foodwaste_visual</t>
        </is>
      </c>
      <c r="E690" t="inlineStr">
        <is>
          <t>NA</t>
        </is>
      </c>
      <c r="F690" t="n">
        <v>97.40000000000001</v>
      </c>
      <c r="G690" t="n">
        <v>99.2</v>
      </c>
    </row>
    <row r="691">
      <c r="A691" t="inlineStr">
        <is>
          <t>RESP0142</t>
        </is>
      </c>
      <c r="B691" t="inlineStr">
        <is>
          <t>Study flow 2</t>
        </is>
      </c>
      <c r="C691" t="n">
        <v>4</v>
      </c>
      <c r="D691" t="inlineStr">
        <is>
          <t>foodwaste_narrative</t>
        </is>
      </c>
      <c r="E691" t="inlineStr">
        <is>
          <t>NA</t>
        </is>
      </c>
      <c r="F691" t="n">
        <v>97.59999999999999</v>
      </c>
      <c r="G691" t="n">
        <v>98.8</v>
      </c>
    </row>
    <row r="692">
      <c r="A692" t="inlineStr">
        <is>
          <t>RESP0142</t>
        </is>
      </c>
      <c r="B692" t="inlineStr">
        <is>
          <t>Study flow 2</t>
        </is>
      </c>
      <c r="C692" t="n">
        <v>5</v>
      </c>
      <c r="D692" t="inlineStr">
        <is>
          <t>infographic</t>
        </is>
      </c>
      <c r="E692" t="inlineStr">
        <is>
          <t>NA</t>
        </is>
      </c>
      <c r="F692" t="n">
        <v>97.8</v>
      </c>
      <c r="G692" t="n">
        <v>99.5</v>
      </c>
    </row>
    <row r="693">
      <c r="A693" t="inlineStr">
        <is>
          <t>RESP0142</t>
        </is>
      </c>
      <c r="B693" t="inlineStr">
        <is>
          <t>Study flow 2</t>
        </is>
      </c>
      <c r="C693" t="n">
        <v>6</v>
      </c>
      <c r="D693" t="inlineStr">
        <is>
          <t>Questionnaire</t>
        </is>
      </c>
      <c r="E693" t="inlineStr">
        <is>
          <t>NA</t>
        </is>
      </c>
      <c r="F693" t="n">
        <v>96.8</v>
      </c>
      <c r="G693" t="n">
        <v>98.59999999999999</v>
      </c>
    </row>
    <row r="694">
      <c r="A694" t="inlineStr">
        <is>
          <t>RESP0142</t>
        </is>
      </c>
      <c r="B694" t="inlineStr">
        <is>
          <t>Study flow 2</t>
        </is>
      </c>
      <c r="C694" t="n">
        <v>7</v>
      </c>
      <c r="D694" t="inlineStr">
        <is>
          <t>Post-study calibration</t>
        </is>
      </c>
      <c r="E694" t="n">
        <v>2.13</v>
      </c>
      <c r="F694" t="n">
        <v>97.2</v>
      </c>
      <c r="G694" t="n">
        <v>98.7</v>
      </c>
    </row>
    <row r="695">
      <c r="A695" t="inlineStr">
        <is>
          <t>RESP0143</t>
        </is>
      </c>
      <c r="B695" t="inlineStr">
        <is>
          <t>Study flow 1</t>
        </is>
      </c>
      <c r="C695" t="n">
        <v>1</v>
      </c>
      <c r="D695" t="inlineStr">
        <is>
          <t>Pre-study calibration</t>
        </is>
      </c>
      <c r="E695" t="n">
        <v>1.18</v>
      </c>
      <c r="F695" t="n">
        <v>95.8</v>
      </c>
      <c r="G695" t="n">
        <v>90.3</v>
      </c>
    </row>
    <row r="696">
      <c r="A696" t="inlineStr">
        <is>
          <t>RESP0143</t>
        </is>
      </c>
      <c r="B696" t="inlineStr">
        <is>
          <t>Study flow 1</t>
        </is>
      </c>
      <c r="C696" t="n">
        <v>2</v>
      </c>
      <c r="D696" t="inlineStr">
        <is>
          <t>Instructions1</t>
        </is>
      </c>
      <c r="E696" t="inlineStr">
        <is>
          <t>NA</t>
        </is>
      </c>
      <c r="F696" t="n">
        <v>92.8</v>
      </c>
      <c r="G696" t="n">
        <v>91.8</v>
      </c>
    </row>
    <row r="697">
      <c r="A697" t="inlineStr">
        <is>
          <t>RESP0143</t>
        </is>
      </c>
      <c r="B697" t="inlineStr">
        <is>
          <t>Study flow 1</t>
        </is>
      </c>
      <c r="C697" t="n">
        <v>3</v>
      </c>
      <c r="D697" t="inlineStr">
        <is>
          <t>foodwaste_narrative</t>
        </is>
      </c>
      <c r="E697" t="inlineStr">
        <is>
          <t>NA</t>
        </is>
      </c>
      <c r="F697" t="n">
        <v>94</v>
      </c>
      <c r="G697" t="n">
        <v>93.59999999999999</v>
      </c>
    </row>
    <row r="698">
      <c r="A698" t="inlineStr">
        <is>
          <t>RESP0143</t>
        </is>
      </c>
      <c r="B698" t="inlineStr">
        <is>
          <t>Study flow 1</t>
        </is>
      </c>
      <c r="C698" t="n">
        <v>4</v>
      </c>
      <c r="D698" t="inlineStr">
        <is>
          <t>foodwaste_visual</t>
        </is>
      </c>
      <c r="E698" t="inlineStr">
        <is>
          <t>NA</t>
        </is>
      </c>
      <c r="F698" t="n">
        <v>95.3</v>
      </c>
      <c r="G698" t="n">
        <v>90.59999999999999</v>
      </c>
    </row>
    <row r="699">
      <c r="A699" t="inlineStr">
        <is>
          <t>RESP0143</t>
        </is>
      </c>
      <c r="B699" t="inlineStr">
        <is>
          <t>Study flow 1</t>
        </is>
      </c>
      <c r="C699" t="n">
        <v>5</v>
      </c>
      <c r="D699" t="inlineStr">
        <is>
          <t>infographic</t>
        </is>
      </c>
      <c r="E699" t="inlineStr">
        <is>
          <t>NA</t>
        </is>
      </c>
      <c r="F699" t="n">
        <v>92.90000000000001</v>
      </c>
      <c r="G699" t="n">
        <v>92.8</v>
      </c>
    </row>
    <row r="700">
      <c r="A700" t="inlineStr">
        <is>
          <t>RESP0143</t>
        </is>
      </c>
      <c r="B700" t="inlineStr">
        <is>
          <t>Study flow 1</t>
        </is>
      </c>
      <c r="C700" t="n">
        <v>6</v>
      </c>
      <c r="D700" t="inlineStr">
        <is>
          <t>Questionnaire</t>
        </is>
      </c>
      <c r="E700" t="inlineStr">
        <is>
          <t>NA</t>
        </is>
      </c>
      <c r="F700" t="n">
        <v>94.7</v>
      </c>
      <c r="G700" t="n">
        <v>94.40000000000001</v>
      </c>
    </row>
    <row r="701">
      <c r="A701" t="inlineStr">
        <is>
          <t>RESP0143</t>
        </is>
      </c>
      <c r="B701" t="inlineStr">
        <is>
          <t>Study flow 1</t>
        </is>
      </c>
      <c r="C701" t="n">
        <v>7</v>
      </c>
      <c r="D701" t="inlineStr">
        <is>
          <t>Post-study calibration</t>
        </is>
      </c>
      <c r="E701" t="n">
        <v>2.38</v>
      </c>
      <c r="F701" t="n">
        <v>93.3</v>
      </c>
      <c r="G701" t="n">
        <v>94.59999999999999</v>
      </c>
    </row>
    <row r="702">
      <c r="A702" t="inlineStr">
        <is>
          <t>RESP0144</t>
        </is>
      </c>
      <c r="B702" t="inlineStr">
        <is>
          <t>Study flow 2</t>
        </is>
      </c>
      <c r="C702" t="n">
        <v>1</v>
      </c>
      <c r="D702" t="inlineStr">
        <is>
          <t>Pre-study calibration</t>
        </is>
      </c>
      <c r="E702" t="n">
        <v>1.49</v>
      </c>
      <c r="F702" t="n">
        <v>95.3</v>
      </c>
      <c r="G702" t="n">
        <v>98.40000000000001</v>
      </c>
    </row>
    <row r="703">
      <c r="A703" t="inlineStr">
        <is>
          <t>RESP0144</t>
        </is>
      </c>
      <c r="B703" t="inlineStr">
        <is>
          <t>Study flow 2</t>
        </is>
      </c>
      <c r="C703" t="n">
        <v>2</v>
      </c>
      <c r="D703" t="inlineStr">
        <is>
          <t>Instructions1</t>
        </is>
      </c>
      <c r="E703" t="inlineStr">
        <is>
          <t>NA</t>
        </is>
      </c>
      <c r="F703" t="n">
        <v>98.3</v>
      </c>
      <c r="G703" t="n">
        <v>99</v>
      </c>
    </row>
    <row r="704">
      <c r="A704" t="inlineStr">
        <is>
          <t>RESP0144</t>
        </is>
      </c>
      <c r="B704" t="inlineStr">
        <is>
          <t>Study flow 2</t>
        </is>
      </c>
      <c r="C704" t="n">
        <v>3</v>
      </c>
      <c r="D704" t="inlineStr">
        <is>
          <t>foodwaste_visual</t>
        </is>
      </c>
      <c r="E704" t="inlineStr">
        <is>
          <t>NA</t>
        </is>
      </c>
      <c r="F704" t="n">
        <v>97.5</v>
      </c>
      <c r="G704" t="n">
        <v>99</v>
      </c>
    </row>
    <row r="705">
      <c r="A705" t="inlineStr">
        <is>
          <t>RESP0144</t>
        </is>
      </c>
      <c r="B705" t="inlineStr">
        <is>
          <t>Study flow 2</t>
        </is>
      </c>
      <c r="C705" t="n">
        <v>4</v>
      </c>
      <c r="D705" t="inlineStr">
        <is>
          <t>foodwaste_narrative</t>
        </is>
      </c>
      <c r="E705" t="inlineStr">
        <is>
          <t>NA</t>
        </is>
      </c>
      <c r="F705" t="n">
        <v>97.59999999999999</v>
      </c>
      <c r="G705" t="n">
        <v>98.3</v>
      </c>
    </row>
    <row r="706">
      <c r="A706" t="inlineStr">
        <is>
          <t>RESP0144</t>
        </is>
      </c>
      <c r="B706" t="inlineStr">
        <is>
          <t>Study flow 2</t>
        </is>
      </c>
      <c r="C706" t="n">
        <v>5</v>
      </c>
      <c r="D706" t="inlineStr">
        <is>
          <t>infographic</t>
        </is>
      </c>
      <c r="E706" t="inlineStr">
        <is>
          <t>NA</t>
        </is>
      </c>
      <c r="F706" t="n">
        <v>96.8</v>
      </c>
      <c r="G706" t="n">
        <v>99.3</v>
      </c>
    </row>
    <row r="707">
      <c r="A707" t="inlineStr">
        <is>
          <t>RESP0144</t>
        </is>
      </c>
      <c r="B707" t="inlineStr">
        <is>
          <t>Study flow 2</t>
        </is>
      </c>
      <c r="C707" t="n">
        <v>6</v>
      </c>
      <c r="D707" t="inlineStr">
        <is>
          <t>Questionnaire</t>
        </is>
      </c>
      <c r="E707" t="inlineStr">
        <is>
          <t>NA</t>
        </is>
      </c>
      <c r="F707" t="n">
        <v>97.90000000000001</v>
      </c>
      <c r="G707" t="n">
        <v>98.40000000000001</v>
      </c>
    </row>
    <row r="708">
      <c r="A708" t="inlineStr">
        <is>
          <t>RESP0144</t>
        </is>
      </c>
      <c r="B708" t="inlineStr">
        <is>
          <t>Study flow 2</t>
        </is>
      </c>
      <c r="C708" t="n">
        <v>7</v>
      </c>
      <c r="D708" t="inlineStr">
        <is>
          <t>Post-study calibration</t>
        </is>
      </c>
      <c r="E708" t="n">
        <v>2.31</v>
      </c>
      <c r="F708" t="n">
        <v>97.40000000000001</v>
      </c>
      <c r="G708" t="n">
        <v>97.8</v>
      </c>
    </row>
    <row r="709">
      <c r="A709" t="inlineStr">
        <is>
          <t>RESP0145</t>
        </is>
      </c>
      <c r="B709" t="inlineStr">
        <is>
          <t>Study flow 1</t>
        </is>
      </c>
      <c r="C709" t="n">
        <v>1</v>
      </c>
      <c r="D709" t="inlineStr">
        <is>
          <t>Pre-study calibration</t>
        </is>
      </c>
      <c r="E709" t="n">
        <v>1.62</v>
      </c>
      <c r="F709" t="n">
        <v>97.5</v>
      </c>
      <c r="G709" t="n">
        <v>99.59999999999999</v>
      </c>
    </row>
    <row r="710">
      <c r="A710" t="inlineStr">
        <is>
          <t>RESP0145</t>
        </is>
      </c>
      <c r="B710" t="inlineStr">
        <is>
          <t>Study flow 1</t>
        </is>
      </c>
      <c r="C710" t="n">
        <v>2</v>
      </c>
      <c r="D710" t="inlineStr">
        <is>
          <t>Instructions1</t>
        </is>
      </c>
      <c r="E710" t="inlineStr">
        <is>
          <t>NA</t>
        </is>
      </c>
      <c r="F710" t="n">
        <v>98.7</v>
      </c>
      <c r="G710" t="n">
        <v>99.7</v>
      </c>
    </row>
    <row r="711">
      <c r="A711" t="inlineStr">
        <is>
          <t>RESP0145</t>
        </is>
      </c>
      <c r="B711" t="inlineStr">
        <is>
          <t>Study flow 1</t>
        </is>
      </c>
      <c r="C711" t="n">
        <v>3</v>
      </c>
      <c r="D711" t="inlineStr">
        <is>
          <t>foodwaste_narrative</t>
        </is>
      </c>
      <c r="E711" t="inlineStr">
        <is>
          <t>NA</t>
        </is>
      </c>
      <c r="F711" t="n">
        <v>96.59999999999999</v>
      </c>
      <c r="G711" t="n">
        <v>99.8</v>
      </c>
    </row>
    <row r="712">
      <c r="A712" t="inlineStr">
        <is>
          <t>RESP0145</t>
        </is>
      </c>
      <c r="B712" t="inlineStr">
        <is>
          <t>Study flow 1</t>
        </is>
      </c>
      <c r="C712" t="n">
        <v>4</v>
      </c>
      <c r="D712" t="inlineStr">
        <is>
          <t>foodwaste_visual</t>
        </is>
      </c>
      <c r="E712" t="inlineStr">
        <is>
          <t>NA</t>
        </is>
      </c>
      <c r="F712" t="n">
        <v>97.59999999999999</v>
      </c>
      <c r="G712" t="n">
        <v>99.7</v>
      </c>
    </row>
    <row r="713">
      <c r="A713" t="inlineStr">
        <is>
          <t>RESP0145</t>
        </is>
      </c>
      <c r="B713" t="inlineStr">
        <is>
          <t>Study flow 1</t>
        </is>
      </c>
      <c r="C713" t="n">
        <v>5</v>
      </c>
      <c r="D713" t="inlineStr">
        <is>
          <t>infographic</t>
        </is>
      </c>
      <c r="E713" t="inlineStr">
        <is>
          <t>NA</t>
        </is>
      </c>
      <c r="F713" t="n">
        <v>98</v>
      </c>
      <c r="G713" t="n">
        <v>99.7</v>
      </c>
    </row>
    <row r="714">
      <c r="A714" t="inlineStr">
        <is>
          <t>RESP0145</t>
        </is>
      </c>
      <c r="B714" t="inlineStr">
        <is>
          <t>Study flow 1</t>
        </is>
      </c>
      <c r="C714" t="n">
        <v>6</v>
      </c>
      <c r="D714" t="inlineStr">
        <is>
          <t>Questionnaire</t>
        </is>
      </c>
      <c r="E714" t="inlineStr">
        <is>
          <t>NA</t>
        </is>
      </c>
      <c r="F714" t="n">
        <v>96.59999999999999</v>
      </c>
      <c r="G714" t="n">
        <v>99.5</v>
      </c>
    </row>
    <row r="715">
      <c r="A715" t="inlineStr">
        <is>
          <t>RESP0145</t>
        </is>
      </c>
      <c r="B715" t="inlineStr">
        <is>
          <t>Study flow 1</t>
        </is>
      </c>
      <c r="C715" t="n">
        <v>7</v>
      </c>
      <c r="D715" t="inlineStr">
        <is>
          <t>Post-study calibration</t>
        </is>
      </c>
      <c r="E715" t="n">
        <v>2.03</v>
      </c>
      <c r="F715" t="n">
        <v>95.40000000000001</v>
      </c>
      <c r="G715" t="n">
        <v>99.90000000000001</v>
      </c>
    </row>
    <row r="716">
      <c r="A716" t="inlineStr">
        <is>
          <t>RESP0147</t>
        </is>
      </c>
      <c r="B716" t="inlineStr">
        <is>
          <t>Study flow 2</t>
        </is>
      </c>
      <c r="C716" t="n">
        <v>1</v>
      </c>
      <c r="D716" t="inlineStr">
        <is>
          <t>Pre-study calibration</t>
        </is>
      </c>
      <c r="E716" t="n">
        <v>2.35</v>
      </c>
      <c r="F716" t="n">
        <v>80.3</v>
      </c>
      <c r="G716" t="n">
        <v>83.90000000000001</v>
      </c>
    </row>
    <row r="717">
      <c r="A717" t="inlineStr">
        <is>
          <t>RESP0147</t>
        </is>
      </c>
      <c r="B717" t="inlineStr">
        <is>
          <t>Study flow 2</t>
        </is>
      </c>
      <c r="C717" t="n">
        <v>2</v>
      </c>
      <c r="D717" t="inlineStr">
        <is>
          <t>Instructions1</t>
        </is>
      </c>
      <c r="E717" t="inlineStr">
        <is>
          <t>NA</t>
        </is>
      </c>
      <c r="F717" t="n">
        <v>80.40000000000001</v>
      </c>
      <c r="G717" t="n">
        <v>77.59999999999999</v>
      </c>
    </row>
    <row r="718">
      <c r="A718" t="inlineStr">
        <is>
          <t>RESP0147</t>
        </is>
      </c>
      <c r="B718" t="inlineStr">
        <is>
          <t>Study flow 2</t>
        </is>
      </c>
      <c r="C718" t="n">
        <v>3</v>
      </c>
      <c r="D718" t="inlineStr">
        <is>
          <t>foodwaste_visual</t>
        </is>
      </c>
      <c r="E718" t="inlineStr">
        <is>
          <t>NA</t>
        </is>
      </c>
      <c r="F718" t="n">
        <v>77</v>
      </c>
      <c r="G718" t="n">
        <v>86.5</v>
      </c>
    </row>
    <row r="719">
      <c r="A719" t="inlineStr">
        <is>
          <t>RESP0147</t>
        </is>
      </c>
      <c r="B719" t="inlineStr">
        <is>
          <t>Study flow 2</t>
        </is>
      </c>
      <c r="C719" t="n">
        <v>4</v>
      </c>
      <c r="D719" t="inlineStr">
        <is>
          <t>foodwaste_narrative</t>
        </is>
      </c>
      <c r="E719" t="inlineStr">
        <is>
          <t>NA</t>
        </is>
      </c>
      <c r="F719" t="n">
        <v>87.5</v>
      </c>
      <c r="G719" t="n">
        <v>64.7</v>
      </c>
    </row>
    <row r="720">
      <c r="A720" t="inlineStr">
        <is>
          <t>RESP0147</t>
        </is>
      </c>
      <c r="B720" t="inlineStr">
        <is>
          <t>Study flow 2</t>
        </is>
      </c>
      <c r="C720" t="n">
        <v>5</v>
      </c>
      <c r="D720" t="inlineStr">
        <is>
          <t>infographic</t>
        </is>
      </c>
      <c r="E720" t="inlineStr">
        <is>
          <t>NA</t>
        </is>
      </c>
      <c r="F720" t="n">
        <v>88.8</v>
      </c>
      <c r="G720" t="n">
        <v>84.40000000000001</v>
      </c>
    </row>
    <row r="721">
      <c r="A721" t="inlineStr">
        <is>
          <t>RESP0147</t>
        </is>
      </c>
      <c r="B721" t="inlineStr">
        <is>
          <t>Study flow 2</t>
        </is>
      </c>
      <c r="C721" t="n">
        <v>6</v>
      </c>
      <c r="D721" t="inlineStr">
        <is>
          <t>Questionnaire</t>
        </is>
      </c>
      <c r="E721" t="inlineStr">
        <is>
          <t>NA</t>
        </is>
      </c>
      <c r="F721" t="n">
        <v>83.3</v>
      </c>
      <c r="G721" t="n">
        <v>75.8</v>
      </c>
    </row>
    <row r="722">
      <c r="A722" t="inlineStr">
        <is>
          <t>RESP0147</t>
        </is>
      </c>
      <c r="B722" t="inlineStr">
        <is>
          <t>Study flow 2</t>
        </is>
      </c>
      <c r="C722" t="n">
        <v>7</v>
      </c>
      <c r="D722" t="inlineStr">
        <is>
          <t>Post-study calibration</t>
        </is>
      </c>
      <c r="E722" t="n">
        <v>4</v>
      </c>
      <c r="F722" t="n">
        <v>87.59999999999999</v>
      </c>
      <c r="G722" t="n">
        <v>79.40000000000001</v>
      </c>
    </row>
    <row r="723">
      <c r="A723" t="inlineStr">
        <is>
          <t>RESP0149</t>
        </is>
      </c>
      <c r="B723" t="inlineStr">
        <is>
          <t>Study flow 2</t>
        </is>
      </c>
      <c r="C723" t="n">
        <v>1</v>
      </c>
      <c r="D723" t="inlineStr">
        <is>
          <t>Pre-study calibration</t>
        </is>
      </c>
      <c r="E723" t="n">
        <v>1.59</v>
      </c>
      <c r="F723" t="n">
        <v>95.90000000000001</v>
      </c>
      <c r="G723" t="n">
        <v>85.90000000000001</v>
      </c>
    </row>
    <row r="724">
      <c r="A724" t="inlineStr">
        <is>
          <t>RESP0149</t>
        </is>
      </c>
      <c r="B724" t="inlineStr">
        <is>
          <t>Study flow 2</t>
        </is>
      </c>
      <c r="C724" t="n">
        <v>2</v>
      </c>
      <c r="D724" t="inlineStr">
        <is>
          <t>Instructions1</t>
        </is>
      </c>
      <c r="E724" t="inlineStr">
        <is>
          <t>NA</t>
        </is>
      </c>
      <c r="F724" t="n">
        <v>91.8</v>
      </c>
      <c r="G724" t="n">
        <v>93.7</v>
      </c>
    </row>
    <row r="725">
      <c r="A725" t="inlineStr">
        <is>
          <t>RESP0149</t>
        </is>
      </c>
      <c r="B725" t="inlineStr">
        <is>
          <t>Study flow 2</t>
        </is>
      </c>
      <c r="C725" t="n">
        <v>3</v>
      </c>
      <c r="D725" t="inlineStr">
        <is>
          <t>foodwaste_visual</t>
        </is>
      </c>
      <c r="E725" t="inlineStr">
        <is>
          <t>NA</t>
        </is>
      </c>
      <c r="F725" t="n">
        <v>90.90000000000001</v>
      </c>
      <c r="G725" t="n">
        <v>94.8</v>
      </c>
    </row>
    <row r="726">
      <c r="A726" t="inlineStr">
        <is>
          <t>RESP0149</t>
        </is>
      </c>
      <c r="B726" t="inlineStr">
        <is>
          <t>Study flow 2</t>
        </is>
      </c>
      <c r="C726" t="n">
        <v>4</v>
      </c>
      <c r="D726" t="inlineStr">
        <is>
          <t>foodwaste_narrative</t>
        </is>
      </c>
      <c r="E726" t="inlineStr">
        <is>
          <t>NA</t>
        </is>
      </c>
      <c r="F726" t="n">
        <v>92.5</v>
      </c>
      <c r="G726" t="n">
        <v>93.5</v>
      </c>
    </row>
    <row r="727">
      <c r="A727" t="inlineStr">
        <is>
          <t>RESP0149</t>
        </is>
      </c>
      <c r="B727" t="inlineStr">
        <is>
          <t>Study flow 2</t>
        </is>
      </c>
      <c r="C727" t="n">
        <v>5</v>
      </c>
      <c r="D727" t="inlineStr">
        <is>
          <t>infographic</t>
        </is>
      </c>
      <c r="E727" t="inlineStr">
        <is>
          <t>NA</t>
        </is>
      </c>
      <c r="F727" t="n">
        <v>96.3</v>
      </c>
      <c r="G727" t="n">
        <v>93.3</v>
      </c>
    </row>
    <row r="728">
      <c r="A728" t="inlineStr">
        <is>
          <t>RESP0149</t>
        </is>
      </c>
      <c r="B728" t="inlineStr">
        <is>
          <t>Study flow 2</t>
        </is>
      </c>
      <c r="C728" t="n">
        <v>6</v>
      </c>
      <c r="D728" t="inlineStr">
        <is>
          <t>Questionnaire</t>
        </is>
      </c>
      <c r="E728" t="inlineStr">
        <is>
          <t>NA</t>
        </is>
      </c>
      <c r="F728" t="n">
        <v>96.8</v>
      </c>
      <c r="G728" t="n">
        <v>95.3</v>
      </c>
    </row>
    <row r="729">
      <c r="A729" t="inlineStr">
        <is>
          <t>RESP0149</t>
        </is>
      </c>
      <c r="B729" t="inlineStr">
        <is>
          <t>Study flow 2</t>
        </is>
      </c>
      <c r="C729" t="n">
        <v>7</v>
      </c>
      <c r="D729" t="inlineStr">
        <is>
          <t>Post-study calibration</t>
        </is>
      </c>
      <c r="E729" t="n">
        <v>1.97</v>
      </c>
      <c r="F729" t="n">
        <v>94.90000000000001</v>
      </c>
      <c r="G729" t="n">
        <v>93.09999999999999</v>
      </c>
    </row>
    <row r="730">
      <c r="A730" t="inlineStr">
        <is>
          <t>RESP0150</t>
        </is>
      </c>
      <c r="B730" t="inlineStr">
        <is>
          <t>Study flow 1</t>
        </is>
      </c>
      <c r="C730" t="n">
        <v>1</v>
      </c>
      <c r="D730" t="inlineStr">
        <is>
          <t>Pre-study calibration</t>
        </is>
      </c>
      <c r="E730" t="n">
        <v>0.53</v>
      </c>
      <c r="F730" t="n">
        <v>96.90000000000001</v>
      </c>
      <c r="G730" t="n">
        <v>98.8</v>
      </c>
    </row>
    <row r="731">
      <c r="A731" t="inlineStr">
        <is>
          <t>RESP0150</t>
        </is>
      </c>
      <c r="B731" t="inlineStr">
        <is>
          <t>Study flow 1</t>
        </is>
      </c>
      <c r="C731" t="n">
        <v>2</v>
      </c>
      <c r="D731" t="inlineStr">
        <is>
          <t>Instructions1</t>
        </is>
      </c>
      <c r="E731" t="inlineStr">
        <is>
          <t>NA</t>
        </is>
      </c>
      <c r="F731" t="n">
        <v>97.2</v>
      </c>
      <c r="G731" t="n">
        <v>98.90000000000001</v>
      </c>
    </row>
    <row r="732">
      <c r="A732" t="inlineStr">
        <is>
          <t>RESP0150</t>
        </is>
      </c>
      <c r="B732" t="inlineStr">
        <is>
          <t>Study flow 1</t>
        </is>
      </c>
      <c r="C732" t="n">
        <v>3</v>
      </c>
      <c r="D732" t="inlineStr">
        <is>
          <t>foodwaste_narrative</t>
        </is>
      </c>
      <c r="E732" t="inlineStr">
        <is>
          <t>NA</t>
        </is>
      </c>
      <c r="F732" t="n">
        <v>98.3</v>
      </c>
      <c r="G732" t="n">
        <v>97.59999999999999</v>
      </c>
    </row>
    <row r="733">
      <c r="A733" t="inlineStr">
        <is>
          <t>RESP0150</t>
        </is>
      </c>
      <c r="B733" t="inlineStr">
        <is>
          <t>Study flow 1</t>
        </is>
      </c>
      <c r="C733" t="n">
        <v>4</v>
      </c>
      <c r="D733" t="inlineStr">
        <is>
          <t>foodwaste_visual</t>
        </is>
      </c>
      <c r="E733" t="inlineStr">
        <is>
          <t>NA</t>
        </is>
      </c>
      <c r="F733" t="n">
        <v>97.2</v>
      </c>
      <c r="G733" t="n">
        <v>97.8</v>
      </c>
    </row>
    <row r="734">
      <c r="A734" t="inlineStr">
        <is>
          <t>RESP0150</t>
        </is>
      </c>
      <c r="B734" t="inlineStr">
        <is>
          <t>Study flow 1</t>
        </is>
      </c>
      <c r="C734" t="n">
        <v>5</v>
      </c>
      <c r="D734" t="inlineStr">
        <is>
          <t>infographic</t>
        </is>
      </c>
      <c r="E734" t="inlineStr">
        <is>
          <t>NA</t>
        </is>
      </c>
      <c r="F734" t="n">
        <v>98</v>
      </c>
      <c r="G734" t="n">
        <v>97.8</v>
      </c>
    </row>
    <row r="735">
      <c r="A735" t="inlineStr">
        <is>
          <t>RESP0150</t>
        </is>
      </c>
      <c r="B735" t="inlineStr">
        <is>
          <t>Study flow 1</t>
        </is>
      </c>
      <c r="C735" t="n">
        <v>6</v>
      </c>
      <c r="D735" t="inlineStr">
        <is>
          <t>Questionnaire</t>
        </is>
      </c>
      <c r="E735" t="inlineStr">
        <is>
          <t>NA</t>
        </is>
      </c>
      <c r="F735" t="n">
        <v>98.2</v>
      </c>
      <c r="G735" t="n">
        <v>98.3</v>
      </c>
    </row>
    <row r="736">
      <c r="A736" t="inlineStr">
        <is>
          <t>RESP0150</t>
        </is>
      </c>
      <c r="B736" t="inlineStr">
        <is>
          <t>Study flow 1</t>
        </is>
      </c>
      <c r="C736" t="n">
        <v>7</v>
      </c>
      <c r="D736" t="inlineStr">
        <is>
          <t>Post-study calibration</t>
        </is>
      </c>
      <c r="E736" t="n">
        <v>0.99</v>
      </c>
      <c r="F736" t="n">
        <v>96</v>
      </c>
      <c r="G736" t="n">
        <v>98.90000000000001</v>
      </c>
    </row>
    <row r="737">
      <c r="A737" t="inlineStr">
        <is>
          <t>RESP0151</t>
        </is>
      </c>
      <c r="B737" t="inlineStr">
        <is>
          <t>Study flow 2</t>
        </is>
      </c>
      <c r="C737" t="n">
        <v>1</v>
      </c>
      <c r="D737" t="inlineStr">
        <is>
          <t>Pre-study calibration</t>
        </is>
      </c>
      <c r="E737" t="n">
        <v>1.41</v>
      </c>
      <c r="F737" t="n">
        <v>98.59999999999999</v>
      </c>
      <c r="G737" t="n">
        <v>99.7</v>
      </c>
    </row>
    <row r="738">
      <c r="A738" t="inlineStr">
        <is>
          <t>RESP0151</t>
        </is>
      </c>
      <c r="B738" t="inlineStr">
        <is>
          <t>Study flow 2</t>
        </is>
      </c>
      <c r="C738" t="n">
        <v>2</v>
      </c>
      <c r="D738" t="inlineStr">
        <is>
          <t>Instructions1</t>
        </is>
      </c>
      <c r="E738" t="inlineStr">
        <is>
          <t>NA</t>
        </is>
      </c>
      <c r="F738" t="n">
        <v>99.2</v>
      </c>
      <c r="G738" t="n">
        <v>99.7</v>
      </c>
    </row>
    <row r="739">
      <c r="A739" t="inlineStr">
        <is>
          <t>RESP0151</t>
        </is>
      </c>
      <c r="B739" t="inlineStr">
        <is>
          <t>Study flow 2</t>
        </is>
      </c>
      <c r="C739" t="n">
        <v>3</v>
      </c>
      <c r="D739" t="inlineStr">
        <is>
          <t>foodwaste_visual</t>
        </is>
      </c>
      <c r="E739" t="inlineStr">
        <is>
          <t>NA</t>
        </is>
      </c>
      <c r="F739" t="n">
        <v>99.09999999999999</v>
      </c>
      <c r="G739" t="n">
        <v>99.7</v>
      </c>
    </row>
    <row r="740">
      <c r="A740" t="inlineStr">
        <is>
          <t>RESP0151</t>
        </is>
      </c>
      <c r="B740" t="inlineStr">
        <is>
          <t>Study flow 2</t>
        </is>
      </c>
      <c r="C740" t="n">
        <v>4</v>
      </c>
      <c r="D740" t="inlineStr">
        <is>
          <t>foodwaste_narrative</t>
        </is>
      </c>
      <c r="E740" t="inlineStr">
        <is>
          <t>NA</t>
        </is>
      </c>
      <c r="F740" t="n">
        <v>99.3</v>
      </c>
      <c r="G740" t="n">
        <v>99.7</v>
      </c>
    </row>
    <row r="741">
      <c r="A741" t="inlineStr">
        <is>
          <t>RESP0151</t>
        </is>
      </c>
      <c r="B741" t="inlineStr">
        <is>
          <t>Study flow 2</t>
        </is>
      </c>
      <c r="C741" t="n">
        <v>5</v>
      </c>
      <c r="D741" t="inlineStr">
        <is>
          <t>infographic</t>
        </is>
      </c>
      <c r="E741" t="inlineStr">
        <is>
          <t>NA</t>
        </is>
      </c>
      <c r="F741" t="n">
        <v>99.09999999999999</v>
      </c>
      <c r="G741" t="n">
        <v>99.7</v>
      </c>
    </row>
    <row r="742">
      <c r="A742" t="inlineStr">
        <is>
          <t>RESP0151</t>
        </is>
      </c>
      <c r="B742" t="inlineStr">
        <is>
          <t>Study flow 2</t>
        </is>
      </c>
      <c r="C742" t="n">
        <v>6</v>
      </c>
      <c r="D742" t="inlineStr">
        <is>
          <t>Questionnaire</t>
        </is>
      </c>
      <c r="E742" t="inlineStr">
        <is>
          <t>NA</t>
        </is>
      </c>
      <c r="F742" t="n">
        <v>98.3</v>
      </c>
      <c r="G742" t="n">
        <v>99.59999999999999</v>
      </c>
    </row>
    <row r="743">
      <c r="A743" t="inlineStr">
        <is>
          <t>RESP0151</t>
        </is>
      </c>
      <c r="B743" t="inlineStr">
        <is>
          <t>Study flow 2</t>
        </is>
      </c>
      <c r="C743" t="n">
        <v>7</v>
      </c>
      <c r="D743" t="inlineStr">
        <is>
          <t>Post-study calibration</t>
        </is>
      </c>
      <c r="E743" t="n">
        <v>0.71</v>
      </c>
      <c r="F743" t="n">
        <v>98.2</v>
      </c>
      <c r="G743" t="n">
        <v>99.5</v>
      </c>
    </row>
    <row r="744">
      <c r="A744" t="inlineStr">
        <is>
          <t>RESP0154</t>
        </is>
      </c>
      <c r="B744" t="inlineStr">
        <is>
          <t>Study flow 1</t>
        </is>
      </c>
      <c r="C744" t="n">
        <v>1</v>
      </c>
      <c r="D744" t="inlineStr">
        <is>
          <t>Pre-study calibration</t>
        </is>
      </c>
      <c r="E744" t="n">
        <v>0.32</v>
      </c>
      <c r="F744" t="n">
        <v>98.40000000000001</v>
      </c>
      <c r="G744" t="n">
        <v>99.2</v>
      </c>
    </row>
    <row r="745">
      <c r="A745" t="inlineStr">
        <is>
          <t>RESP0154</t>
        </is>
      </c>
      <c r="B745" t="inlineStr">
        <is>
          <t>Study flow 1</t>
        </is>
      </c>
      <c r="C745" t="n">
        <v>2</v>
      </c>
      <c r="D745" t="inlineStr">
        <is>
          <t>Instructions1</t>
        </is>
      </c>
      <c r="E745" t="inlineStr">
        <is>
          <t>NA</t>
        </is>
      </c>
      <c r="F745" t="n">
        <v>99.3</v>
      </c>
      <c r="G745" t="n">
        <v>98.8</v>
      </c>
    </row>
    <row r="746">
      <c r="A746" t="inlineStr">
        <is>
          <t>RESP0154</t>
        </is>
      </c>
      <c r="B746" t="inlineStr">
        <is>
          <t>Study flow 1</t>
        </is>
      </c>
      <c r="C746" t="n">
        <v>3</v>
      </c>
      <c r="D746" t="inlineStr">
        <is>
          <t>foodwaste_narrative</t>
        </is>
      </c>
      <c r="E746" t="inlineStr">
        <is>
          <t>NA</t>
        </is>
      </c>
      <c r="F746" t="n">
        <v>99.09999999999999</v>
      </c>
      <c r="G746" t="n">
        <v>98.8</v>
      </c>
    </row>
    <row r="747">
      <c r="A747" t="inlineStr">
        <is>
          <t>RESP0154</t>
        </is>
      </c>
      <c r="B747" t="inlineStr">
        <is>
          <t>Study flow 1</t>
        </is>
      </c>
      <c r="C747" t="n">
        <v>4</v>
      </c>
      <c r="D747" t="inlineStr">
        <is>
          <t>foodwaste_visual</t>
        </is>
      </c>
      <c r="E747" t="inlineStr">
        <is>
          <t>NA</t>
        </is>
      </c>
      <c r="F747" t="n">
        <v>99.2</v>
      </c>
      <c r="G747" t="n">
        <v>98.2</v>
      </c>
    </row>
    <row r="748">
      <c r="A748" t="inlineStr">
        <is>
          <t>RESP0154</t>
        </is>
      </c>
      <c r="B748" t="inlineStr">
        <is>
          <t>Study flow 1</t>
        </is>
      </c>
      <c r="C748" t="n">
        <v>5</v>
      </c>
      <c r="D748" t="inlineStr">
        <is>
          <t>infographic</t>
        </is>
      </c>
      <c r="E748" t="inlineStr">
        <is>
          <t>NA</t>
        </is>
      </c>
      <c r="F748" t="n">
        <v>98.90000000000001</v>
      </c>
      <c r="G748" t="n">
        <v>98.8</v>
      </c>
    </row>
    <row r="749">
      <c r="A749" t="inlineStr">
        <is>
          <t>RESP0154</t>
        </is>
      </c>
      <c r="B749" t="inlineStr">
        <is>
          <t>Study flow 1</t>
        </is>
      </c>
      <c r="C749" t="n">
        <v>6</v>
      </c>
      <c r="D749" t="inlineStr">
        <is>
          <t>Questionnaire</t>
        </is>
      </c>
      <c r="E749" t="inlineStr">
        <is>
          <t>NA</t>
        </is>
      </c>
      <c r="F749" t="n">
        <v>99.2</v>
      </c>
      <c r="G749" t="n">
        <v>99.2</v>
      </c>
    </row>
    <row r="750">
      <c r="A750" t="inlineStr">
        <is>
          <t>RESP0154</t>
        </is>
      </c>
      <c r="B750" t="inlineStr">
        <is>
          <t>Study flow 1</t>
        </is>
      </c>
      <c r="C750" t="n">
        <v>7</v>
      </c>
      <c r="D750" t="inlineStr">
        <is>
          <t>Post-study calibration</t>
        </is>
      </c>
      <c r="E750" t="n">
        <v>0.61</v>
      </c>
      <c r="F750" t="n">
        <v>98.90000000000001</v>
      </c>
      <c r="G750" t="n">
        <v>99.09999999999999</v>
      </c>
    </row>
    <row r="751">
      <c r="A751" t="inlineStr">
        <is>
          <t>RESP0155</t>
        </is>
      </c>
      <c r="B751" t="inlineStr">
        <is>
          <t>Study flow 1</t>
        </is>
      </c>
      <c r="C751" t="n">
        <v>1</v>
      </c>
      <c r="D751" t="inlineStr">
        <is>
          <t>Pre-study calibration</t>
        </is>
      </c>
      <c r="E751" t="n">
        <v>1.14</v>
      </c>
      <c r="F751" t="n">
        <v>96.8</v>
      </c>
      <c r="G751" t="n">
        <v>97.2</v>
      </c>
    </row>
    <row r="752">
      <c r="A752" t="inlineStr">
        <is>
          <t>RESP0155</t>
        </is>
      </c>
      <c r="B752" t="inlineStr">
        <is>
          <t>Study flow 1</t>
        </is>
      </c>
      <c r="C752" t="n">
        <v>2</v>
      </c>
      <c r="D752" t="inlineStr">
        <is>
          <t>Instructions1</t>
        </is>
      </c>
      <c r="E752" t="inlineStr">
        <is>
          <t>NA</t>
        </is>
      </c>
      <c r="F752" t="n">
        <v>97.90000000000001</v>
      </c>
      <c r="G752" t="n">
        <v>97.59999999999999</v>
      </c>
    </row>
    <row r="753">
      <c r="A753" t="inlineStr">
        <is>
          <t>RESP0155</t>
        </is>
      </c>
      <c r="B753" t="inlineStr">
        <is>
          <t>Study flow 1</t>
        </is>
      </c>
      <c r="C753" t="n">
        <v>3</v>
      </c>
      <c r="D753" t="inlineStr">
        <is>
          <t>foodwaste_narrative</t>
        </is>
      </c>
      <c r="E753" t="inlineStr">
        <is>
          <t>NA</t>
        </is>
      </c>
      <c r="F753" t="n">
        <v>98.2</v>
      </c>
      <c r="G753" t="n">
        <v>98.40000000000001</v>
      </c>
    </row>
    <row r="754">
      <c r="A754" t="inlineStr">
        <is>
          <t>RESP0155</t>
        </is>
      </c>
      <c r="B754" t="inlineStr">
        <is>
          <t>Study flow 1</t>
        </is>
      </c>
      <c r="C754" t="n">
        <v>4</v>
      </c>
      <c r="D754" t="inlineStr">
        <is>
          <t>foodwaste_visual</t>
        </is>
      </c>
      <c r="E754" t="inlineStr">
        <is>
          <t>NA</t>
        </is>
      </c>
      <c r="F754" t="n">
        <v>97.40000000000001</v>
      </c>
      <c r="G754" t="n">
        <v>97.7</v>
      </c>
    </row>
    <row r="755">
      <c r="A755" t="inlineStr">
        <is>
          <t>RESP0155</t>
        </is>
      </c>
      <c r="B755" t="inlineStr">
        <is>
          <t>Study flow 1</t>
        </is>
      </c>
      <c r="C755" t="n">
        <v>5</v>
      </c>
      <c r="D755" t="inlineStr">
        <is>
          <t>infographic</t>
        </is>
      </c>
      <c r="E755" t="inlineStr">
        <is>
          <t>NA</t>
        </is>
      </c>
      <c r="F755" t="n">
        <v>97.40000000000001</v>
      </c>
      <c r="G755" t="n">
        <v>95</v>
      </c>
    </row>
    <row r="756">
      <c r="A756" t="inlineStr">
        <is>
          <t>RESP0155</t>
        </is>
      </c>
      <c r="B756" t="inlineStr">
        <is>
          <t>Study flow 1</t>
        </is>
      </c>
      <c r="C756" t="n">
        <v>6</v>
      </c>
      <c r="D756" t="inlineStr">
        <is>
          <t>Questionnaire</t>
        </is>
      </c>
      <c r="E756" t="inlineStr">
        <is>
          <t>NA</t>
        </is>
      </c>
      <c r="F756" t="n">
        <v>97.90000000000001</v>
      </c>
      <c r="G756" t="n">
        <v>97.5</v>
      </c>
    </row>
    <row r="757">
      <c r="A757" t="inlineStr">
        <is>
          <t>RESP0155</t>
        </is>
      </c>
      <c r="B757" t="inlineStr">
        <is>
          <t>Study flow 1</t>
        </is>
      </c>
      <c r="C757" t="n">
        <v>7</v>
      </c>
      <c r="D757" t="inlineStr">
        <is>
          <t>Post-study calibration</t>
        </is>
      </c>
      <c r="E757" t="n">
        <v>1.6</v>
      </c>
      <c r="F757" t="n">
        <v>97</v>
      </c>
      <c r="G757" t="n">
        <v>94.5</v>
      </c>
    </row>
    <row r="758">
      <c r="A758" t="inlineStr">
        <is>
          <t>RESP0157</t>
        </is>
      </c>
      <c r="B758" t="inlineStr">
        <is>
          <t>Study flow 2</t>
        </is>
      </c>
      <c r="C758" t="n">
        <v>1</v>
      </c>
      <c r="D758" t="inlineStr">
        <is>
          <t>Pre-study calibration</t>
        </is>
      </c>
      <c r="E758" t="n">
        <v>5.06</v>
      </c>
      <c r="F758" t="n">
        <v>96.3</v>
      </c>
      <c r="G758" t="n">
        <v>86.40000000000001</v>
      </c>
    </row>
    <row r="759">
      <c r="A759" t="inlineStr">
        <is>
          <t>RESP0157</t>
        </is>
      </c>
      <c r="B759" t="inlineStr">
        <is>
          <t>Study flow 2</t>
        </is>
      </c>
      <c r="C759" t="n">
        <v>2</v>
      </c>
      <c r="D759" t="inlineStr">
        <is>
          <t>Instructions1</t>
        </is>
      </c>
      <c r="E759" t="inlineStr">
        <is>
          <t>NA</t>
        </is>
      </c>
      <c r="F759" t="n">
        <v>93.40000000000001</v>
      </c>
      <c r="G759" t="n">
        <v>86.5</v>
      </c>
    </row>
    <row r="760">
      <c r="A760" t="inlineStr">
        <is>
          <t>RESP0157</t>
        </is>
      </c>
      <c r="B760" t="inlineStr">
        <is>
          <t>Study flow 2</t>
        </is>
      </c>
      <c r="C760" t="n">
        <v>3</v>
      </c>
      <c r="D760" t="inlineStr">
        <is>
          <t>foodwaste_visual</t>
        </is>
      </c>
      <c r="E760" t="inlineStr">
        <is>
          <t>NA</t>
        </is>
      </c>
      <c r="F760" t="n">
        <v>95.7</v>
      </c>
      <c r="G760" t="n">
        <v>84.09999999999999</v>
      </c>
    </row>
    <row r="761">
      <c r="A761" t="inlineStr">
        <is>
          <t>RESP0157</t>
        </is>
      </c>
      <c r="B761" t="inlineStr">
        <is>
          <t>Study flow 2</t>
        </is>
      </c>
      <c r="C761" t="n">
        <v>4</v>
      </c>
      <c r="D761" t="inlineStr">
        <is>
          <t>foodwaste_narrative</t>
        </is>
      </c>
      <c r="E761" t="inlineStr">
        <is>
          <t>NA</t>
        </is>
      </c>
      <c r="F761" t="n">
        <v>92.2</v>
      </c>
      <c r="G761" t="n">
        <v>78.59999999999999</v>
      </c>
    </row>
    <row r="762">
      <c r="A762" t="inlineStr">
        <is>
          <t>RESP0157</t>
        </is>
      </c>
      <c r="B762" t="inlineStr">
        <is>
          <t>Study flow 2</t>
        </is>
      </c>
      <c r="C762" t="n">
        <v>5</v>
      </c>
      <c r="D762" t="inlineStr">
        <is>
          <t>infographic</t>
        </is>
      </c>
      <c r="E762" t="inlineStr">
        <is>
          <t>NA</t>
        </is>
      </c>
      <c r="F762" t="n">
        <v>96.09999999999999</v>
      </c>
      <c r="G762" t="n">
        <v>93.40000000000001</v>
      </c>
    </row>
    <row r="763">
      <c r="A763" t="inlineStr">
        <is>
          <t>RESP0157</t>
        </is>
      </c>
      <c r="B763" t="inlineStr">
        <is>
          <t>Study flow 2</t>
        </is>
      </c>
      <c r="C763" t="n">
        <v>6</v>
      </c>
      <c r="D763" t="inlineStr">
        <is>
          <t>Questionnaire</t>
        </is>
      </c>
      <c r="E763" t="inlineStr">
        <is>
          <t>NA</t>
        </is>
      </c>
      <c r="F763" t="n">
        <v>90.7</v>
      </c>
      <c r="G763" t="n">
        <v>89.7</v>
      </c>
    </row>
    <row r="764">
      <c r="A764" t="inlineStr">
        <is>
          <t>RESP0157</t>
        </is>
      </c>
      <c r="B764" t="inlineStr">
        <is>
          <t>Study flow 2</t>
        </is>
      </c>
      <c r="C764" t="n">
        <v>7</v>
      </c>
      <c r="D764" t="inlineStr">
        <is>
          <t>Post-study calibration</t>
        </is>
      </c>
      <c r="E764" t="n">
        <v>5.71</v>
      </c>
      <c r="F764" t="n">
        <v>95.5</v>
      </c>
      <c r="G764" t="n">
        <v>77.59999999999999</v>
      </c>
    </row>
    <row r="765">
      <c r="A765" t="inlineStr">
        <is>
          <t>RESP0161</t>
        </is>
      </c>
      <c r="B765" t="inlineStr">
        <is>
          <t>Study flow 1</t>
        </is>
      </c>
      <c r="C765" t="n">
        <v>1</v>
      </c>
      <c r="D765" t="inlineStr">
        <is>
          <t>Pre-study calibration</t>
        </is>
      </c>
      <c r="E765" t="n">
        <v>0.85</v>
      </c>
      <c r="F765" t="n">
        <v>99.5</v>
      </c>
      <c r="G765" t="n">
        <v>45.9</v>
      </c>
    </row>
    <row r="766">
      <c r="A766" t="inlineStr">
        <is>
          <t>RESP0161</t>
        </is>
      </c>
      <c r="B766" t="inlineStr">
        <is>
          <t>Study flow 1</t>
        </is>
      </c>
      <c r="C766" t="n">
        <v>2</v>
      </c>
      <c r="D766" t="inlineStr">
        <is>
          <t>Instructions1</t>
        </is>
      </c>
      <c r="E766" t="inlineStr">
        <is>
          <t>NA</t>
        </is>
      </c>
      <c r="F766" t="n">
        <v>98</v>
      </c>
      <c r="G766" t="n">
        <v>54.9</v>
      </c>
    </row>
    <row r="767">
      <c r="A767" t="inlineStr">
        <is>
          <t>RESP0161</t>
        </is>
      </c>
      <c r="B767" t="inlineStr">
        <is>
          <t>Study flow 1</t>
        </is>
      </c>
      <c r="C767" t="n">
        <v>3</v>
      </c>
      <c r="D767" t="inlineStr">
        <is>
          <t>foodwaste_narrative</t>
        </is>
      </c>
      <c r="E767" t="inlineStr">
        <is>
          <t>NA</t>
        </is>
      </c>
      <c r="F767" t="n">
        <v>98.59999999999999</v>
      </c>
      <c r="G767" t="n">
        <v>70.7</v>
      </c>
    </row>
    <row r="768">
      <c r="A768" t="inlineStr">
        <is>
          <t>RESP0161</t>
        </is>
      </c>
      <c r="B768" t="inlineStr">
        <is>
          <t>Study flow 1</t>
        </is>
      </c>
      <c r="C768" t="n">
        <v>4</v>
      </c>
      <c r="D768" t="inlineStr">
        <is>
          <t>foodwaste_visual</t>
        </is>
      </c>
      <c r="E768" t="inlineStr">
        <is>
          <t>NA</t>
        </is>
      </c>
      <c r="F768" t="n">
        <v>98.2</v>
      </c>
      <c r="G768" t="n">
        <v>58</v>
      </c>
    </row>
    <row r="769">
      <c r="A769" t="inlineStr">
        <is>
          <t>RESP0161</t>
        </is>
      </c>
      <c r="B769" t="inlineStr">
        <is>
          <t>Study flow 1</t>
        </is>
      </c>
      <c r="C769" t="n">
        <v>5</v>
      </c>
      <c r="D769" t="inlineStr">
        <is>
          <t>infographic</t>
        </is>
      </c>
      <c r="E769" t="inlineStr">
        <is>
          <t>NA</t>
        </is>
      </c>
      <c r="F769" t="n">
        <v>97.09999999999999</v>
      </c>
      <c r="G769" t="n">
        <v>58.8</v>
      </c>
    </row>
    <row r="770">
      <c r="A770" t="inlineStr">
        <is>
          <t>RESP0161</t>
        </is>
      </c>
      <c r="B770" t="inlineStr">
        <is>
          <t>Study flow 1</t>
        </is>
      </c>
      <c r="C770" t="n">
        <v>6</v>
      </c>
      <c r="D770" t="inlineStr">
        <is>
          <t>Questionnaire</t>
        </is>
      </c>
      <c r="E770" t="inlineStr">
        <is>
          <t>NA</t>
        </is>
      </c>
      <c r="F770" t="n">
        <v>98.59999999999999</v>
      </c>
      <c r="G770" t="n">
        <v>66.09999999999999</v>
      </c>
    </row>
    <row r="771">
      <c r="A771" t="inlineStr">
        <is>
          <t>RESP0161</t>
        </is>
      </c>
      <c r="B771" t="inlineStr">
        <is>
          <t>Study flow 1</t>
        </is>
      </c>
      <c r="C771" t="n">
        <v>7</v>
      </c>
      <c r="D771" t="inlineStr">
        <is>
          <t>Post-study calibration</t>
        </is>
      </c>
      <c r="E771" t="n">
        <v>0.96</v>
      </c>
      <c r="F771" t="n">
        <v>99.2</v>
      </c>
      <c r="G771" t="n">
        <v>55.6</v>
      </c>
    </row>
    <row r="772">
      <c r="A772" t="inlineStr">
        <is>
          <t>RESP0163</t>
        </is>
      </c>
      <c r="B772" t="inlineStr">
        <is>
          <t>Study flow 2</t>
        </is>
      </c>
      <c r="C772" t="n">
        <v>1</v>
      </c>
      <c r="D772" t="inlineStr">
        <is>
          <t>Pre-study calibration</t>
        </is>
      </c>
      <c r="E772" t="n">
        <v>0.55</v>
      </c>
      <c r="F772" t="n">
        <v>93.5</v>
      </c>
      <c r="G772" t="n">
        <v>96.40000000000001</v>
      </c>
    </row>
    <row r="773">
      <c r="A773" t="inlineStr">
        <is>
          <t>RESP0163</t>
        </is>
      </c>
      <c r="B773" t="inlineStr">
        <is>
          <t>Study flow 2</t>
        </is>
      </c>
      <c r="C773" t="n">
        <v>2</v>
      </c>
      <c r="D773" t="inlineStr">
        <is>
          <t>Instructions1</t>
        </is>
      </c>
      <c r="E773" t="inlineStr">
        <is>
          <t>NA</t>
        </is>
      </c>
      <c r="F773" t="n">
        <v>97.2</v>
      </c>
      <c r="G773" t="n">
        <v>95.59999999999999</v>
      </c>
    </row>
    <row r="774">
      <c r="A774" t="inlineStr">
        <is>
          <t>RESP0163</t>
        </is>
      </c>
      <c r="B774" t="inlineStr">
        <is>
          <t>Study flow 2</t>
        </is>
      </c>
      <c r="C774" t="n">
        <v>3</v>
      </c>
      <c r="D774" t="inlineStr">
        <is>
          <t>foodwaste_visual</t>
        </is>
      </c>
      <c r="E774" t="inlineStr">
        <is>
          <t>NA</t>
        </is>
      </c>
      <c r="F774" t="n">
        <v>97.2</v>
      </c>
      <c r="G774" t="n">
        <v>95.3</v>
      </c>
    </row>
    <row r="775">
      <c r="A775" t="inlineStr">
        <is>
          <t>RESP0163</t>
        </is>
      </c>
      <c r="B775" t="inlineStr">
        <is>
          <t>Study flow 2</t>
        </is>
      </c>
      <c r="C775" t="n">
        <v>4</v>
      </c>
      <c r="D775" t="inlineStr">
        <is>
          <t>foodwaste_narrative</t>
        </is>
      </c>
      <c r="E775" t="inlineStr">
        <is>
          <t>NA</t>
        </is>
      </c>
      <c r="F775" t="n">
        <v>96.5</v>
      </c>
      <c r="G775" t="n">
        <v>92.90000000000001</v>
      </c>
    </row>
    <row r="776">
      <c r="A776" t="inlineStr">
        <is>
          <t>RESP0163</t>
        </is>
      </c>
      <c r="B776" t="inlineStr">
        <is>
          <t>Study flow 2</t>
        </is>
      </c>
      <c r="C776" t="n">
        <v>5</v>
      </c>
      <c r="D776" t="inlineStr">
        <is>
          <t>infographic</t>
        </is>
      </c>
      <c r="E776" t="inlineStr">
        <is>
          <t>NA</t>
        </is>
      </c>
      <c r="F776" t="n">
        <v>96.3</v>
      </c>
      <c r="G776" t="n">
        <v>92.5</v>
      </c>
    </row>
    <row r="777">
      <c r="A777" t="inlineStr">
        <is>
          <t>RESP0163</t>
        </is>
      </c>
      <c r="B777" t="inlineStr">
        <is>
          <t>Study flow 2</t>
        </is>
      </c>
      <c r="C777" t="n">
        <v>6</v>
      </c>
      <c r="D777" t="inlineStr">
        <is>
          <t>Questionnaire</t>
        </is>
      </c>
      <c r="E777" t="inlineStr">
        <is>
          <t>NA</t>
        </is>
      </c>
      <c r="F777" t="n">
        <v>95.7</v>
      </c>
      <c r="G777" t="n">
        <v>93.90000000000001</v>
      </c>
    </row>
    <row r="778">
      <c r="A778" t="inlineStr">
        <is>
          <t>RESP0163</t>
        </is>
      </c>
      <c r="B778" t="inlineStr">
        <is>
          <t>Study flow 2</t>
        </is>
      </c>
      <c r="C778" t="n">
        <v>7</v>
      </c>
      <c r="D778" t="inlineStr">
        <is>
          <t>Post-study calibration</t>
        </is>
      </c>
      <c r="E778" t="n">
        <v>1.47</v>
      </c>
      <c r="F778" t="n">
        <v>96.59999999999999</v>
      </c>
      <c r="G778" t="n">
        <v>95.59999999999999</v>
      </c>
    </row>
    <row r="779">
      <c r="A779" t="inlineStr">
        <is>
          <t>RESP0164</t>
        </is>
      </c>
      <c r="B779" t="inlineStr">
        <is>
          <t>Study flow 1</t>
        </is>
      </c>
      <c r="C779" t="n">
        <v>1</v>
      </c>
      <c r="D779" t="inlineStr">
        <is>
          <t>Pre-study calibration</t>
        </is>
      </c>
      <c r="E779" t="n">
        <v>0.92</v>
      </c>
      <c r="F779" t="n">
        <v>98.90000000000001</v>
      </c>
      <c r="G779" t="n">
        <v>97.59999999999999</v>
      </c>
    </row>
    <row r="780">
      <c r="A780" t="inlineStr">
        <is>
          <t>RESP0164</t>
        </is>
      </c>
      <c r="B780" t="inlineStr">
        <is>
          <t>Study flow 1</t>
        </is>
      </c>
      <c r="C780" t="n">
        <v>2</v>
      </c>
      <c r="D780" t="inlineStr">
        <is>
          <t>Instructions1</t>
        </is>
      </c>
      <c r="E780" t="inlineStr">
        <is>
          <t>NA</t>
        </is>
      </c>
      <c r="F780" t="n">
        <v>98.90000000000001</v>
      </c>
      <c r="G780" t="n">
        <v>97.2</v>
      </c>
    </row>
    <row r="781">
      <c r="A781" t="inlineStr">
        <is>
          <t>RESP0164</t>
        </is>
      </c>
      <c r="B781" t="inlineStr">
        <is>
          <t>Study flow 1</t>
        </is>
      </c>
      <c r="C781" t="n">
        <v>3</v>
      </c>
      <c r="D781" t="inlineStr">
        <is>
          <t>foodwaste_narrative</t>
        </is>
      </c>
      <c r="E781" t="inlineStr">
        <is>
          <t>NA</t>
        </is>
      </c>
      <c r="F781" t="n">
        <v>98.8</v>
      </c>
      <c r="G781" t="n">
        <v>97.2</v>
      </c>
    </row>
    <row r="782">
      <c r="A782" t="inlineStr">
        <is>
          <t>RESP0164</t>
        </is>
      </c>
      <c r="B782" t="inlineStr">
        <is>
          <t>Study flow 1</t>
        </is>
      </c>
      <c r="C782" t="n">
        <v>4</v>
      </c>
      <c r="D782" t="inlineStr">
        <is>
          <t>foodwaste_visual</t>
        </is>
      </c>
      <c r="E782" t="inlineStr">
        <is>
          <t>NA</t>
        </is>
      </c>
      <c r="F782" t="n">
        <v>98.3</v>
      </c>
      <c r="G782" t="n">
        <v>97</v>
      </c>
    </row>
    <row r="783">
      <c r="A783" t="inlineStr">
        <is>
          <t>RESP0164</t>
        </is>
      </c>
      <c r="B783" t="inlineStr">
        <is>
          <t>Study flow 1</t>
        </is>
      </c>
      <c r="C783" t="n">
        <v>5</v>
      </c>
      <c r="D783" t="inlineStr">
        <is>
          <t>infographic</t>
        </is>
      </c>
      <c r="E783" t="inlineStr">
        <is>
          <t>NA</t>
        </is>
      </c>
      <c r="F783" t="n">
        <v>99.3</v>
      </c>
      <c r="G783" t="n">
        <v>96.90000000000001</v>
      </c>
    </row>
    <row r="784">
      <c r="A784" t="inlineStr">
        <is>
          <t>RESP0164</t>
        </is>
      </c>
      <c r="B784" t="inlineStr">
        <is>
          <t>Study flow 1</t>
        </is>
      </c>
      <c r="C784" t="n">
        <v>6</v>
      </c>
      <c r="D784" t="inlineStr">
        <is>
          <t>Questionnaire</t>
        </is>
      </c>
      <c r="E784" t="inlineStr">
        <is>
          <t>NA</t>
        </is>
      </c>
      <c r="F784" t="n">
        <v>98.90000000000001</v>
      </c>
      <c r="G784" t="n">
        <v>97.09999999999999</v>
      </c>
    </row>
    <row r="785">
      <c r="A785" t="inlineStr">
        <is>
          <t>RESP0164</t>
        </is>
      </c>
      <c r="B785" t="inlineStr">
        <is>
          <t>Study flow 1</t>
        </is>
      </c>
      <c r="C785" t="n">
        <v>7</v>
      </c>
      <c r="D785" t="inlineStr">
        <is>
          <t>Post-study calibration</t>
        </is>
      </c>
      <c r="E785" t="n">
        <v>1.25</v>
      </c>
      <c r="F785" t="n">
        <v>99.3</v>
      </c>
      <c r="G785" t="n">
        <v>99</v>
      </c>
    </row>
    <row r="786">
      <c r="A786" t="inlineStr">
        <is>
          <t>RESP0165</t>
        </is>
      </c>
      <c r="B786" t="inlineStr">
        <is>
          <t>Study flow 1</t>
        </is>
      </c>
      <c r="C786" t="n">
        <v>1</v>
      </c>
      <c r="D786" t="inlineStr">
        <is>
          <t>Pre-study calibration</t>
        </is>
      </c>
      <c r="E786" t="n">
        <v>1.27</v>
      </c>
      <c r="F786" t="n">
        <v>94</v>
      </c>
      <c r="G786" t="n">
        <v>97.7</v>
      </c>
    </row>
    <row r="787">
      <c r="A787" t="inlineStr">
        <is>
          <t>RESP0165</t>
        </is>
      </c>
      <c r="B787" t="inlineStr">
        <is>
          <t>Study flow 1</t>
        </is>
      </c>
      <c r="C787" t="n">
        <v>2</v>
      </c>
      <c r="D787" t="inlineStr">
        <is>
          <t>Instructions1</t>
        </is>
      </c>
      <c r="E787" t="inlineStr">
        <is>
          <t>NA</t>
        </is>
      </c>
      <c r="F787" t="n">
        <v>94.7</v>
      </c>
      <c r="G787" t="n">
        <v>98.7</v>
      </c>
    </row>
    <row r="788">
      <c r="A788" t="inlineStr">
        <is>
          <t>RESP0165</t>
        </is>
      </c>
      <c r="B788" t="inlineStr">
        <is>
          <t>Study flow 1</t>
        </is>
      </c>
      <c r="C788" t="n">
        <v>3</v>
      </c>
      <c r="D788" t="inlineStr">
        <is>
          <t>foodwaste_narrative</t>
        </is>
      </c>
      <c r="E788" t="inlineStr">
        <is>
          <t>NA</t>
        </is>
      </c>
      <c r="F788" t="n">
        <v>94.3</v>
      </c>
      <c r="G788" t="n">
        <v>97.90000000000001</v>
      </c>
    </row>
    <row r="789">
      <c r="A789" t="inlineStr">
        <is>
          <t>RESP0165</t>
        </is>
      </c>
      <c r="B789" t="inlineStr">
        <is>
          <t>Study flow 1</t>
        </is>
      </c>
      <c r="C789" t="n">
        <v>4</v>
      </c>
      <c r="D789" t="inlineStr">
        <is>
          <t>foodwaste_visual</t>
        </is>
      </c>
      <c r="E789" t="inlineStr">
        <is>
          <t>NA</t>
        </is>
      </c>
      <c r="F789" t="n">
        <v>96.40000000000001</v>
      </c>
      <c r="G789" t="n">
        <v>97.7</v>
      </c>
    </row>
    <row r="790">
      <c r="A790" t="inlineStr">
        <is>
          <t>RESP0165</t>
        </is>
      </c>
      <c r="B790" t="inlineStr">
        <is>
          <t>Study flow 1</t>
        </is>
      </c>
      <c r="C790" t="n">
        <v>5</v>
      </c>
      <c r="D790" t="inlineStr">
        <is>
          <t>infographic</t>
        </is>
      </c>
      <c r="E790" t="inlineStr">
        <is>
          <t>NA</t>
        </is>
      </c>
      <c r="F790" t="n">
        <v>95.5</v>
      </c>
      <c r="G790" t="n">
        <v>97.5</v>
      </c>
    </row>
    <row r="791">
      <c r="A791" t="inlineStr">
        <is>
          <t>RESP0165</t>
        </is>
      </c>
      <c r="B791" t="inlineStr">
        <is>
          <t>Study flow 1</t>
        </is>
      </c>
      <c r="C791" t="n">
        <v>6</v>
      </c>
      <c r="D791" t="inlineStr">
        <is>
          <t>Questionnaire</t>
        </is>
      </c>
      <c r="E791" t="inlineStr">
        <is>
          <t>NA</t>
        </is>
      </c>
      <c r="F791" t="n">
        <v>91.2</v>
      </c>
      <c r="G791" t="n">
        <v>98.5</v>
      </c>
    </row>
    <row r="792">
      <c r="A792" t="inlineStr">
        <is>
          <t>RESP0165</t>
        </is>
      </c>
      <c r="B792" t="inlineStr">
        <is>
          <t>Study flow 1</t>
        </is>
      </c>
      <c r="C792" t="n">
        <v>7</v>
      </c>
      <c r="D792" t="inlineStr">
        <is>
          <t>Post-study calibration</t>
        </is>
      </c>
      <c r="E792" t="n">
        <v>2.52</v>
      </c>
      <c r="F792" t="n">
        <v>97.7</v>
      </c>
      <c r="G792" t="n">
        <v>97.2</v>
      </c>
    </row>
    <row r="793">
      <c r="A793" t="inlineStr">
        <is>
          <t>RESP0166</t>
        </is>
      </c>
      <c r="B793" t="inlineStr">
        <is>
          <t>Study flow 2</t>
        </is>
      </c>
      <c r="C793" t="n">
        <v>1</v>
      </c>
      <c r="D793" t="inlineStr">
        <is>
          <t>Pre-study calibration</t>
        </is>
      </c>
      <c r="E793" t="n">
        <v>1.76</v>
      </c>
      <c r="F793" t="n">
        <v>87.7</v>
      </c>
      <c r="G793" t="n">
        <v>89.3</v>
      </c>
    </row>
    <row r="794">
      <c r="A794" t="inlineStr">
        <is>
          <t>RESP0166</t>
        </is>
      </c>
      <c r="B794" t="inlineStr">
        <is>
          <t>Study flow 2</t>
        </is>
      </c>
      <c r="C794" t="n">
        <v>2</v>
      </c>
      <c r="D794" t="inlineStr">
        <is>
          <t>Instructions1</t>
        </is>
      </c>
      <c r="E794" t="inlineStr">
        <is>
          <t>NA</t>
        </is>
      </c>
      <c r="F794" t="n">
        <v>92.90000000000001</v>
      </c>
      <c r="G794" t="n">
        <v>84.59999999999999</v>
      </c>
    </row>
    <row r="795">
      <c r="A795" t="inlineStr">
        <is>
          <t>RESP0166</t>
        </is>
      </c>
      <c r="B795" t="inlineStr">
        <is>
          <t>Study flow 2</t>
        </is>
      </c>
      <c r="C795" t="n">
        <v>3</v>
      </c>
      <c r="D795" t="inlineStr">
        <is>
          <t>foodwaste_visual</t>
        </is>
      </c>
      <c r="E795" t="inlineStr">
        <is>
          <t>NA</t>
        </is>
      </c>
      <c r="F795" t="n">
        <v>83.2</v>
      </c>
      <c r="G795" t="n">
        <v>88.7</v>
      </c>
    </row>
    <row r="796">
      <c r="A796" t="inlineStr">
        <is>
          <t>RESP0166</t>
        </is>
      </c>
      <c r="B796" t="inlineStr">
        <is>
          <t>Study flow 2</t>
        </is>
      </c>
      <c r="C796" t="n">
        <v>4</v>
      </c>
      <c r="D796" t="inlineStr">
        <is>
          <t>foodwaste_narrative</t>
        </is>
      </c>
      <c r="E796" t="inlineStr">
        <is>
          <t>NA</t>
        </is>
      </c>
      <c r="F796" t="n">
        <v>84</v>
      </c>
      <c r="G796" t="n">
        <v>91.8</v>
      </c>
    </row>
    <row r="797">
      <c r="A797" t="inlineStr">
        <is>
          <t>RESP0166</t>
        </is>
      </c>
      <c r="B797" t="inlineStr">
        <is>
          <t>Study flow 2</t>
        </is>
      </c>
      <c r="C797" t="n">
        <v>5</v>
      </c>
      <c r="D797" t="inlineStr">
        <is>
          <t>infographic</t>
        </is>
      </c>
      <c r="E797" t="inlineStr">
        <is>
          <t>NA</t>
        </is>
      </c>
      <c r="F797" t="n">
        <v>90.59999999999999</v>
      </c>
      <c r="G797" t="n">
        <v>95.5</v>
      </c>
    </row>
    <row r="798">
      <c r="A798" t="inlineStr">
        <is>
          <t>RESP0166</t>
        </is>
      </c>
      <c r="B798" t="inlineStr">
        <is>
          <t>Study flow 2</t>
        </is>
      </c>
      <c r="C798" t="n">
        <v>6</v>
      </c>
      <c r="D798" t="inlineStr">
        <is>
          <t>Questionnaire</t>
        </is>
      </c>
      <c r="E798" t="inlineStr">
        <is>
          <t>NA</t>
        </is>
      </c>
      <c r="F798" t="n">
        <v>91.2</v>
      </c>
      <c r="G798" t="n">
        <v>92.5</v>
      </c>
    </row>
    <row r="799">
      <c r="A799" t="inlineStr">
        <is>
          <t>RESP0166</t>
        </is>
      </c>
      <c r="B799" t="inlineStr">
        <is>
          <t>Study flow 2</t>
        </is>
      </c>
      <c r="C799" t="n">
        <v>7</v>
      </c>
      <c r="D799" t="inlineStr">
        <is>
          <t>Post-study calibration</t>
        </is>
      </c>
      <c r="E799" t="n">
        <v>2.98</v>
      </c>
      <c r="F799" t="n">
        <v>83.2</v>
      </c>
      <c r="G799" t="n">
        <v>89.7</v>
      </c>
    </row>
    <row r="800">
      <c r="A800" t="inlineStr">
        <is>
          <t>RESP0167</t>
        </is>
      </c>
      <c r="B800" t="inlineStr">
        <is>
          <t>Study flow 1</t>
        </is>
      </c>
      <c r="C800" t="n">
        <v>1</v>
      </c>
      <c r="D800" t="inlineStr">
        <is>
          <t>Pre-study calibration</t>
        </is>
      </c>
      <c r="E800" t="n">
        <v>1.5</v>
      </c>
      <c r="F800" t="n">
        <v>95.59999999999999</v>
      </c>
      <c r="G800" t="n">
        <v>93.09999999999999</v>
      </c>
    </row>
    <row r="801">
      <c r="A801" t="inlineStr">
        <is>
          <t>RESP0167</t>
        </is>
      </c>
      <c r="B801" t="inlineStr">
        <is>
          <t>Study flow 1</t>
        </is>
      </c>
      <c r="C801" t="n">
        <v>2</v>
      </c>
      <c r="D801" t="inlineStr">
        <is>
          <t>Instructions1</t>
        </is>
      </c>
      <c r="E801" t="inlineStr">
        <is>
          <t>NA</t>
        </is>
      </c>
      <c r="F801" t="n">
        <v>89.5</v>
      </c>
      <c r="G801" t="n">
        <v>93.59999999999999</v>
      </c>
    </row>
    <row r="802">
      <c r="A802" t="inlineStr">
        <is>
          <t>RESP0167</t>
        </is>
      </c>
      <c r="B802" t="inlineStr">
        <is>
          <t>Study flow 1</t>
        </is>
      </c>
      <c r="C802" t="n">
        <v>3</v>
      </c>
      <c r="D802" t="inlineStr">
        <is>
          <t>foodwaste_narrative</t>
        </is>
      </c>
      <c r="E802" t="inlineStr">
        <is>
          <t>NA</t>
        </is>
      </c>
      <c r="F802" t="n">
        <v>95.90000000000001</v>
      </c>
      <c r="G802" t="n">
        <v>94.90000000000001</v>
      </c>
    </row>
    <row r="803">
      <c r="A803" t="inlineStr">
        <is>
          <t>RESP0167</t>
        </is>
      </c>
      <c r="B803" t="inlineStr">
        <is>
          <t>Study flow 1</t>
        </is>
      </c>
      <c r="C803" t="n">
        <v>4</v>
      </c>
      <c r="D803" t="inlineStr">
        <is>
          <t>foodwaste_visual</t>
        </is>
      </c>
      <c r="E803" t="inlineStr">
        <is>
          <t>NA</t>
        </is>
      </c>
      <c r="F803" t="n">
        <v>96.5</v>
      </c>
      <c r="G803" t="n">
        <v>95.7</v>
      </c>
    </row>
    <row r="804">
      <c r="A804" t="inlineStr">
        <is>
          <t>RESP0167</t>
        </is>
      </c>
      <c r="B804" t="inlineStr">
        <is>
          <t>Study flow 1</t>
        </is>
      </c>
      <c r="C804" t="n">
        <v>5</v>
      </c>
      <c r="D804" t="inlineStr">
        <is>
          <t>infographic</t>
        </is>
      </c>
      <c r="E804" t="inlineStr">
        <is>
          <t>NA</t>
        </is>
      </c>
      <c r="F804" t="n">
        <v>97.3</v>
      </c>
      <c r="G804" t="n">
        <v>92.3</v>
      </c>
    </row>
    <row r="805">
      <c r="A805" t="inlineStr">
        <is>
          <t>RESP0167</t>
        </is>
      </c>
      <c r="B805" t="inlineStr">
        <is>
          <t>Study flow 1</t>
        </is>
      </c>
      <c r="C805" t="n">
        <v>6</v>
      </c>
      <c r="D805" t="inlineStr">
        <is>
          <t>Questionnaire</t>
        </is>
      </c>
      <c r="E805" t="inlineStr">
        <is>
          <t>NA</t>
        </is>
      </c>
      <c r="F805" t="n">
        <v>95.59999999999999</v>
      </c>
      <c r="G805" t="n">
        <v>96.2</v>
      </c>
    </row>
    <row r="806">
      <c r="A806" t="inlineStr">
        <is>
          <t>RESP0167</t>
        </is>
      </c>
      <c r="B806" t="inlineStr">
        <is>
          <t>Study flow 1</t>
        </is>
      </c>
      <c r="C806" t="n">
        <v>7</v>
      </c>
      <c r="D806" t="inlineStr">
        <is>
          <t>Post-study calibration</t>
        </is>
      </c>
      <c r="E806" t="n">
        <v>2.58</v>
      </c>
      <c r="F806" t="n">
        <v>95.59999999999999</v>
      </c>
      <c r="G806" t="n">
        <v>90.40000000000001</v>
      </c>
    </row>
    <row r="807">
      <c r="A807" t="inlineStr">
        <is>
          <t>RESP0168</t>
        </is>
      </c>
      <c r="B807" t="inlineStr">
        <is>
          <t>Study flow 1</t>
        </is>
      </c>
      <c r="C807" t="n">
        <v>1</v>
      </c>
      <c r="D807" t="inlineStr">
        <is>
          <t>Pre-study calibration</t>
        </is>
      </c>
      <c r="E807" t="n">
        <v>1.2</v>
      </c>
      <c r="F807" t="n">
        <v>99.3</v>
      </c>
      <c r="G807" t="n">
        <v>99.3</v>
      </c>
    </row>
    <row r="808">
      <c r="A808" t="inlineStr">
        <is>
          <t>RESP0168</t>
        </is>
      </c>
      <c r="B808" t="inlineStr">
        <is>
          <t>Study flow 1</t>
        </is>
      </c>
      <c r="C808" t="n">
        <v>2</v>
      </c>
      <c r="D808" t="inlineStr">
        <is>
          <t>Instructions1</t>
        </is>
      </c>
      <c r="E808" t="inlineStr">
        <is>
          <t>NA</t>
        </is>
      </c>
      <c r="F808" t="n">
        <v>98.5</v>
      </c>
      <c r="G808" t="n">
        <v>99.3</v>
      </c>
    </row>
    <row r="809">
      <c r="A809" t="inlineStr">
        <is>
          <t>RESP0168</t>
        </is>
      </c>
      <c r="B809" t="inlineStr">
        <is>
          <t>Study flow 1</t>
        </is>
      </c>
      <c r="C809" t="n">
        <v>3</v>
      </c>
      <c r="D809" t="inlineStr">
        <is>
          <t>foodwaste_narrative</t>
        </is>
      </c>
      <c r="E809" t="inlineStr">
        <is>
          <t>NA</t>
        </is>
      </c>
      <c r="F809" t="n">
        <v>98.5</v>
      </c>
      <c r="G809" t="n">
        <v>99.2</v>
      </c>
    </row>
    <row r="810">
      <c r="A810" t="inlineStr">
        <is>
          <t>RESP0168</t>
        </is>
      </c>
      <c r="B810" t="inlineStr">
        <is>
          <t>Study flow 1</t>
        </is>
      </c>
      <c r="C810" t="n">
        <v>4</v>
      </c>
      <c r="D810" t="inlineStr">
        <is>
          <t>foodwaste_visual</t>
        </is>
      </c>
      <c r="E810" t="inlineStr">
        <is>
          <t>NA</t>
        </is>
      </c>
      <c r="F810" t="n">
        <v>99.5</v>
      </c>
      <c r="G810" t="n">
        <v>98.8</v>
      </c>
    </row>
    <row r="811">
      <c r="A811" t="inlineStr">
        <is>
          <t>RESP0168</t>
        </is>
      </c>
      <c r="B811" t="inlineStr">
        <is>
          <t>Study flow 1</t>
        </is>
      </c>
      <c r="C811" t="n">
        <v>5</v>
      </c>
      <c r="D811" t="inlineStr">
        <is>
          <t>infographic</t>
        </is>
      </c>
      <c r="E811" t="inlineStr">
        <is>
          <t>NA</t>
        </is>
      </c>
      <c r="F811" t="n">
        <v>99.09999999999999</v>
      </c>
      <c r="G811" t="n">
        <v>99.2</v>
      </c>
    </row>
    <row r="812">
      <c r="A812" t="inlineStr">
        <is>
          <t>RESP0168</t>
        </is>
      </c>
      <c r="B812" t="inlineStr">
        <is>
          <t>Study flow 1</t>
        </is>
      </c>
      <c r="C812" t="n">
        <v>6</v>
      </c>
      <c r="D812" t="inlineStr">
        <is>
          <t>Questionnaire</t>
        </is>
      </c>
      <c r="E812" t="inlineStr">
        <is>
          <t>NA</t>
        </is>
      </c>
      <c r="F812" t="n">
        <v>99</v>
      </c>
      <c r="G812" t="n">
        <v>99.09999999999999</v>
      </c>
    </row>
    <row r="813">
      <c r="A813" t="inlineStr">
        <is>
          <t>RESP0168</t>
        </is>
      </c>
      <c r="B813" t="inlineStr">
        <is>
          <t>Study flow 1</t>
        </is>
      </c>
      <c r="C813" t="n">
        <v>7</v>
      </c>
      <c r="D813" t="inlineStr">
        <is>
          <t>Post-study calibration</t>
        </is>
      </c>
      <c r="E813" t="n">
        <v>1.56</v>
      </c>
      <c r="F813" t="n">
        <v>99.3</v>
      </c>
      <c r="G813" t="n">
        <v>98.09999999999999</v>
      </c>
    </row>
    <row r="814">
      <c r="A814" t="inlineStr">
        <is>
          <t>RESP0169</t>
        </is>
      </c>
      <c r="B814" t="inlineStr">
        <is>
          <t>Study flow 2</t>
        </is>
      </c>
      <c r="C814" t="n">
        <v>1</v>
      </c>
      <c r="D814" t="inlineStr">
        <is>
          <t>Pre-study calibration</t>
        </is>
      </c>
      <c r="E814" t="n">
        <v>0.49</v>
      </c>
      <c r="F814" t="n">
        <v>98.5</v>
      </c>
      <c r="G814" t="n">
        <v>97.3</v>
      </c>
    </row>
    <row r="815">
      <c r="A815" t="inlineStr">
        <is>
          <t>RESP0169</t>
        </is>
      </c>
      <c r="B815" t="inlineStr">
        <is>
          <t>Study flow 2</t>
        </is>
      </c>
      <c r="C815" t="n">
        <v>2</v>
      </c>
      <c r="D815" t="inlineStr">
        <is>
          <t>Instructions1</t>
        </is>
      </c>
      <c r="E815" t="inlineStr">
        <is>
          <t>NA</t>
        </is>
      </c>
      <c r="F815" t="n">
        <v>98.3</v>
      </c>
      <c r="G815" t="n">
        <v>96</v>
      </c>
    </row>
    <row r="816">
      <c r="A816" t="inlineStr">
        <is>
          <t>RESP0169</t>
        </is>
      </c>
      <c r="B816" t="inlineStr">
        <is>
          <t>Study flow 2</t>
        </is>
      </c>
      <c r="C816" t="n">
        <v>3</v>
      </c>
      <c r="D816" t="inlineStr">
        <is>
          <t>foodwaste_visual</t>
        </is>
      </c>
      <c r="E816" t="inlineStr">
        <is>
          <t>NA</t>
        </is>
      </c>
      <c r="F816" t="n">
        <v>96.90000000000001</v>
      </c>
      <c r="G816" t="n">
        <v>95.7</v>
      </c>
    </row>
    <row r="817">
      <c r="A817" t="inlineStr">
        <is>
          <t>RESP0169</t>
        </is>
      </c>
      <c r="B817" t="inlineStr">
        <is>
          <t>Study flow 2</t>
        </is>
      </c>
      <c r="C817" t="n">
        <v>4</v>
      </c>
      <c r="D817" t="inlineStr">
        <is>
          <t>foodwaste_narrative</t>
        </is>
      </c>
      <c r="E817" t="inlineStr">
        <is>
          <t>NA</t>
        </is>
      </c>
      <c r="F817" t="n">
        <v>98.40000000000001</v>
      </c>
      <c r="G817" t="n">
        <v>93.59999999999999</v>
      </c>
    </row>
    <row r="818">
      <c r="A818" t="inlineStr">
        <is>
          <t>RESP0169</t>
        </is>
      </c>
      <c r="B818" t="inlineStr">
        <is>
          <t>Study flow 2</t>
        </is>
      </c>
      <c r="C818" t="n">
        <v>5</v>
      </c>
      <c r="D818" t="inlineStr">
        <is>
          <t>infographic</t>
        </is>
      </c>
      <c r="E818" t="inlineStr">
        <is>
          <t>NA</t>
        </is>
      </c>
      <c r="F818" t="n">
        <v>98.3</v>
      </c>
      <c r="G818" t="n">
        <v>97.5</v>
      </c>
    </row>
    <row r="819">
      <c r="A819" t="inlineStr">
        <is>
          <t>RESP0169</t>
        </is>
      </c>
      <c r="B819" t="inlineStr">
        <is>
          <t>Study flow 2</t>
        </is>
      </c>
      <c r="C819" t="n">
        <v>6</v>
      </c>
      <c r="D819" t="inlineStr">
        <is>
          <t>Questionnaire</t>
        </is>
      </c>
      <c r="E819" t="inlineStr">
        <is>
          <t>NA</t>
        </is>
      </c>
      <c r="F819" t="n">
        <v>98.09999999999999</v>
      </c>
      <c r="G819" t="n">
        <v>97</v>
      </c>
    </row>
    <row r="820">
      <c r="A820" t="inlineStr">
        <is>
          <t>RESP0169</t>
        </is>
      </c>
      <c r="B820" t="inlineStr">
        <is>
          <t>Study flow 2</t>
        </is>
      </c>
      <c r="C820" t="n">
        <v>7</v>
      </c>
      <c r="D820" t="inlineStr">
        <is>
          <t>Post-study calibration</t>
        </is>
      </c>
      <c r="E820" t="n">
        <v>0.49</v>
      </c>
      <c r="F820" t="n">
        <v>98.59999999999999</v>
      </c>
      <c r="G820" t="n">
        <v>93.7</v>
      </c>
    </row>
    <row r="821">
      <c r="A821" t="inlineStr">
        <is>
          <t>RESP0170</t>
        </is>
      </c>
      <c r="B821" t="inlineStr">
        <is>
          <t>Study flow 1</t>
        </is>
      </c>
      <c r="C821" t="n">
        <v>1</v>
      </c>
      <c r="D821" t="inlineStr">
        <is>
          <t>Pre-study calibration</t>
        </is>
      </c>
      <c r="E821" t="n">
        <v>1.1</v>
      </c>
      <c r="F821" t="n">
        <v>99</v>
      </c>
      <c r="G821" t="n">
        <v>98.90000000000001</v>
      </c>
    </row>
    <row r="822">
      <c r="A822" t="inlineStr">
        <is>
          <t>RESP0170</t>
        </is>
      </c>
      <c r="B822" t="inlineStr">
        <is>
          <t>Study flow 1</t>
        </is>
      </c>
      <c r="C822" t="n">
        <v>2</v>
      </c>
      <c r="D822" t="inlineStr">
        <is>
          <t>Instructions1</t>
        </is>
      </c>
      <c r="E822" t="inlineStr">
        <is>
          <t>NA</t>
        </is>
      </c>
      <c r="F822" t="n">
        <v>98.90000000000001</v>
      </c>
      <c r="G822" t="n">
        <v>98.7</v>
      </c>
    </row>
    <row r="823">
      <c r="A823" t="inlineStr">
        <is>
          <t>RESP0170</t>
        </is>
      </c>
      <c r="B823" t="inlineStr">
        <is>
          <t>Study flow 1</t>
        </is>
      </c>
      <c r="C823" t="n">
        <v>3</v>
      </c>
      <c r="D823" t="inlineStr">
        <is>
          <t>foodwaste_narrative</t>
        </is>
      </c>
      <c r="E823" t="inlineStr">
        <is>
          <t>NA</t>
        </is>
      </c>
      <c r="F823" t="n">
        <v>98.90000000000001</v>
      </c>
      <c r="G823" t="n">
        <v>99.09999999999999</v>
      </c>
    </row>
    <row r="824">
      <c r="A824" t="inlineStr">
        <is>
          <t>RESP0170</t>
        </is>
      </c>
      <c r="B824" t="inlineStr">
        <is>
          <t>Study flow 1</t>
        </is>
      </c>
      <c r="C824" t="n">
        <v>4</v>
      </c>
      <c r="D824" t="inlineStr">
        <is>
          <t>foodwaste_visual</t>
        </is>
      </c>
      <c r="E824" t="inlineStr">
        <is>
          <t>NA</t>
        </is>
      </c>
      <c r="F824" t="n">
        <v>98</v>
      </c>
      <c r="G824" t="n">
        <v>98.40000000000001</v>
      </c>
    </row>
    <row r="825">
      <c r="A825" t="inlineStr">
        <is>
          <t>RESP0170</t>
        </is>
      </c>
      <c r="B825" t="inlineStr">
        <is>
          <t>Study flow 1</t>
        </is>
      </c>
      <c r="C825" t="n">
        <v>5</v>
      </c>
      <c r="D825" t="inlineStr">
        <is>
          <t>infographic</t>
        </is>
      </c>
      <c r="E825" t="inlineStr">
        <is>
          <t>NA</t>
        </is>
      </c>
      <c r="F825" t="n">
        <v>98.90000000000001</v>
      </c>
      <c r="G825" t="n">
        <v>98.90000000000001</v>
      </c>
    </row>
    <row r="826">
      <c r="A826" t="inlineStr">
        <is>
          <t>RESP0170</t>
        </is>
      </c>
      <c r="B826" t="inlineStr">
        <is>
          <t>Study flow 1</t>
        </is>
      </c>
      <c r="C826" t="n">
        <v>6</v>
      </c>
      <c r="D826" t="inlineStr">
        <is>
          <t>Questionnaire</t>
        </is>
      </c>
      <c r="E826" t="inlineStr">
        <is>
          <t>NA</t>
        </is>
      </c>
      <c r="F826" t="n">
        <v>97.5</v>
      </c>
      <c r="G826" t="n">
        <v>98.8</v>
      </c>
    </row>
    <row r="827">
      <c r="A827" t="inlineStr">
        <is>
          <t>RESP0170</t>
        </is>
      </c>
      <c r="B827" t="inlineStr">
        <is>
          <t>Study flow 1</t>
        </is>
      </c>
      <c r="C827" t="n">
        <v>7</v>
      </c>
      <c r="D827" t="inlineStr">
        <is>
          <t>Post-study calibration</t>
        </is>
      </c>
      <c r="E827" t="n">
        <v>2.13</v>
      </c>
      <c r="F827" t="n">
        <v>97.59999999999999</v>
      </c>
      <c r="G827" t="n">
        <v>98.90000000000001</v>
      </c>
    </row>
    <row r="828">
      <c r="A828" t="inlineStr">
        <is>
          <t>RESP0173</t>
        </is>
      </c>
      <c r="B828" t="inlineStr">
        <is>
          <t>Study flow 2</t>
        </is>
      </c>
      <c r="C828" t="n">
        <v>1</v>
      </c>
      <c r="D828" t="inlineStr">
        <is>
          <t>Pre-study calibration</t>
        </is>
      </c>
      <c r="E828" t="n">
        <v>2.88</v>
      </c>
      <c r="F828" t="n">
        <v>90.7</v>
      </c>
      <c r="G828" t="n">
        <v>99.5</v>
      </c>
    </row>
    <row r="829">
      <c r="A829" t="inlineStr">
        <is>
          <t>RESP0173</t>
        </is>
      </c>
      <c r="B829" t="inlineStr">
        <is>
          <t>Study flow 2</t>
        </is>
      </c>
      <c r="C829" t="n">
        <v>2</v>
      </c>
      <c r="D829" t="inlineStr">
        <is>
          <t>Instructions1</t>
        </is>
      </c>
      <c r="E829" t="inlineStr">
        <is>
          <t>NA</t>
        </is>
      </c>
      <c r="F829" t="n">
        <v>93.90000000000001</v>
      </c>
      <c r="G829" t="n">
        <v>98.7</v>
      </c>
    </row>
    <row r="830">
      <c r="A830" t="inlineStr">
        <is>
          <t>RESP0173</t>
        </is>
      </c>
      <c r="B830" t="inlineStr">
        <is>
          <t>Study flow 2</t>
        </is>
      </c>
      <c r="C830" t="n">
        <v>3</v>
      </c>
      <c r="D830" t="inlineStr">
        <is>
          <t>foodwaste_visual</t>
        </is>
      </c>
      <c r="E830" t="inlineStr">
        <is>
          <t>NA</t>
        </is>
      </c>
      <c r="F830" t="n">
        <v>96.8</v>
      </c>
      <c r="G830" t="n">
        <v>98.90000000000001</v>
      </c>
    </row>
    <row r="831">
      <c r="A831" t="inlineStr">
        <is>
          <t>RESP0173</t>
        </is>
      </c>
      <c r="B831" t="inlineStr">
        <is>
          <t>Study flow 2</t>
        </is>
      </c>
      <c r="C831" t="n">
        <v>4</v>
      </c>
      <c r="D831" t="inlineStr">
        <is>
          <t>foodwaste_narrative</t>
        </is>
      </c>
      <c r="E831" t="inlineStr">
        <is>
          <t>NA</t>
        </is>
      </c>
      <c r="F831" t="n">
        <v>93.59999999999999</v>
      </c>
      <c r="G831" t="n">
        <v>99.2</v>
      </c>
    </row>
    <row r="832">
      <c r="A832" t="inlineStr">
        <is>
          <t>RESP0173</t>
        </is>
      </c>
      <c r="B832" t="inlineStr">
        <is>
          <t>Study flow 2</t>
        </is>
      </c>
      <c r="C832" t="n">
        <v>5</v>
      </c>
      <c r="D832" t="inlineStr">
        <is>
          <t>infographic</t>
        </is>
      </c>
      <c r="E832" t="inlineStr">
        <is>
          <t>NA</t>
        </is>
      </c>
      <c r="F832" t="n">
        <v>95.59999999999999</v>
      </c>
      <c r="G832" t="n">
        <v>99.09999999999999</v>
      </c>
    </row>
    <row r="833">
      <c r="A833" t="inlineStr">
        <is>
          <t>RESP0173</t>
        </is>
      </c>
      <c r="B833" t="inlineStr">
        <is>
          <t>Study flow 2</t>
        </is>
      </c>
      <c r="C833" t="n">
        <v>6</v>
      </c>
      <c r="D833" t="inlineStr">
        <is>
          <t>Questionnaire</t>
        </is>
      </c>
      <c r="E833" t="inlineStr">
        <is>
          <t>NA</t>
        </is>
      </c>
      <c r="F833" t="n">
        <v>93</v>
      </c>
      <c r="G833" t="n">
        <v>98.8</v>
      </c>
    </row>
    <row r="834">
      <c r="A834" t="inlineStr">
        <is>
          <t>RESP0173</t>
        </is>
      </c>
      <c r="B834" t="inlineStr">
        <is>
          <t>Study flow 2</t>
        </is>
      </c>
      <c r="C834" t="n">
        <v>7</v>
      </c>
      <c r="D834" t="inlineStr">
        <is>
          <t>Post-study calibration</t>
        </is>
      </c>
      <c r="E834" t="n">
        <v>4.08</v>
      </c>
      <c r="F834" t="n">
        <v>92.40000000000001</v>
      </c>
      <c r="G834" t="n">
        <v>98.59999999999999</v>
      </c>
    </row>
    <row r="835">
      <c r="A835" t="inlineStr">
        <is>
          <t>RESP0174</t>
        </is>
      </c>
      <c r="B835" t="inlineStr">
        <is>
          <t>Study flow 1</t>
        </is>
      </c>
      <c r="C835" t="n">
        <v>1</v>
      </c>
      <c r="D835" t="inlineStr">
        <is>
          <t>Pre-study calibration</t>
        </is>
      </c>
      <c r="E835" t="n">
        <v>3.17</v>
      </c>
      <c r="F835" t="n">
        <v>92.59999999999999</v>
      </c>
      <c r="G835" t="n">
        <v>99.09999999999999</v>
      </c>
    </row>
    <row r="836">
      <c r="A836" t="inlineStr">
        <is>
          <t>RESP0174</t>
        </is>
      </c>
      <c r="B836" t="inlineStr">
        <is>
          <t>Study flow 1</t>
        </is>
      </c>
      <c r="C836" t="n">
        <v>2</v>
      </c>
      <c r="D836" t="inlineStr">
        <is>
          <t>Instructions1</t>
        </is>
      </c>
      <c r="E836" t="inlineStr">
        <is>
          <t>NA</t>
        </is>
      </c>
      <c r="F836" t="n">
        <v>88.5</v>
      </c>
      <c r="G836" t="n">
        <v>98.90000000000001</v>
      </c>
    </row>
    <row r="837">
      <c r="A837" t="inlineStr">
        <is>
          <t>RESP0174</t>
        </is>
      </c>
      <c r="B837" t="inlineStr">
        <is>
          <t>Study flow 1</t>
        </is>
      </c>
      <c r="C837" t="n">
        <v>3</v>
      </c>
      <c r="D837" t="inlineStr">
        <is>
          <t>foodwaste_narrative</t>
        </is>
      </c>
      <c r="E837" t="inlineStr">
        <is>
          <t>NA</t>
        </is>
      </c>
      <c r="F837" t="n">
        <v>91.40000000000001</v>
      </c>
      <c r="G837" t="n">
        <v>98.7</v>
      </c>
    </row>
    <row r="838">
      <c r="A838" t="inlineStr">
        <is>
          <t>RESP0174</t>
        </is>
      </c>
      <c r="B838" t="inlineStr">
        <is>
          <t>Study flow 1</t>
        </is>
      </c>
      <c r="C838" t="n">
        <v>4</v>
      </c>
      <c r="D838" t="inlineStr">
        <is>
          <t>foodwaste_visual</t>
        </is>
      </c>
      <c r="E838" t="inlineStr">
        <is>
          <t>NA</t>
        </is>
      </c>
      <c r="F838" t="n">
        <v>95.3</v>
      </c>
      <c r="G838" t="n">
        <v>98.7</v>
      </c>
    </row>
    <row r="839">
      <c r="A839" t="inlineStr">
        <is>
          <t>RESP0174</t>
        </is>
      </c>
      <c r="B839" t="inlineStr">
        <is>
          <t>Study flow 1</t>
        </is>
      </c>
      <c r="C839" t="n">
        <v>5</v>
      </c>
      <c r="D839" t="inlineStr">
        <is>
          <t>infographic</t>
        </is>
      </c>
      <c r="E839" t="inlineStr">
        <is>
          <t>NA</t>
        </is>
      </c>
      <c r="F839" t="n">
        <v>89.3</v>
      </c>
      <c r="G839" t="n">
        <v>98.90000000000001</v>
      </c>
    </row>
    <row r="840">
      <c r="A840" t="inlineStr">
        <is>
          <t>RESP0174</t>
        </is>
      </c>
      <c r="B840" t="inlineStr">
        <is>
          <t>Study flow 1</t>
        </is>
      </c>
      <c r="C840" t="n">
        <v>6</v>
      </c>
      <c r="D840" t="inlineStr">
        <is>
          <t>Questionnaire</t>
        </is>
      </c>
      <c r="E840" t="inlineStr">
        <is>
          <t>NA</t>
        </is>
      </c>
      <c r="F840" t="n">
        <v>90.3</v>
      </c>
      <c r="G840" t="n">
        <v>98.7</v>
      </c>
    </row>
    <row r="841">
      <c r="A841" t="inlineStr">
        <is>
          <t>RESP0174</t>
        </is>
      </c>
      <c r="B841" t="inlineStr">
        <is>
          <t>Study flow 1</t>
        </is>
      </c>
      <c r="C841" t="n">
        <v>7</v>
      </c>
      <c r="D841" t="inlineStr">
        <is>
          <t>Post-study calibration</t>
        </is>
      </c>
      <c r="E841" t="n">
        <v>3.69</v>
      </c>
      <c r="F841" t="n">
        <v>94</v>
      </c>
      <c r="G841" t="n">
        <v>98.3</v>
      </c>
    </row>
    <row r="842">
      <c r="A842" t="inlineStr">
        <is>
          <t>RESP0175</t>
        </is>
      </c>
      <c r="B842" t="inlineStr">
        <is>
          <t>Study flow 1</t>
        </is>
      </c>
      <c r="C842" t="n">
        <v>1</v>
      </c>
      <c r="D842" t="inlineStr">
        <is>
          <t>Pre-study calibration</t>
        </is>
      </c>
      <c r="E842" t="n">
        <v>2</v>
      </c>
      <c r="F842" t="n">
        <v>91.8</v>
      </c>
      <c r="G842" t="n">
        <v>92.59999999999999</v>
      </c>
    </row>
    <row r="843">
      <c r="A843" t="inlineStr">
        <is>
          <t>RESP0175</t>
        </is>
      </c>
      <c r="B843" t="inlineStr">
        <is>
          <t>Study flow 1</t>
        </is>
      </c>
      <c r="C843" t="n">
        <v>2</v>
      </c>
      <c r="D843" t="inlineStr">
        <is>
          <t>Instructions1</t>
        </is>
      </c>
      <c r="E843" t="inlineStr">
        <is>
          <t>NA</t>
        </is>
      </c>
      <c r="F843" t="n">
        <v>95</v>
      </c>
      <c r="G843" t="n">
        <v>96.5</v>
      </c>
    </row>
    <row r="844">
      <c r="A844" t="inlineStr">
        <is>
          <t>RESP0175</t>
        </is>
      </c>
      <c r="B844" t="inlineStr">
        <is>
          <t>Study flow 1</t>
        </is>
      </c>
      <c r="C844" t="n">
        <v>3</v>
      </c>
      <c r="D844" t="inlineStr">
        <is>
          <t>foodwaste_narrative</t>
        </is>
      </c>
      <c r="E844" t="inlineStr">
        <is>
          <t>NA</t>
        </is>
      </c>
      <c r="F844" t="n">
        <v>91.59999999999999</v>
      </c>
      <c r="G844" t="n">
        <v>92.59999999999999</v>
      </c>
    </row>
    <row r="845">
      <c r="A845" t="inlineStr">
        <is>
          <t>RESP0175</t>
        </is>
      </c>
      <c r="B845" t="inlineStr">
        <is>
          <t>Study flow 1</t>
        </is>
      </c>
      <c r="C845" t="n">
        <v>4</v>
      </c>
      <c r="D845" t="inlineStr">
        <is>
          <t>foodwaste_visual</t>
        </is>
      </c>
      <c r="E845" t="inlineStr">
        <is>
          <t>NA</t>
        </is>
      </c>
      <c r="F845" t="n">
        <v>95.2</v>
      </c>
      <c r="G845" t="n">
        <v>94</v>
      </c>
    </row>
    <row r="846">
      <c r="A846" t="inlineStr">
        <is>
          <t>RESP0175</t>
        </is>
      </c>
      <c r="B846" t="inlineStr">
        <is>
          <t>Study flow 1</t>
        </is>
      </c>
      <c r="C846" t="n">
        <v>5</v>
      </c>
      <c r="D846" t="inlineStr">
        <is>
          <t>infographic</t>
        </is>
      </c>
      <c r="E846" t="inlineStr">
        <is>
          <t>NA</t>
        </is>
      </c>
      <c r="F846" t="n">
        <v>96.40000000000001</v>
      </c>
      <c r="G846" t="n">
        <v>92.2</v>
      </c>
    </row>
    <row r="847">
      <c r="A847" t="inlineStr">
        <is>
          <t>RESP0175</t>
        </is>
      </c>
      <c r="B847" t="inlineStr">
        <is>
          <t>Study flow 1</t>
        </is>
      </c>
      <c r="C847" t="n">
        <v>6</v>
      </c>
      <c r="D847" t="inlineStr">
        <is>
          <t>Questionnaire</t>
        </is>
      </c>
      <c r="E847" t="inlineStr">
        <is>
          <t>NA</t>
        </is>
      </c>
      <c r="F847" t="n">
        <v>94.7</v>
      </c>
      <c r="G847" t="n">
        <v>90.7</v>
      </c>
    </row>
    <row r="848">
      <c r="A848" t="inlineStr">
        <is>
          <t>RESP0175</t>
        </is>
      </c>
      <c r="B848" t="inlineStr">
        <is>
          <t>Study flow 1</t>
        </is>
      </c>
      <c r="C848" t="n">
        <v>7</v>
      </c>
      <c r="D848" t="inlineStr">
        <is>
          <t>Post-study calibration</t>
        </is>
      </c>
      <c r="E848" t="n">
        <v>3.06</v>
      </c>
      <c r="F848" t="n">
        <v>94.40000000000001</v>
      </c>
      <c r="G848" t="n">
        <v>87.09999999999999</v>
      </c>
    </row>
    <row r="849">
      <c r="A849" t="inlineStr">
        <is>
          <t>RESP0176</t>
        </is>
      </c>
      <c r="B849" t="inlineStr">
        <is>
          <t>Study flow 1</t>
        </is>
      </c>
      <c r="C849" t="n">
        <v>1</v>
      </c>
      <c r="D849" t="inlineStr">
        <is>
          <t>Pre-study calibration</t>
        </is>
      </c>
      <c r="E849" t="n">
        <v>0.77</v>
      </c>
      <c r="F849" t="n">
        <v>94.2</v>
      </c>
      <c r="G849" t="n">
        <v>95.90000000000001</v>
      </c>
    </row>
    <row r="850">
      <c r="A850" t="inlineStr">
        <is>
          <t>RESP0176</t>
        </is>
      </c>
      <c r="B850" t="inlineStr">
        <is>
          <t>Study flow 1</t>
        </is>
      </c>
      <c r="C850" t="n">
        <v>2</v>
      </c>
      <c r="D850" t="inlineStr">
        <is>
          <t>Instructions1</t>
        </is>
      </c>
      <c r="E850" t="inlineStr">
        <is>
          <t>NA</t>
        </is>
      </c>
      <c r="F850" t="n">
        <v>94.59999999999999</v>
      </c>
      <c r="G850" t="n">
        <v>98</v>
      </c>
    </row>
    <row r="851">
      <c r="A851" t="inlineStr">
        <is>
          <t>RESP0176</t>
        </is>
      </c>
      <c r="B851" t="inlineStr">
        <is>
          <t>Study flow 1</t>
        </is>
      </c>
      <c r="C851" t="n">
        <v>3</v>
      </c>
      <c r="D851" t="inlineStr">
        <is>
          <t>foodwaste_narrative</t>
        </is>
      </c>
      <c r="E851" t="inlineStr">
        <is>
          <t>NA</t>
        </is>
      </c>
      <c r="F851" t="n">
        <v>88.5</v>
      </c>
      <c r="G851" t="n">
        <v>94.2</v>
      </c>
    </row>
    <row r="852">
      <c r="A852" t="inlineStr">
        <is>
          <t>RESP0176</t>
        </is>
      </c>
      <c r="B852" t="inlineStr">
        <is>
          <t>Study flow 1</t>
        </is>
      </c>
      <c r="C852" t="n">
        <v>4</v>
      </c>
      <c r="D852" t="inlineStr">
        <is>
          <t>foodwaste_visual</t>
        </is>
      </c>
      <c r="E852" t="inlineStr">
        <is>
          <t>NA</t>
        </is>
      </c>
      <c r="F852" t="n">
        <v>96.09999999999999</v>
      </c>
      <c r="G852" t="n">
        <v>98.8</v>
      </c>
    </row>
    <row r="853">
      <c r="A853" t="inlineStr">
        <is>
          <t>RESP0176</t>
        </is>
      </c>
      <c r="B853" t="inlineStr">
        <is>
          <t>Study flow 1</t>
        </is>
      </c>
      <c r="C853" t="n">
        <v>5</v>
      </c>
      <c r="D853" t="inlineStr">
        <is>
          <t>infographic</t>
        </is>
      </c>
      <c r="E853" t="inlineStr">
        <is>
          <t>NA</t>
        </is>
      </c>
      <c r="F853" t="n">
        <v>92.2</v>
      </c>
      <c r="G853" t="n">
        <v>97.59999999999999</v>
      </c>
    </row>
    <row r="854">
      <c r="A854" t="inlineStr">
        <is>
          <t>RESP0176</t>
        </is>
      </c>
      <c r="B854" t="inlineStr">
        <is>
          <t>Study flow 1</t>
        </is>
      </c>
      <c r="C854" t="n">
        <v>6</v>
      </c>
      <c r="D854" t="inlineStr">
        <is>
          <t>Questionnaire</t>
        </is>
      </c>
      <c r="E854" t="inlineStr">
        <is>
          <t>NA</t>
        </is>
      </c>
      <c r="F854" t="n">
        <v>93.09999999999999</v>
      </c>
      <c r="G854" t="n">
        <v>96.3</v>
      </c>
    </row>
    <row r="855">
      <c r="A855" t="inlineStr">
        <is>
          <t>RESP0176</t>
        </is>
      </c>
      <c r="B855" t="inlineStr">
        <is>
          <t>Study flow 1</t>
        </is>
      </c>
      <c r="C855" t="n">
        <v>7</v>
      </c>
      <c r="D855" t="inlineStr">
        <is>
          <t>Post-study calibration</t>
        </is>
      </c>
      <c r="E855" t="n">
        <v>2.09</v>
      </c>
      <c r="F855" t="n">
        <v>92.90000000000001</v>
      </c>
      <c r="G855" t="n">
        <v>96.40000000000001</v>
      </c>
    </row>
    <row r="856">
      <c r="A856" t="inlineStr">
        <is>
          <t>RESP0177</t>
        </is>
      </c>
      <c r="B856" t="inlineStr">
        <is>
          <t>Study flow 2</t>
        </is>
      </c>
      <c r="C856" t="n">
        <v>1</v>
      </c>
      <c r="D856" t="inlineStr">
        <is>
          <t>Pre-study calibration</t>
        </is>
      </c>
      <c r="E856" t="n">
        <v>0.76</v>
      </c>
      <c r="F856" t="n">
        <v>92.8</v>
      </c>
      <c r="G856" t="n">
        <v>95.40000000000001</v>
      </c>
    </row>
    <row r="857">
      <c r="A857" t="inlineStr">
        <is>
          <t>RESP0177</t>
        </is>
      </c>
      <c r="B857" t="inlineStr">
        <is>
          <t>Study flow 2</t>
        </is>
      </c>
      <c r="C857" t="n">
        <v>2</v>
      </c>
      <c r="D857" t="inlineStr">
        <is>
          <t>Instructions1</t>
        </is>
      </c>
      <c r="E857" t="inlineStr">
        <is>
          <t>NA</t>
        </is>
      </c>
      <c r="F857" t="n">
        <v>87.40000000000001</v>
      </c>
      <c r="G857" t="n">
        <v>96.2</v>
      </c>
    </row>
    <row r="858">
      <c r="A858" t="inlineStr">
        <is>
          <t>RESP0177</t>
        </is>
      </c>
      <c r="B858" t="inlineStr">
        <is>
          <t>Study flow 2</t>
        </is>
      </c>
      <c r="C858" t="n">
        <v>3</v>
      </c>
      <c r="D858" t="inlineStr">
        <is>
          <t>foodwaste_visual</t>
        </is>
      </c>
      <c r="E858" t="inlineStr">
        <is>
          <t>NA</t>
        </is>
      </c>
      <c r="F858" t="n">
        <v>95.3</v>
      </c>
      <c r="G858" t="n">
        <v>92.8</v>
      </c>
    </row>
    <row r="859">
      <c r="A859" t="inlineStr">
        <is>
          <t>RESP0177</t>
        </is>
      </c>
      <c r="B859" t="inlineStr">
        <is>
          <t>Study flow 2</t>
        </is>
      </c>
      <c r="C859" t="n">
        <v>4</v>
      </c>
      <c r="D859" t="inlineStr">
        <is>
          <t>foodwaste_narrative</t>
        </is>
      </c>
      <c r="E859" t="inlineStr">
        <is>
          <t>NA</t>
        </is>
      </c>
      <c r="F859" t="n">
        <v>96.09999999999999</v>
      </c>
      <c r="G859" t="n">
        <v>95</v>
      </c>
    </row>
    <row r="860">
      <c r="A860" t="inlineStr">
        <is>
          <t>RESP0177</t>
        </is>
      </c>
      <c r="B860" t="inlineStr">
        <is>
          <t>Study flow 2</t>
        </is>
      </c>
      <c r="C860" t="n">
        <v>5</v>
      </c>
      <c r="D860" t="inlineStr">
        <is>
          <t>infographic</t>
        </is>
      </c>
      <c r="E860" t="inlineStr">
        <is>
          <t>NA</t>
        </is>
      </c>
      <c r="F860" t="n">
        <v>96.7</v>
      </c>
      <c r="G860" t="n">
        <v>96.2</v>
      </c>
    </row>
    <row r="861">
      <c r="A861" t="inlineStr">
        <is>
          <t>RESP0177</t>
        </is>
      </c>
      <c r="B861" t="inlineStr">
        <is>
          <t>Study flow 2</t>
        </is>
      </c>
      <c r="C861" t="n">
        <v>6</v>
      </c>
      <c r="D861" t="inlineStr">
        <is>
          <t>Questionnaire</t>
        </is>
      </c>
      <c r="E861" t="inlineStr">
        <is>
          <t>NA</t>
        </is>
      </c>
      <c r="F861" t="n">
        <v>96</v>
      </c>
      <c r="G861" t="n">
        <v>92.90000000000001</v>
      </c>
    </row>
    <row r="862">
      <c r="A862" t="inlineStr">
        <is>
          <t>RESP0177</t>
        </is>
      </c>
      <c r="B862" t="inlineStr">
        <is>
          <t>Study flow 2</t>
        </is>
      </c>
      <c r="C862" t="n">
        <v>7</v>
      </c>
      <c r="D862" t="inlineStr">
        <is>
          <t>Post-study calibration</t>
        </is>
      </c>
      <c r="E862" t="n">
        <v>1.47</v>
      </c>
      <c r="F862" t="n">
        <v>96.40000000000001</v>
      </c>
      <c r="G862" t="n">
        <v>95.3</v>
      </c>
    </row>
    <row r="863">
      <c r="A863" t="inlineStr">
        <is>
          <t>RESP0178</t>
        </is>
      </c>
      <c r="B863" t="inlineStr">
        <is>
          <t>Study flow 1</t>
        </is>
      </c>
      <c r="C863" t="n">
        <v>1</v>
      </c>
      <c r="D863" t="inlineStr">
        <is>
          <t>Pre-study calibration</t>
        </is>
      </c>
      <c r="E863" t="n">
        <v>0.88</v>
      </c>
      <c r="F863" t="n">
        <v>95.90000000000001</v>
      </c>
      <c r="G863" t="n">
        <v>98.3</v>
      </c>
    </row>
    <row r="864">
      <c r="A864" t="inlineStr">
        <is>
          <t>RESP0178</t>
        </is>
      </c>
      <c r="B864" t="inlineStr">
        <is>
          <t>Study flow 1</t>
        </is>
      </c>
      <c r="C864" t="n">
        <v>2</v>
      </c>
      <c r="D864" t="inlineStr">
        <is>
          <t>Instructions1</t>
        </is>
      </c>
      <c r="E864" t="inlineStr">
        <is>
          <t>NA</t>
        </is>
      </c>
      <c r="F864" t="n">
        <v>96.59999999999999</v>
      </c>
      <c r="G864" t="n">
        <v>96.8</v>
      </c>
    </row>
    <row r="865">
      <c r="A865" t="inlineStr">
        <is>
          <t>RESP0178</t>
        </is>
      </c>
      <c r="B865" t="inlineStr">
        <is>
          <t>Study flow 1</t>
        </is>
      </c>
      <c r="C865" t="n">
        <v>3</v>
      </c>
      <c r="D865" t="inlineStr">
        <is>
          <t>foodwaste_narrative</t>
        </is>
      </c>
      <c r="E865" t="inlineStr">
        <is>
          <t>NA</t>
        </is>
      </c>
      <c r="F865" t="n">
        <v>95.09999999999999</v>
      </c>
      <c r="G865" t="n">
        <v>97.8</v>
      </c>
    </row>
    <row r="866">
      <c r="A866" t="inlineStr">
        <is>
          <t>RESP0178</t>
        </is>
      </c>
      <c r="B866" t="inlineStr">
        <is>
          <t>Study flow 1</t>
        </is>
      </c>
      <c r="C866" t="n">
        <v>4</v>
      </c>
      <c r="D866" t="inlineStr">
        <is>
          <t>foodwaste_visual</t>
        </is>
      </c>
      <c r="E866" t="inlineStr">
        <is>
          <t>NA</t>
        </is>
      </c>
      <c r="F866" t="n">
        <v>96.5</v>
      </c>
      <c r="G866" t="n">
        <v>97.8</v>
      </c>
    </row>
    <row r="867">
      <c r="A867" t="inlineStr">
        <is>
          <t>RESP0178</t>
        </is>
      </c>
      <c r="B867" t="inlineStr">
        <is>
          <t>Study flow 1</t>
        </is>
      </c>
      <c r="C867" t="n">
        <v>5</v>
      </c>
      <c r="D867" t="inlineStr">
        <is>
          <t>infographic</t>
        </is>
      </c>
      <c r="E867" t="inlineStr">
        <is>
          <t>NA</t>
        </is>
      </c>
      <c r="F867" t="n">
        <v>93.90000000000001</v>
      </c>
      <c r="G867" t="n">
        <v>97.7</v>
      </c>
    </row>
    <row r="868">
      <c r="A868" t="inlineStr">
        <is>
          <t>RESP0178</t>
        </is>
      </c>
      <c r="B868" t="inlineStr">
        <is>
          <t>Study flow 1</t>
        </is>
      </c>
      <c r="C868" t="n">
        <v>6</v>
      </c>
      <c r="D868" t="inlineStr">
        <is>
          <t>Questionnaire</t>
        </is>
      </c>
      <c r="E868" t="inlineStr">
        <is>
          <t>NA</t>
        </is>
      </c>
      <c r="F868" t="n">
        <v>95.59999999999999</v>
      </c>
      <c r="G868" t="n">
        <v>98.5</v>
      </c>
    </row>
    <row r="869">
      <c r="A869" t="inlineStr">
        <is>
          <t>RESP0178</t>
        </is>
      </c>
      <c r="B869" t="inlineStr">
        <is>
          <t>Study flow 1</t>
        </is>
      </c>
      <c r="C869" t="n">
        <v>7</v>
      </c>
      <c r="D869" t="inlineStr">
        <is>
          <t>Post-study calibration</t>
        </is>
      </c>
      <c r="E869" t="n">
        <v>1.57</v>
      </c>
      <c r="F869" t="n">
        <v>97.09999999999999</v>
      </c>
      <c r="G869" t="n">
        <v>97</v>
      </c>
    </row>
    <row r="870">
      <c r="A870" t="inlineStr">
        <is>
          <t>RESP0179</t>
        </is>
      </c>
      <c r="B870" t="inlineStr">
        <is>
          <t>Study flow 1</t>
        </is>
      </c>
      <c r="C870" t="n">
        <v>1</v>
      </c>
      <c r="D870" t="inlineStr">
        <is>
          <t>Pre-study calibration</t>
        </is>
      </c>
      <c r="E870" t="n">
        <v>1.43</v>
      </c>
      <c r="F870" t="n">
        <v>97.8</v>
      </c>
      <c r="G870" t="n">
        <v>93.09999999999999</v>
      </c>
    </row>
    <row r="871">
      <c r="A871" t="inlineStr">
        <is>
          <t>RESP0179</t>
        </is>
      </c>
      <c r="B871" t="inlineStr">
        <is>
          <t>Study flow 1</t>
        </is>
      </c>
      <c r="C871" t="n">
        <v>2</v>
      </c>
      <c r="D871" t="inlineStr">
        <is>
          <t>Instructions1</t>
        </is>
      </c>
      <c r="E871" t="inlineStr">
        <is>
          <t>NA</t>
        </is>
      </c>
      <c r="F871" t="n">
        <v>95.40000000000001</v>
      </c>
      <c r="G871" t="n">
        <v>90.09999999999999</v>
      </c>
    </row>
    <row r="872">
      <c r="A872" t="inlineStr">
        <is>
          <t>RESP0179</t>
        </is>
      </c>
      <c r="B872" t="inlineStr">
        <is>
          <t>Study flow 1</t>
        </is>
      </c>
      <c r="C872" t="n">
        <v>3</v>
      </c>
      <c r="D872" t="inlineStr">
        <is>
          <t>foodwaste_narrative</t>
        </is>
      </c>
      <c r="E872" t="inlineStr">
        <is>
          <t>NA</t>
        </is>
      </c>
      <c r="F872" t="n">
        <v>97.09999999999999</v>
      </c>
      <c r="G872" t="n">
        <v>83.59999999999999</v>
      </c>
    </row>
    <row r="873">
      <c r="A873" t="inlineStr">
        <is>
          <t>RESP0179</t>
        </is>
      </c>
      <c r="B873" t="inlineStr">
        <is>
          <t>Study flow 1</t>
        </is>
      </c>
      <c r="C873" t="n">
        <v>4</v>
      </c>
      <c r="D873" t="inlineStr">
        <is>
          <t>foodwaste_visual</t>
        </is>
      </c>
      <c r="E873" t="inlineStr">
        <is>
          <t>NA</t>
        </is>
      </c>
      <c r="F873" t="n">
        <v>97.8</v>
      </c>
      <c r="G873" t="n">
        <v>86.5</v>
      </c>
    </row>
    <row r="874">
      <c r="A874" t="inlineStr">
        <is>
          <t>RESP0179</t>
        </is>
      </c>
      <c r="B874" t="inlineStr">
        <is>
          <t>Study flow 1</t>
        </is>
      </c>
      <c r="C874" t="n">
        <v>5</v>
      </c>
      <c r="D874" t="inlineStr">
        <is>
          <t>infographic</t>
        </is>
      </c>
      <c r="E874" t="inlineStr">
        <is>
          <t>NA</t>
        </is>
      </c>
      <c r="F874" t="n">
        <v>96.90000000000001</v>
      </c>
      <c r="G874" t="n">
        <v>90.8</v>
      </c>
    </row>
    <row r="875">
      <c r="A875" t="inlineStr">
        <is>
          <t>RESP0179</t>
        </is>
      </c>
      <c r="B875" t="inlineStr">
        <is>
          <t>Study flow 1</t>
        </is>
      </c>
      <c r="C875" t="n">
        <v>6</v>
      </c>
      <c r="D875" t="inlineStr">
        <is>
          <t>Questionnaire</t>
        </is>
      </c>
      <c r="E875" t="inlineStr">
        <is>
          <t>NA</t>
        </is>
      </c>
      <c r="F875" t="n">
        <v>98.59999999999999</v>
      </c>
      <c r="G875" t="n">
        <v>93.2</v>
      </c>
    </row>
    <row r="876">
      <c r="A876" t="inlineStr">
        <is>
          <t>RESP0179</t>
        </is>
      </c>
      <c r="B876" t="inlineStr">
        <is>
          <t>Study flow 1</t>
        </is>
      </c>
      <c r="C876" t="n">
        <v>7</v>
      </c>
      <c r="D876" t="inlineStr">
        <is>
          <t>Post-study calibration</t>
        </is>
      </c>
      <c r="E876" t="n">
        <v>1.35</v>
      </c>
      <c r="F876" t="n">
        <v>96.7</v>
      </c>
      <c r="G876" t="n">
        <v>86.5</v>
      </c>
    </row>
    <row r="877">
      <c r="A877" t="inlineStr">
        <is>
          <t>RESP0180</t>
        </is>
      </c>
      <c r="B877" t="inlineStr">
        <is>
          <t>Study flow 2</t>
        </is>
      </c>
      <c r="C877" t="n">
        <v>1</v>
      </c>
      <c r="D877" t="inlineStr">
        <is>
          <t>Pre-study calibration</t>
        </is>
      </c>
      <c r="E877" t="n">
        <v>1.97</v>
      </c>
      <c r="F877" t="n">
        <v>96</v>
      </c>
      <c r="G877" t="n">
        <v>99.59999999999999</v>
      </c>
    </row>
    <row r="878">
      <c r="A878" t="inlineStr">
        <is>
          <t>RESP0180</t>
        </is>
      </c>
      <c r="B878" t="inlineStr">
        <is>
          <t>Study flow 2</t>
        </is>
      </c>
      <c r="C878" t="n">
        <v>2</v>
      </c>
      <c r="D878" t="inlineStr">
        <is>
          <t>Instructions1</t>
        </is>
      </c>
      <c r="E878" t="inlineStr">
        <is>
          <t>NA</t>
        </is>
      </c>
      <c r="F878" t="n">
        <v>97.59999999999999</v>
      </c>
      <c r="G878" t="n">
        <v>99.7</v>
      </c>
    </row>
    <row r="879">
      <c r="A879" t="inlineStr">
        <is>
          <t>RESP0180</t>
        </is>
      </c>
      <c r="B879" t="inlineStr">
        <is>
          <t>Study flow 2</t>
        </is>
      </c>
      <c r="C879" t="n">
        <v>3</v>
      </c>
      <c r="D879" t="inlineStr">
        <is>
          <t>foodwaste_visual</t>
        </is>
      </c>
      <c r="E879" t="inlineStr">
        <is>
          <t>NA</t>
        </is>
      </c>
      <c r="F879" t="n">
        <v>96</v>
      </c>
      <c r="G879" t="n">
        <v>99.5</v>
      </c>
    </row>
    <row r="880">
      <c r="A880" t="inlineStr">
        <is>
          <t>RESP0180</t>
        </is>
      </c>
      <c r="B880" t="inlineStr">
        <is>
          <t>Study flow 2</t>
        </is>
      </c>
      <c r="C880" t="n">
        <v>4</v>
      </c>
      <c r="D880" t="inlineStr">
        <is>
          <t>foodwaste_narrative</t>
        </is>
      </c>
      <c r="E880" t="inlineStr">
        <is>
          <t>NA</t>
        </is>
      </c>
      <c r="F880" t="n">
        <v>96.8</v>
      </c>
      <c r="G880" t="n">
        <v>99.59999999999999</v>
      </c>
    </row>
    <row r="881">
      <c r="A881" t="inlineStr">
        <is>
          <t>RESP0180</t>
        </is>
      </c>
      <c r="B881" t="inlineStr">
        <is>
          <t>Study flow 2</t>
        </is>
      </c>
      <c r="C881" t="n">
        <v>5</v>
      </c>
      <c r="D881" t="inlineStr">
        <is>
          <t>infographic</t>
        </is>
      </c>
      <c r="E881" t="inlineStr">
        <is>
          <t>NA</t>
        </is>
      </c>
      <c r="F881" t="n">
        <v>96.59999999999999</v>
      </c>
      <c r="G881" t="n">
        <v>99.3</v>
      </c>
    </row>
    <row r="882">
      <c r="A882" t="inlineStr">
        <is>
          <t>RESP0180</t>
        </is>
      </c>
      <c r="B882" t="inlineStr">
        <is>
          <t>Study flow 2</t>
        </is>
      </c>
      <c r="C882" t="n">
        <v>6</v>
      </c>
      <c r="D882" t="inlineStr">
        <is>
          <t>Questionnaire</t>
        </is>
      </c>
      <c r="E882" t="inlineStr">
        <is>
          <t>NA</t>
        </is>
      </c>
      <c r="F882" t="n">
        <v>98</v>
      </c>
      <c r="G882" t="n">
        <v>99.40000000000001</v>
      </c>
    </row>
    <row r="883">
      <c r="A883" t="inlineStr">
        <is>
          <t>RESP0180</t>
        </is>
      </c>
      <c r="B883" t="inlineStr">
        <is>
          <t>Study flow 2</t>
        </is>
      </c>
      <c r="C883" t="n">
        <v>7</v>
      </c>
      <c r="D883" t="inlineStr">
        <is>
          <t>Post-study calibration</t>
        </is>
      </c>
      <c r="E883" t="n">
        <v>2.84</v>
      </c>
      <c r="F883" t="n">
        <v>96.8</v>
      </c>
      <c r="G883" t="n">
        <v>99.3</v>
      </c>
    </row>
    <row r="884">
      <c r="A884" t="inlineStr">
        <is>
          <t>RESP0181</t>
        </is>
      </c>
      <c r="B884" t="inlineStr">
        <is>
          <t>Study flow 1</t>
        </is>
      </c>
      <c r="C884" t="n">
        <v>1</v>
      </c>
      <c r="D884" t="inlineStr">
        <is>
          <t>Pre-study calibration</t>
        </is>
      </c>
      <c r="E884" t="n">
        <v>1.1</v>
      </c>
      <c r="F884" t="n">
        <v>97.90000000000001</v>
      </c>
      <c r="G884" t="n">
        <v>99.59999999999999</v>
      </c>
    </row>
    <row r="885">
      <c r="A885" t="inlineStr">
        <is>
          <t>RESP0181</t>
        </is>
      </c>
      <c r="B885" t="inlineStr">
        <is>
          <t>Study flow 1</t>
        </is>
      </c>
      <c r="C885" t="n">
        <v>2</v>
      </c>
      <c r="D885" t="inlineStr">
        <is>
          <t>Instructions1</t>
        </is>
      </c>
      <c r="E885" t="inlineStr">
        <is>
          <t>NA</t>
        </is>
      </c>
      <c r="F885" t="n">
        <v>98</v>
      </c>
      <c r="G885" t="n">
        <v>99.3</v>
      </c>
    </row>
    <row r="886">
      <c r="A886" t="inlineStr">
        <is>
          <t>RESP0181</t>
        </is>
      </c>
      <c r="B886" t="inlineStr">
        <is>
          <t>Study flow 1</t>
        </is>
      </c>
      <c r="C886" t="n">
        <v>3</v>
      </c>
      <c r="D886" t="inlineStr">
        <is>
          <t>foodwaste_narrative</t>
        </is>
      </c>
      <c r="E886" t="inlineStr">
        <is>
          <t>NA</t>
        </is>
      </c>
      <c r="F886" t="n">
        <v>98.09999999999999</v>
      </c>
      <c r="G886" t="n">
        <v>98.3</v>
      </c>
    </row>
    <row r="887">
      <c r="A887" t="inlineStr">
        <is>
          <t>RESP0181</t>
        </is>
      </c>
      <c r="B887" t="inlineStr">
        <is>
          <t>Study flow 1</t>
        </is>
      </c>
      <c r="C887" t="n">
        <v>4</v>
      </c>
      <c r="D887" t="inlineStr">
        <is>
          <t>foodwaste_visual</t>
        </is>
      </c>
      <c r="E887" t="inlineStr">
        <is>
          <t>NA</t>
        </is>
      </c>
      <c r="F887" t="n">
        <v>98.5</v>
      </c>
      <c r="G887" t="n">
        <v>99.59999999999999</v>
      </c>
    </row>
    <row r="888">
      <c r="A888" t="inlineStr">
        <is>
          <t>RESP0181</t>
        </is>
      </c>
      <c r="B888" t="inlineStr">
        <is>
          <t>Study flow 1</t>
        </is>
      </c>
      <c r="C888" t="n">
        <v>5</v>
      </c>
      <c r="D888" t="inlineStr">
        <is>
          <t>infographic</t>
        </is>
      </c>
      <c r="E888" t="inlineStr">
        <is>
          <t>NA</t>
        </is>
      </c>
      <c r="F888" t="n">
        <v>98.3</v>
      </c>
      <c r="G888" t="n">
        <v>99.2</v>
      </c>
    </row>
    <row r="889">
      <c r="A889" t="inlineStr">
        <is>
          <t>RESP0181</t>
        </is>
      </c>
      <c r="B889" t="inlineStr">
        <is>
          <t>Study flow 1</t>
        </is>
      </c>
      <c r="C889" t="n">
        <v>6</v>
      </c>
      <c r="D889" t="inlineStr">
        <is>
          <t>Questionnaire</t>
        </is>
      </c>
      <c r="E889" t="inlineStr">
        <is>
          <t>NA</t>
        </is>
      </c>
      <c r="F889" t="n">
        <v>98.3</v>
      </c>
      <c r="G889" t="n">
        <v>99.7</v>
      </c>
    </row>
    <row r="890">
      <c r="A890" t="inlineStr">
        <is>
          <t>RESP0181</t>
        </is>
      </c>
      <c r="B890" t="inlineStr">
        <is>
          <t>Study flow 1</t>
        </is>
      </c>
      <c r="C890" t="n">
        <v>7</v>
      </c>
      <c r="D890" t="inlineStr">
        <is>
          <t>Post-study calibration</t>
        </is>
      </c>
      <c r="E890" t="n">
        <v>1.34</v>
      </c>
      <c r="F890" t="n">
        <v>98.3</v>
      </c>
      <c r="G890" t="n">
        <v>98.90000000000001</v>
      </c>
    </row>
    <row r="891">
      <c r="A891" t="inlineStr">
        <is>
          <t>RESP0183</t>
        </is>
      </c>
      <c r="B891" t="inlineStr">
        <is>
          <t>Study flow 1</t>
        </is>
      </c>
      <c r="C891" t="n">
        <v>1</v>
      </c>
      <c r="D891" t="inlineStr">
        <is>
          <t>Pre-study calibration</t>
        </is>
      </c>
      <c r="E891" t="n">
        <v>1.32</v>
      </c>
      <c r="F891" t="n">
        <v>90.09999999999999</v>
      </c>
      <c r="G891" t="n">
        <v>92</v>
      </c>
    </row>
    <row r="892">
      <c r="A892" t="inlineStr">
        <is>
          <t>RESP0183</t>
        </is>
      </c>
      <c r="B892" t="inlineStr">
        <is>
          <t>Study flow 1</t>
        </is>
      </c>
      <c r="C892" t="n">
        <v>2</v>
      </c>
      <c r="D892" t="inlineStr">
        <is>
          <t>Instructions1</t>
        </is>
      </c>
      <c r="E892" t="inlineStr">
        <is>
          <t>NA</t>
        </is>
      </c>
      <c r="F892" t="n">
        <v>91.40000000000001</v>
      </c>
      <c r="G892" t="n">
        <v>90.5</v>
      </c>
    </row>
    <row r="893">
      <c r="A893" t="inlineStr">
        <is>
          <t>RESP0183</t>
        </is>
      </c>
      <c r="B893" t="inlineStr">
        <is>
          <t>Study flow 1</t>
        </is>
      </c>
      <c r="C893" t="n">
        <v>3</v>
      </c>
      <c r="D893" t="inlineStr">
        <is>
          <t>foodwaste_narrative</t>
        </is>
      </c>
      <c r="E893" t="inlineStr">
        <is>
          <t>NA</t>
        </is>
      </c>
      <c r="F893" t="n">
        <v>94.3</v>
      </c>
      <c r="G893" t="n">
        <v>89.3</v>
      </c>
    </row>
    <row r="894">
      <c r="A894" t="inlineStr">
        <is>
          <t>RESP0183</t>
        </is>
      </c>
      <c r="B894" t="inlineStr">
        <is>
          <t>Study flow 1</t>
        </is>
      </c>
      <c r="C894" t="n">
        <v>4</v>
      </c>
      <c r="D894" t="inlineStr">
        <is>
          <t>foodwaste_visual</t>
        </is>
      </c>
      <c r="E894" t="inlineStr">
        <is>
          <t>NA</t>
        </is>
      </c>
      <c r="F894" t="n">
        <v>88.59999999999999</v>
      </c>
      <c r="G894" t="n">
        <v>90.90000000000001</v>
      </c>
    </row>
    <row r="895">
      <c r="A895" t="inlineStr">
        <is>
          <t>RESP0183</t>
        </is>
      </c>
      <c r="B895" t="inlineStr">
        <is>
          <t>Study flow 1</t>
        </is>
      </c>
      <c r="C895" t="n">
        <v>5</v>
      </c>
      <c r="D895" t="inlineStr">
        <is>
          <t>infographic</t>
        </is>
      </c>
      <c r="E895" t="inlineStr">
        <is>
          <t>NA</t>
        </is>
      </c>
      <c r="F895" t="n">
        <v>89.3</v>
      </c>
      <c r="G895" t="n">
        <v>93.3</v>
      </c>
    </row>
    <row r="896">
      <c r="A896" t="inlineStr">
        <is>
          <t>RESP0183</t>
        </is>
      </c>
      <c r="B896" t="inlineStr">
        <is>
          <t>Study flow 1</t>
        </is>
      </c>
      <c r="C896" t="n">
        <v>6</v>
      </c>
      <c r="D896" t="inlineStr">
        <is>
          <t>Questionnaire</t>
        </is>
      </c>
      <c r="E896" t="inlineStr">
        <is>
          <t>NA</t>
        </is>
      </c>
      <c r="F896" t="n">
        <v>90.7</v>
      </c>
      <c r="G896" t="n">
        <v>91.3</v>
      </c>
    </row>
    <row r="897">
      <c r="A897" t="inlineStr">
        <is>
          <t>RESP0183</t>
        </is>
      </c>
      <c r="B897" t="inlineStr">
        <is>
          <t>Study flow 1</t>
        </is>
      </c>
      <c r="C897" t="n">
        <v>7</v>
      </c>
      <c r="D897" t="inlineStr">
        <is>
          <t>Post-study calibration</t>
        </is>
      </c>
      <c r="E897" t="n">
        <v>2.05</v>
      </c>
      <c r="F897" t="n">
        <v>87.90000000000001</v>
      </c>
      <c r="G897" t="n">
        <v>91.90000000000001</v>
      </c>
    </row>
    <row r="898">
      <c r="A898" t="inlineStr">
        <is>
          <t>RESP0184</t>
        </is>
      </c>
      <c r="B898" t="inlineStr">
        <is>
          <t>Study flow 2</t>
        </is>
      </c>
      <c r="C898" t="n">
        <v>1</v>
      </c>
      <c r="D898" t="inlineStr">
        <is>
          <t>Pre-study calibration</t>
        </is>
      </c>
      <c r="E898" t="n">
        <v>2.04</v>
      </c>
      <c r="F898" t="n">
        <v>96.8</v>
      </c>
      <c r="G898" t="n">
        <v>98</v>
      </c>
    </row>
    <row r="899">
      <c r="A899" t="inlineStr">
        <is>
          <t>RESP0184</t>
        </is>
      </c>
      <c r="B899" t="inlineStr">
        <is>
          <t>Study flow 2</t>
        </is>
      </c>
      <c r="C899" t="n">
        <v>2</v>
      </c>
      <c r="D899" t="inlineStr">
        <is>
          <t>Instructions1</t>
        </is>
      </c>
      <c r="E899" t="inlineStr">
        <is>
          <t>NA</t>
        </is>
      </c>
      <c r="F899" t="n">
        <v>96.59999999999999</v>
      </c>
      <c r="G899" t="n">
        <v>98.2</v>
      </c>
    </row>
    <row r="900">
      <c r="A900" t="inlineStr">
        <is>
          <t>RESP0184</t>
        </is>
      </c>
      <c r="B900" t="inlineStr">
        <is>
          <t>Study flow 2</t>
        </is>
      </c>
      <c r="C900" t="n">
        <v>3</v>
      </c>
      <c r="D900" t="inlineStr">
        <is>
          <t>foodwaste_visual</t>
        </is>
      </c>
      <c r="E900" t="inlineStr">
        <is>
          <t>NA</t>
        </is>
      </c>
      <c r="F900" t="n">
        <v>97.7</v>
      </c>
      <c r="G900" t="n">
        <v>97.59999999999999</v>
      </c>
    </row>
    <row r="901">
      <c r="A901" t="inlineStr">
        <is>
          <t>RESP0184</t>
        </is>
      </c>
      <c r="B901" t="inlineStr">
        <is>
          <t>Study flow 2</t>
        </is>
      </c>
      <c r="C901" t="n">
        <v>4</v>
      </c>
      <c r="D901" t="inlineStr">
        <is>
          <t>foodwaste_narrative</t>
        </is>
      </c>
      <c r="E901" t="inlineStr">
        <is>
          <t>NA</t>
        </is>
      </c>
      <c r="F901" t="n">
        <v>95.90000000000001</v>
      </c>
      <c r="G901" t="n">
        <v>97.3</v>
      </c>
    </row>
    <row r="902">
      <c r="A902" t="inlineStr">
        <is>
          <t>RESP0184</t>
        </is>
      </c>
      <c r="B902" t="inlineStr">
        <is>
          <t>Study flow 2</t>
        </is>
      </c>
      <c r="C902" t="n">
        <v>5</v>
      </c>
      <c r="D902" t="inlineStr">
        <is>
          <t>infographic</t>
        </is>
      </c>
      <c r="E902" t="inlineStr">
        <is>
          <t>NA</t>
        </is>
      </c>
      <c r="F902" t="n">
        <v>98</v>
      </c>
      <c r="G902" t="n">
        <v>98</v>
      </c>
    </row>
    <row r="903">
      <c r="A903" t="inlineStr">
        <is>
          <t>RESP0184</t>
        </is>
      </c>
      <c r="B903" t="inlineStr">
        <is>
          <t>Study flow 2</t>
        </is>
      </c>
      <c r="C903" t="n">
        <v>6</v>
      </c>
      <c r="D903" t="inlineStr">
        <is>
          <t>Questionnaire</t>
        </is>
      </c>
      <c r="E903" t="inlineStr">
        <is>
          <t>NA</t>
        </is>
      </c>
      <c r="F903" t="n">
        <v>97.2</v>
      </c>
      <c r="G903" t="n">
        <v>98.8</v>
      </c>
    </row>
    <row r="904">
      <c r="A904" t="inlineStr">
        <is>
          <t>RESP0184</t>
        </is>
      </c>
      <c r="B904" t="inlineStr">
        <is>
          <t>Study flow 2</t>
        </is>
      </c>
      <c r="C904" t="n">
        <v>7</v>
      </c>
      <c r="D904" t="inlineStr">
        <is>
          <t>Post-study calibration</t>
        </is>
      </c>
      <c r="E904" t="n">
        <v>2.59</v>
      </c>
      <c r="F904" t="n">
        <v>97.7</v>
      </c>
      <c r="G904" t="n">
        <v>98.2</v>
      </c>
    </row>
    <row r="905">
      <c r="A905" t="inlineStr">
        <is>
          <t>RESP0185</t>
        </is>
      </c>
      <c r="B905" t="inlineStr">
        <is>
          <t>Study flow 1</t>
        </is>
      </c>
      <c r="C905" t="n">
        <v>1</v>
      </c>
      <c r="D905" t="inlineStr">
        <is>
          <t>Pre-study calibration</t>
        </is>
      </c>
      <c r="E905" t="n">
        <v>3.3</v>
      </c>
      <c r="F905" t="n">
        <v>65.2</v>
      </c>
      <c r="G905" t="n">
        <v>94.40000000000001</v>
      </c>
    </row>
    <row r="906">
      <c r="A906" t="inlineStr">
        <is>
          <t>RESP0185</t>
        </is>
      </c>
      <c r="B906" t="inlineStr">
        <is>
          <t>Study flow 1</t>
        </is>
      </c>
      <c r="C906" t="n">
        <v>2</v>
      </c>
      <c r="D906" t="inlineStr">
        <is>
          <t>Instructions1</t>
        </is>
      </c>
      <c r="E906" t="inlineStr">
        <is>
          <t>NA</t>
        </is>
      </c>
      <c r="F906" t="n">
        <v>76.5</v>
      </c>
      <c r="G906" t="n">
        <v>91.2</v>
      </c>
    </row>
    <row r="907">
      <c r="A907" t="inlineStr">
        <is>
          <t>RESP0185</t>
        </is>
      </c>
      <c r="B907" t="inlineStr">
        <is>
          <t>Study flow 1</t>
        </is>
      </c>
      <c r="C907" t="n">
        <v>3</v>
      </c>
      <c r="D907" t="inlineStr">
        <is>
          <t>foodwaste_narrative</t>
        </is>
      </c>
      <c r="E907" t="inlineStr">
        <is>
          <t>NA</t>
        </is>
      </c>
      <c r="F907" t="n">
        <v>85.7</v>
      </c>
      <c r="G907" t="n">
        <v>91.7</v>
      </c>
    </row>
    <row r="908">
      <c r="A908" t="inlineStr">
        <is>
          <t>RESP0185</t>
        </is>
      </c>
      <c r="B908" t="inlineStr">
        <is>
          <t>Study flow 1</t>
        </is>
      </c>
      <c r="C908" t="n">
        <v>4</v>
      </c>
      <c r="D908" t="inlineStr">
        <is>
          <t>foodwaste_visual</t>
        </is>
      </c>
      <c r="E908" t="inlineStr">
        <is>
          <t>NA</t>
        </is>
      </c>
      <c r="F908" t="n">
        <v>66.90000000000001</v>
      </c>
      <c r="G908" t="n">
        <v>95.8</v>
      </c>
    </row>
    <row r="909">
      <c r="A909" t="inlineStr">
        <is>
          <t>RESP0185</t>
        </is>
      </c>
      <c r="B909" t="inlineStr">
        <is>
          <t>Study flow 1</t>
        </is>
      </c>
      <c r="C909" t="n">
        <v>5</v>
      </c>
      <c r="D909" t="inlineStr">
        <is>
          <t>infographic</t>
        </is>
      </c>
      <c r="E909" t="inlineStr">
        <is>
          <t>NA</t>
        </is>
      </c>
      <c r="F909" t="n">
        <v>80.90000000000001</v>
      </c>
      <c r="G909" t="n">
        <v>88.90000000000001</v>
      </c>
    </row>
    <row r="910">
      <c r="A910" t="inlineStr">
        <is>
          <t>RESP0185</t>
        </is>
      </c>
      <c r="B910" t="inlineStr">
        <is>
          <t>Study flow 1</t>
        </is>
      </c>
      <c r="C910" t="n">
        <v>6</v>
      </c>
      <c r="D910" t="inlineStr">
        <is>
          <t>Questionnaire</t>
        </is>
      </c>
      <c r="E910" t="inlineStr">
        <is>
          <t>NA</t>
        </is>
      </c>
      <c r="F910" t="n">
        <v>87.7</v>
      </c>
      <c r="G910" t="n">
        <v>85.8</v>
      </c>
    </row>
    <row r="911">
      <c r="A911" t="inlineStr">
        <is>
          <t>RESP0185</t>
        </is>
      </c>
      <c r="B911" t="inlineStr">
        <is>
          <t>Study flow 1</t>
        </is>
      </c>
      <c r="C911" t="n">
        <v>7</v>
      </c>
      <c r="D911" t="inlineStr">
        <is>
          <t>Post-study calibration</t>
        </is>
      </c>
      <c r="E911" t="n">
        <v>5.28</v>
      </c>
      <c r="F911" t="n">
        <v>82.40000000000001</v>
      </c>
      <c r="G911" t="n">
        <v>88.40000000000001</v>
      </c>
    </row>
    <row r="912">
      <c r="A912" t="inlineStr">
        <is>
          <t>RESP0186</t>
        </is>
      </c>
      <c r="B912" t="inlineStr">
        <is>
          <t>Study flow 2</t>
        </is>
      </c>
      <c r="C912" t="n">
        <v>1</v>
      </c>
      <c r="D912" t="inlineStr">
        <is>
          <t>Pre-study calibration</t>
        </is>
      </c>
      <c r="E912" t="n">
        <v>1.05</v>
      </c>
      <c r="F912" t="n">
        <v>97.7</v>
      </c>
      <c r="G912" t="n">
        <v>94.90000000000001</v>
      </c>
    </row>
    <row r="913">
      <c r="A913" t="inlineStr">
        <is>
          <t>RESP0186</t>
        </is>
      </c>
      <c r="B913" t="inlineStr">
        <is>
          <t>Study flow 2</t>
        </is>
      </c>
      <c r="C913" t="n">
        <v>2</v>
      </c>
      <c r="D913" t="inlineStr">
        <is>
          <t>Instructions1</t>
        </is>
      </c>
      <c r="E913" t="inlineStr">
        <is>
          <t>NA</t>
        </is>
      </c>
      <c r="F913" t="n">
        <v>95.2</v>
      </c>
      <c r="G913" t="n">
        <v>94.3</v>
      </c>
    </row>
    <row r="914">
      <c r="A914" t="inlineStr">
        <is>
          <t>RESP0186</t>
        </is>
      </c>
      <c r="B914" t="inlineStr">
        <is>
          <t>Study flow 2</t>
        </is>
      </c>
      <c r="C914" t="n">
        <v>3</v>
      </c>
      <c r="D914" t="inlineStr">
        <is>
          <t>foodwaste_visual</t>
        </is>
      </c>
      <c r="E914" t="inlineStr">
        <is>
          <t>NA</t>
        </is>
      </c>
      <c r="F914" t="n">
        <v>97.40000000000001</v>
      </c>
      <c r="G914" t="n">
        <v>95.2</v>
      </c>
    </row>
    <row r="915">
      <c r="A915" t="inlineStr">
        <is>
          <t>RESP0186</t>
        </is>
      </c>
      <c r="B915" t="inlineStr">
        <is>
          <t>Study flow 2</t>
        </is>
      </c>
      <c r="C915" t="n">
        <v>4</v>
      </c>
      <c r="D915" t="inlineStr">
        <is>
          <t>foodwaste_narrative</t>
        </is>
      </c>
      <c r="E915" t="inlineStr">
        <is>
          <t>NA</t>
        </is>
      </c>
      <c r="F915" t="n">
        <v>97.7</v>
      </c>
      <c r="G915" t="n">
        <v>95.90000000000001</v>
      </c>
    </row>
    <row r="916">
      <c r="A916" t="inlineStr">
        <is>
          <t>RESP0186</t>
        </is>
      </c>
      <c r="B916" t="inlineStr">
        <is>
          <t>Study flow 2</t>
        </is>
      </c>
      <c r="C916" t="n">
        <v>5</v>
      </c>
      <c r="D916" t="inlineStr">
        <is>
          <t>infographic</t>
        </is>
      </c>
      <c r="E916" t="inlineStr">
        <is>
          <t>NA</t>
        </is>
      </c>
      <c r="F916" t="n">
        <v>97.3</v>
      </c>
      <c r="G916" t="n">
        <v>90.09999999999999</v>
      </c>
    </row>
    <row r="917">
      <c r="A917" t="inlineStr">
        <is>
          <t>RESP0186</t>
        </is>
      </c>
      <c r="B917" t="inlineStr">
        <is>
          <t>Study flow 2</t>
        </is>
      </c>
      <c r="C917" t="n">
        <v>6</v>
      </c>
      <c r="D917" t="inlineStr">
        <is>
          <t>Questionnaire</t>
        </is>
      </c>
      <c r="E917" t="inlineStr">
        <is>
          <t>NA</t>
        </is>
      </c>
      <c r="F917" t="n">
        <v>98.09999999999999</v>
      </c>
      <c r="G917" t="n">
        <v>92.40000000000001</v>
      </c>
    </row>
    <row r="918">
      <c r="A918" t="inlineStr">
        <is>
          <t>RESP0186</t>
        </is>
      </c>
      <c r="B918" t="inlineStr">
        <is>
          <t>Study flow 2</t>
        </is>
      </c>
      <c r="C918" t="n">
        <v>7</v>
      </c>
      <c r="D918" t="inlineStr">
        <is>
          <t>Post-study calibration</t>
        </is>
      </c>
      <c r="E918" t="n">
        <v>2.02</v>
      </c>
      <c r="F918" t="n">
        <v>95</v>
      </c>
      <c r="G918" t="n">
        <v>94.7</v>
      </c>
    </row>
    <row r="919">
      <c r="A919" t="inlineStr">
        <is>
          <t>RESP0189</t>
        </is>
      </c>
      <c r="B919" t="inlineStr">
        <is>
          <t>Study flow 2</t>
        </is>
      </c>
      <c r="C919" t="n">
        <v>1</v>
      </c>
      <c r="D919" t="inlineStr">
        <is>
          <t>Pre-study calibration</t>
        </is>
      </c>
      <c r="E919" t="n">
        <v>1.63</v>
      </c>
      <c r="F919" t="n">
        <v>92.09999999999999</v>
      </c>
      <c r="G919" t="n">
        <v>97</v>
      </c>
    </row>
    <row r="920">
      <c r="A920" t="inlineStr">
        <is>
          <t>RESP0189</t>
        </is>
      </c>
      <c r="B920" t="inlineStr">
        <is>
          <t>Study flow 2</t>
        </is>
      </c>
      <c r="C920" t="n">
        <v>2</v>
      </c>
      <c r="D920" t="inlineStr">
        <is>
          <t>Instructions1</t>
        </is>
      </c>
      <c r="E920" t="inlineStr">
        <is>
          <t>NA</t>
        </is>
      </c>
      <c r="F920" t="n">
        <v>90.7</v>
      </c>
      <c r="G920" t="n">
        <v>97</v>
      </c>
    </row>
    <row r="921">
      <c r="A921" t="inlineStr">
        <is>
          <t>RESP0189</t>
        </is>
      </c>
      <c r="B921" t="inlineStr">
        <is>
          <t>Study flow 2</t>
        </is>
      </c>
      <c r="C921" t="n">
        <v>3</v>
      </c>
      <c r="D921" t="inlineStr">
        <is>
          <t>foodwaste_visual</t>
        </is>
      </c>
      <c r="E921" t="inlineStr">
        <is>
          <t>NA</t>
        </is>
      </c>
      <c r="F921" t="n">
        <v>93.5</v>
      </c>
      <c r="G921" t="n">
        <v>97</v>
      </c>
    </row>
    <row r="922">
      <c r="A922" t="inlineStr">
        <is>
          <t>RESP0189</t>
        </is>
      </c>
      <c r="B922" t="inlineStr">
        <is>
          <t>Study flow 2</t>
        </is>
      </c>
      <c r="C922" t="n">
        <v>4</v>
      </c>
      <c r="D922" t="inlineStr">
        <is>
          <t>foodwaste_narrative</t>
        </is>
      </c>
      <c r="E922" t="inlineStr">
        <is>
          <t>NA</t>
        </is>
      </c>
      <c r="F922" t="n">
        <v>95.3</v>
      </c>
      <c r="G922" t="n">
        <v>93.90000000000001</v>
      </c>
    </row>
    <row r="923">
      <c r="A923" t="inlineStr">
        <is>
          <t>RESP0189</t>
        </is>
      </c>
      <c r="B923" t="inlineStr">
        <is>
          <t>Study flow 2</t>
        </is>
      </c>
      <c r="C923" t="n">
        <v>5</v>
      </c>
      <c r="D923" t="inlineStr">
        <is>
          <t>infographic</t>
        </is>
      </c>
      <c r="E923" t="inlineStr">
        <is>
          <t>NA</t>
        </is>
      </c>
      <c r="F923" t="n">
        <v>93.09999999999999</v>
      </c>
      <c r="G923" t="n">
        <v>96.2</v>
      </c>
    </row>
    <row r="924">
      <c r="A924" t="inlineStr">
        <is>
          <t>RESP0189</t>
        </is>
      </c>
      <c r="B924" t="inlineStr">
        <is>
          <t>Study flow 2</t>
        </is>
      </c>
      <c r="C924" t="n">
        <v>6</v>
      </c>
      <c r="D924" t="inlineStr">
        <is>
          <t>Questionnaire</t>
        </is>
      </c>
      <c r="E924" t="inlineStr">
        <is>
          <t>NA</t>
        </is>
      </c>
      <c r="F924" t="n">
        <v>93</v>
      </c>
      <c r="G924" t="n">
        <v>97.2</v>
      </c>
    </row>
    <row r="925">
      <c r="A925" t="inlineStr">
        <is>
          <t>RESP0189</t>
        </is>
      </c>
      <c r="B925" t="inlineStr">
        <is>
          <t>Study flow 2</t>
        </is>
      </c>
      <c r="C925" t="n">
        <v>7</v>
      </c>
      <c r="D925" t="inlineStr">
        <is>
          <t>Post-study calibration</t>
        </is>
      </c>
      <c r="E925" t="n">
        <v>1.59</v>
      </c>
      <c r="F925" t="n">
        <v>95.2</v>
      </c>
      <c r="G925" t="n">
        <v>95.5</v>
      </c>
    </row>
    <row r="926">
      <c r="A926" t="inlineStr">
        <is>
          <t>RESP0190</t>
        </is>
      </c>
      <c r="B926" t="inlineStr">
        <is>
          <t>Study flow 1</t>
        </is>
      </c>
      <c r="C926" t="n">
        <v>1</v>
      </c>
      <c r="D926" t="inlineStr">
        <is>
          <t>Pre-study calibration</t>
        </is>
      </c>
      <c r="E926" t="n">
        <v>3.01</v>
      </c>
      <c r="F926" t="n">
        <v>92.59999999999999</v>
      </c>
      <c r="G926" t="n">
        <v>93.3</v>
      </c>
    </row>
    <row r="927">
      <c r="A927" t="inlineStr">
        <is>
          <t>RESP0190</t>
        </is>
      </c>
      <c r="B927" t="inlineStr">
        <is>
          <t>Study flow 1</t>
        </is>
      </c>
      <c r="C927" t="n">
        <v>2</v>
      </c>
      <c r="D927" t="inlineStr">
        <is>
          <t>Instructions1</t>
        </is>
      </c>
      <c r="E927" t="inlineStr">
        <is>
          <t>NA</t>
        </is>
      </c>
      <c r="F927" t="n">
        <v>94.90000000000001</v>
      </c>
      <c r="G927" t="n">
        <v>96.90000000000001</v>
      </c>
    </row>
    <row r="928">
      <c r="A928" t="inlineStr">
        <is>
          <t>RESP0190</t>
        </is>
      </c>
      <c r="B928" t="inlineStr">
        <is>
          <t>Study flow 1</t>
        </is>
      </c>
      <c r="C928" t="n">
        <v>3</v>
      </c>
      <c r="D928" t="inlineStr">
        <is>
          <t>foodwaste_narrative</t>
        </is>
      </c>
      <c r="E928" t="inlineStr">
        <is>
          <t>NA</t>
        </is>
      </c>
      <c r="F928" t="n">
        <v>90.09999999999999</v>
      </c>
      <c r="G928" t="n">
        <v>93.59999999999999</v>
      </c>
    </row>
    <row r="929">
      <c r="A929" t="inlineStr">
        <is>
          <t>RESP0190</t>
        </is>
      </c>
      <c r="B929" t="inlineStr">
        <is>
          <t>Study flow 1</t>
        </is>
      </c>
      <c r="C929" t="n">
        <v>4</v>
      </c>
      <c r="D929" t="inlineStr">
        <is>
          <t>foodwaste_visual</t>
        </is>
      </c>
      <c r="E929" t="inlineStr">
        <is>
          <t>NA</t>
        </is>
      </c>
      <c r="F929" t="n">
        <v>94.8</v>
      </c>
      <c r="G929" t="n">
        <v>95.59999999999999</v>
      </c>
    </row>
    <row r="930">
      <c r="A930" t="inlineStr">
        <is>
          <t>RESP0190</t>
        </is>
      </c>
      <c r="B930" t="inlineStr">
        <is>
          <t>Study flow 1</t>
        </is>
      </c>
      <c r="C930" t="n">
        <v>5</v>
      </c>
      <c r="D930" t="inlineStr">
        <is>
          <t>infographic</t>
        </is>
      </c>
      <c r="E930" t="inlineStr">
        <is>
          <t>NA</t>
        </is>
      </c>
      <c r="F930" t="n">
        <v>93.59999999999999</v>
      </c>
      <c r="G930" t="n">
        <v>96.59999999999999</v>
      </c>
    </row>
    <row r="931">
      <c r="A931" t="inlineStr">
        <is>
          <t>RESP0190</t>
        </is>
      </c>
      <c r="B931" t="inlineStr">
        <is>
          <t>Study flow 1</t>
        </is>
      </c>
      <c r="C931" t="n">
        <v>6</v>
      </c>
      <c r="D931" t="inlineStr">
        <is>
          <t>Questionnaire</t>
        </is>
      </c>
      <c r="E931" t="inlineStr">
        <is>
          <t>NA</t>
        </is>
      </c>
      <c r="F931" t="n">
        <v>84.8</v>
      </c>
      <c r="G931" t="n">
        <v>96</v>
      </c>
    </row>
    <row r="932">
      <c r="A932" t="inlineStr">
        <is>
          <t>RESP0190</t>
        </is>
      </c>
      <c r="B932" t="inlineStr">
        <is>
          <t>Study flow 1</t>
        </is>
      </c>
      <c r="C932" t="n">
        <v>7</v>
      </c>
      <c r="D932" t="inlineStr">
        <is>
          <t>Post-study calibration</t>
        </is>
      </c>
      <c r="E932" t="n">
        <v>3.11</v>
      </c>
      <c r="F932" t="n">
        <v>95.2</v>
      </c>
      <c r="G932" t="n">
        <v>94.90000000000001</v>
      </c>
    </row>
    <row r="933">
      <c r="A933" t="inlineStr">
        <is>
          <t>RESP0191</t>
        </is>
      </c>
      <c r="B933" t="inlineStr">
        <is>
          <t>Study flow 2</t>
        </is>
      </c>
      <c r="C933" t="n">
        <v>1</v>
      </c>
      <c r="D933" t="inlineStr">
        <is>
          <t>Pre-study calibration</t>
        </is>
      </c>
      <c r="E933" t="n">
        <v>2.46</v>
      </c>
      <c r="F933" t="n">
        <v>85.5</v>
      </c>
      <c r="G933" t="n">
        <v>81.5</v>
      </c>
    </row>
    <row r="934">
      <c r="A934" t="inlineStr">
        <is>
          <t>RESP0191</t>
        </is>
      </c>
      <c r="B934" t="inlineStr">
        <is>
          <t>Study flow 2</t>
        </is>
      </c>
      <c r="C934" t="n">
        <v>2</v>
      </c>
      <c r="D934" t="inlineStr">
        <is>
          <t>Instructions1</t>
        </is>
      </c>
      <c r="E934" t="inlineStr">
        <is>
          <t>NA</t>
        </is>
      </c>
      <c r="F934" t="n">
        <v>73.59999999999999</v>
      </c>
      <c r="G934" t="n">
        <v>74.59999999999999</v>
      </c>
    </row>
    <row r="935">
      <c r="A935" t="inlineStr">
        <is>
          <t>RESP0191</t>
        </is>
      </c>
      <c r="B935" t="inlineStr">
        <is>
          <t>Study flow 2</t>
        </is>
      </c>
      <c r="C935" t="n">
        <v>3</v>
      </c>
      <c r="D935" t="inlineStr">
        <is>
          <t>foodwaste_visual</t>
        </is>
      </c>
      <c r="E935" t="inlineStr">
        <is>
          <t>NA</t>
        </is>
      </c>
      <c r="F935" t="n">
        <v>76.40000000000001</v>
      </c>
      <c r="G935" t="n">
        <v>81.7</v>
      </c>
    </row>
    <row r="936">
      <c r="A936" t="inlineStr">
        <is>
          <t>RESP0191</t>
        </is>
      </c>
      <c r="B936" t="inlineStr">
        <is>
          <t>Study flow 2</t>
        </is>
      </c>
      <c r="C936" t="n">
        <v>4</v>
      </c>
      <c r="D936" t="inlineStr">
        <is>
          <t>foodwaste_narrative</t>
        </is>
      </c>
      <c r="E936" t="inlineStr">
        <is>
          <t>NA</t>
        </is>
      </c>
      <c r="F936" t="n">
        <v>70.5</v>
      </c>
      <c r="G936" t="n">
        <v>71.8</v>
      </c>
    </row>
    <row r="937">
      <c r="A937" t="inlineStr">
        <is>
          <t>RESP0191</t>
        </is>
      </c>
      <c r="B937" t="inlineStr">
        <is>
          <t>Study flow 2</t>
        </is>
      </c>
      <c r="C937" t="n">
        <v>5</v>
      </c>
      <c r="D937" t="inlineStr">
        <is>
          <t>infographic</t>
        </is>
      </c>
      <c r="E937" t="inlineStr">
        <is>
          <t>NA</t>
        </is>
      </c>
      <c r="F937" t="n">
        <v>80.09999999999999</v>
      </c>
      <c r="G937" t="n">
        <v>88.59999999999999</v>
      </c>
    </row>
    <row r="938">
      <c r="A938" t="inlineStr">
        <is>
          <t>RESP0191</t>
        </is>
      </c>
      <c r="B938" t="inlineStr">
        <is>
          <t>Study flow 2</t>
        </is>
      </c>
      <c r="C938" t="n">
        <v>6</v>
      </c>
      <c r="D938" t="inlineStr">
        <is>
          <t>Questionnaire</t>
        </is>
      </c>
      <c r="E938" t="inlineStr">
        <is>
          <t>NA</t>
        </is>
      </c>
      <c r="F938" t="n">
        <v>74.09999999999999</v>
      </c>
      <c r="G938" t="n">
        <v>90.8</v>
      </c>
    </row>
    <row r="939">
      <c r="A939" t="inlineStr">
        <is>
          <t>RESP0191</t>
        </is>
      </c>
      <c r="B939" t="inlineStr">
        <is>
          <t>Study flow 2</t>
        </is>
      </c>
      <c r="C939" t="n">
        <v>7</v>
      </c>
      <c r="D939" t="inlineStr">
        <is>
          <t>Post-study calibration</t>
        </is>
      </c>
      <c r="E939" t="n">
        <v>3.57</v>
      </c>
      <c r="F939" t="n">
        <v>87.59999999999999</v>
      </c>
      <c r="G939" t="n">
        <v>76.40000000000001</v>
      </c>
    </row>
    <row r="940">
      <c r="A940" t="inlineStr">
        <is>
          <t>RESP0193</t>
        </is>
      </c>
      <c r="B940" t="inlineStr">
        <is>
          <t>Study flow 1</t>
        </is>
      </c>
      <c r="C940" t="n">
        <v>1</v>
      </c>
      <c r="D940" t="inlineStr">
        <is>
          <t>Pre-study calibration</t>
        </is>
      </c>
      <c r="E940" t="n">
        <v>0.6</v>
      </c>
      <c r="F940" t="n">
        <v>98.90000000000001</v>
      </c>
      <c r="G940" t="n">
        <v>99.3</v>
      </c>
    </row>
    <row r="941">
      <c r="A941" t="inlineStr">
        <is>
          <t>RESP0193</t>
        </is>
      </c>
      <c r="B941" t="inlineStr">
        <is>
          <t>Study flow 1</t>
        </is>
      </c>
      <c r="C941" t="n">
        <v>2</v>
      </c>
      <c r="D941" t="inlineStr">
        <is>
          <t>Instructions1</t>
        </is>
      </c>
      <c r="E941" t="inlineStr">
        <is>
          <t>NA</t>
        </is>
      </c>
      <c r="F941" t="n">
        <v>98.7</v>
      </c>
      <c r="G941" t="n">
        <v>99.2</v>
      </c>
    </row>
    <row r="942">
      <c r="A942" t="inlineStr">
        <is>
          <t>RESP0193</t>
        </is>
      </c>
      <c r="B942" t="inlineStr">
        <is>
          <t>Study flow 1</t>
        </is>
      </c>
      <c r="C942" t="n">
        <v>3</v>
      </c>
      <c r="D942" t="inlineStr">
        <is>
          <t>foodwaste_narrative</t>
        </is>
      </c>
      <c r="E942" t="inlineStr">
        <is>
          <t>NA</t>
        </is>
      </c>
      <c r="F942" t="n">
        <v>97.5</v>
      </c>
      <c r="G942" t="n">
        <v>98.2</v>
      </c>
    </row>
    <row r="943">
      <c r="A943" t="inlineStr">
        <is>
          <t>RESP0193</t>
        </is>
      </c>
      <c r="B943" t="inlineStr">
        <is>
          <t>Study flow 1</t>
        </is>
      </c>
      <c r="C943" t="n">
        <v>4</v>
      </c>
      <c r="D943" t="inlineStr">
        <is>
          <t>foodwaste_visual</t>
        </is>
      </c>
      <c r="E943" t="inlineStr">
        <is>
          <t>NA</t>
        </is>
      </c>
      <c r="F943" t="n">
        <v>98.2</v>
      </c>
      <c r="G943" t="n">
        <v>98.40000000000001</v>
      </c>
    </row>
    <row r="944">
      <c r="A944" t="inlineStr">
        <is>
          <t>RESP0193</t>
        </is>
      </c>
      <c r="B944" t="inlineStr">
        <is>
          <t>Study flow 1</t>
        </is>
      </c>
      <c r="C944" t="n">
        <v>5</v>
      </c>
      <c r="D944" t="inlineStr">
        <is>
          <t>infographic</t>
        </is>
      </c>
      <c r="E944" t="inlineStr">
        <is>
          <t>NA</t>
        </is>
      </c>
      <c r="F944" t="n">
        <v>99.3</v>
      </c>
      <c r="G944" t="n">
        <v>99.09999999999999</v>
      </c>
    </row>
    <row r="945">
      <c r="A945" t="inlineStr">
        <is>
          <t>RESP0193</t>
        </is>
      </c>
      <c r="B945" t="inlineStr">
        <is>
          <t>Study flow 1</t>
        </is>
      </c>
      <c r="C945" t="n">
        <v>6</v>
      </c>
      <c r="D945" t="inlineStr">
        <is>
          <t>Questionnaire</t>
        </is>
      </c>
      <c r="E945" t="inlineStr">
        <is>
          <t>NA</t>
        </is>
      </c>
      <c r="F945" t="n">
        <v>99</v>
      </c>
      <c r="G945" t="n">
        <v>98.8</v>
      </c>
    </row>
    <row r="946">
      <c r="A946" t="inlineStr">
        <is>
          <t>RESP0193</t>
        </is>
      </c>
      <c r="B946" t="inlineStr">
        <is>
          <t>Study flow 1</t>
        </is>
      </c>
      <c r="C946" t="n">
        <v>7</v>
      </c>
      <c r="D946" t="inlineStr">
        <is>
          <t>Post-study calibration</t>
        </is>
      </c>
      <c r="E946" t="n">
        <v>0.88</v>
      </c>
      <c r="F946" t="n">
        <v>97.90000000000001</v>
      </c>
      <c r="G946" t="n">
        <v>99</v>
      </c>
    </row>
    <row r="947">
      <c r="A947" t="inlineStr">
        <is>
          <t>RESP0195</t>
        </is>
      </c>
      <c r="B947" t="inlineStr">
        <is>
          <t>Study flow 2</t>
        </is>
      </c>
      <c r="C947" t="n">
        <v>1</v>
      </c>
      <c r="D947" t="inlineStr">
        <is>
          <t>Pre-study calibration</t>
        </is>
      </c>
      <c r="E947" t="n">
        <v>0.97</v>
      </c>
      <c r="F947" t="n">
        <v>94</v>
      </c>
      <c r="G947" t="n">
        <v>97.5</v>
      </c>
    </row>
    <row r="948">
      <c r="A948" t="inlineStr">
        <is>
          <t>RESP0195</t>
        </is>
      </c>
      <c r="B948" t="inlineStr">
        <is>
          <t>Study flow 2</t>
        </is>
      </c>
      <c r="C948" t="n">
        <v>2</v>
      </c>
      <c r="D948" t="inlineStr">
        <is>
          <t>Instructions1</t>
        </is>
      </c>
      <c r="E948" t="inlineStr">
        <is>
          <t>NA</t>
        </is>
      </c>
      <c r="F948" t="n">
        <v>95.8</v>
      </c>
      <c r="G948" t="n">
        <v>98.2</v>
      </c>
    </row>
    <row r="949">
      <c r="A949" t="inlineStr">
        <is>
          <t>RESP0195</t>
        </is>
      </c>
      <c r="B949" t="inlineStr">
        <is>
          <t>Study flow 2</t>
        </is>
      </c>
      <c r="C949" t="n">
        <v>3</v>
      </c>
      <c r="D949" t="inlineStr">
        <is>
          <t>foodwaste_visual</t>
        </is>
      </c>
      <c r="E949" t="inlineStr">
        <is>
          <t>NA</t>
        </is>
      </c>
      <c r="F949" t="n">
        <v>95.59999999999999</v>
      </c>
      <c r="G949" t="n">
        <v>98.09999999999999</v>
      </c>
    </row>
    <row r="950">
      <c r="A950" t="inlineStr">
        <is>
          <t>RESP0195</t>
        </is>
      </c>
      <c r="B950" t="inlineStr">
        <is>
          <t>Study flow 2</t>
        </is>
      </c>
      <c r="C950" t="n">
        <v>4</v>
      </c>
      <c r="D950" t="inlineStr">
        <is>
          <t>foodwaste_narrative</t>
        </is>
      </c>
      <c r="E950" t="inlineStr">
        <is>
          <t>NA</t>
        </is>
      </c>
      <c r="F950" t="n">
        <v>97</v>
      </c>
      <c r="G950" t="n">
        <v>99.3</v>
      </c>
    </row>
    <row r="951">
      <c r="A951" t="inlineStr">
        <is>
          <t>RESP0195</t>
        </is>
      </c>
      <c r="B951" t="inlineStr">
        <is>
          <t>Study flow 2</t>
        </is>
      </c>
      <c r="C951" t="n">
        <v>5</v>
      </c>
      <c r="D951" t="inlineStr">
        <is>
          <t>infographic</t>
        </is>
      </c>
      <c r="E951" t="inlineStr">
        <is>
          <t>NA</t>
        </is>
      </c>
      <c r="F951" t="n">
        <v>96.09999999999999</v>
      </c>
      <c r="G951" t="n">
        <v>98.40000000000001</v>
      </c>
    </row>
    <row r="952">
      <c r="A952" t="inlineStr">
        <is>
          <t>RESP0195</t>
        </is>
      </c>
      <c r="B952" t="inlineStr">
        <is>
          <t>Study flow 2</t>
        </is>
      </c>
      <c r="C952" t="n">
        <v>6</v>
      </c>
      <c r="D952" t="inlineStr">
        <is>
          <t>Questionnaire</t>
        </is>
      </c>
      <c r="E952" t="inlineStr">
        <is>
          <t>NA</t>
        </is>
      </c>
      <c r="F952" t="n">
        <v>95.3</v>
      </c>
      <c r="G952" t="n">
        <v>98.40000000000001</v>
      </c>
    </row>
    <row r="953">
      <c r="A953" t="inlineStr">
        <is>
          <t>RESP0195</t>
        </is>
      </c>
      <c r="B953" t="inlineStr">
        <is>
          <t>Study flow 2</t>
        </is>
      </c>
      <c r="C953" t="n">
        <v>7</v>
      </c>
      <c r="D953" t="inlineStr">
        <is>
          <t>Post-study calibration</t>
        </is>
      </c>
      <c r="E953" t="n">
        <v>1.71</v>
      </c>
      <c r="F953" t="n">
        <v>97.2</v>
      </c>
      <c r="G953" t="n">
        <v>99</v>
      </c>
    </row>
    <row r="954">
      <c r="A954" t="inlineStr">
        <is>
          <t>RESP0196</t>
        </is>
      </c>
      <c r="B954" t="inlineStr">
        <is>
          <t>Study flow 2</t>
        </is>
      </c>
      <c r="C954" t="n">
        <v>1</v>
      </c>
      <c r="D954" t="inlineStr">
        <is>
          <t>Pre-study calibration</t>
        </is>
      </c>
      <c r="E954" t="n">
        <v>1.91</v>
      </c>
      <c r="F954" t="n">
        <v>95.59999999999999</v>
      </c>
      <c r="G954" t="n">
        <v>96.8</v>
      </c>
    </row>
    <row r="955">
      <c r="A955" t="inlineStr">
        <is>
          <t>RESP0196</t>
        </is>
      </c>
      <c r="B955" t="inlineStr">
        <is>
          <t>Study flow 2</t>
        </is>
      </c>
      <c r="C955" t="n">
        <v>2</v>
      </c>
      <c r="D955" t="inlineStr">
        <is>
          <t>Instructions1</t>
        </is>
      </c>
      <c r="E955" t="inlineStr">
        <is>
          <t>NA</t>
        </is>
      </c>
      <c r="F955" t="n">
        <v>98</v>
      </c>
      <c r="G955" t="n">
        <v>98.7</v>
      </c>
    </row>
    <row r="956">
      <c r="A956" t="inlineStr">
        <is>
          <t>RESP0196</t>
        </is>
      </c>
      <c r="B956" t="inlineStr">
        <is>
          <t>Study flow 2</t>
        </is>
      </c>
      <c r="C956" t="n">
        <v>3</v>
      </c>
      <c r="D956" t="inlineStr">
        <is>
          <t>foodwaste_visual</t>
        </is>
      </c>
      <c r="E956" t="inlineStr">
        <is>
          <t>NA</t>
        </is>
      </c>
      <c r="F956" t="n">
        <v>96.8</v>
      </c>
      <c r="G956" t="n">
        <v>97</v>
      </c>
    </row>
    <row r="957">
      <c r="A957" t="inlineStr">
        <is>
          <t>RESP0196</t>
        </is>
      </c>
      <c r="B957" t="inlineStr">
        <is>
          <t>Study flow 2</t>
        </is>
      </c>
      <c r="C957" t="n">
        <v>4</v>
      </c>
      <c r="D957" t="inlineStr">
        <is>
          <t>foodwaste_narrative</t>
        </is>
      </c>
      <c r="E957" t="inlineStr">
        <is>
          <t>NA</t>
        </is>
      </c>
      <c r="F957" t="n">
        <v>97.8</v>
      </c>
      <c r="G957" t="n">
        <v>98.09999999999999</v>
      </c>
    </row>
    <row r="958">
      <c r="A958" t="inlineStr">
        <is>
          <t>RESP0196</t>
        </is>
      </c>
      <c r="B958" t="inlineStr">
        <is>
          <t>Study flow 2</t>
        </is>
      </c>
      <c r="C958" t="n">
        <v>5</v>
      </c>
      <c r="D958" t="inlineStr">
        <is>
          <t>infographic</t>
        </is>
      </c>
      <c r="E958" t="inlineStr">
        <is>
          <t>NA</t>
        </is>
      </c>
      <c r="F958" t="n">
        <v>96.09999999999999</v>
      </c>
      <c r="G958" t="n">
        <v>97</v>
      </c>
    </row>
    <row r="959">
      <c r="A959" t="inlineStr">
        <is>
          <t>RESP0196</t>
        </is>
      </c>
      <c r="B959" t="inlineStr">
        <is>
          <t>Study flow 2</t>
        </is>
      </c>
      <c r="C959" t="n">
        <v>6</v>
      </c>
      <c r="D959" t="inlineStr">
        <is>
          <t>Questionnaire</t>
        </is>
      </c>
      <c r="E959" t="inlineStr">
        <is>
          <t>NA</t>
        </is>
      </c>
      <c r="F959" t="n">
        <v>93.59999999999999</v>
      </c>
      <c r="G959" t="n">
        <v>96.3</v>
      </c>
    </row>
    <row r="960">
      <c r="A960" t="inlineStr">
        <is>
          <t>RESP0196</t>
        </is>
      </c>
      <c r="B960" t="inlineStr">
        <is>
          <t>Study flow 2</t>
        </is>
      </c>
      <c r="C960" t="n">
        <v>7</v>
      </c>
      <c r="D960" t="inlineStr">
        <is>
          <t>Post-study calibration</t>
        </is>
      </c>
      <c r="E960" t="n">
        <v>2.6</v>
      </c>
      <c r="F960" t="n">
        <v>97.3</v>
      </c>
      <c r="G960" t="n">
        <v>98.5</v>
      </c>
    </row>
    <row r="961">
      <c r="A961" t="inlineStr">
        <is>
          <t>RESP0197</t>
        </is>
      </c>
      <c r="B961" t="inlineStr">
        <is>
          <t>Study flow 1</t>
        </is>
      </c>
      <c r="C961" t="n">
        <v>1</v>
      </c>
      <c r="D961" t="inlineStr">
        <is>
          <t>Pre-study calibration</t>
        </is>
      </c>
      <c r="E961" t="n">
        <v>1.09</v>
      </c>
      <c r="F961" t="n">
        <v>99.09999999999999</v>
      </c>
      <c r="G961" t="n">
        <v>96.90000000000001</v>
      </c>
    </row>
    <row r="962">
      <c r="A962" t="inlineStr">
        <is>
          <t>RESP0197</t>
        </is>
      </c>
      <c r="B962" t="inlineStr">
        <is>
          <t>Study flow 1</t>
        </is>
      </c>
      <c r="C962" t="n">
        <v>2</v>
      </c>
      <c r="D962" t="inlineStr">
        <is>
          <t>Instructions1</t>
        </is>
      </c>
      <c r="E962" t="inlineStr">
        <is>
          <t>NA</t>
        </is>
      </c>
      <c r="F962" t="n">
        <v>99.5</v>
      </c>
      <c r="G962" t="n">
        <v>96.8</v>
      </c>
    </row>
    <row r="963">
      <c r="A963" t="inlineStr">
        <is>
          <t>RESP0197</t>
        </is>
      </c>
      <c r="B963" t="inlineStr">
        <is>
          <t>Study flow 1</t>
        </is>
      </c>
      <c r="C963" t="n">
        <v>3</v>
      </c>
      <c r="D963" t="inlineStr">
        <is>
          <t>foodwaste_narrative</t>
        </is>
      </c>
      <c r="E963" t="inlineStr">
        <is>
          <t>NA</t>
        </is>
      </c>
      <c r="F963" t="n">
        <v>99.59999999999999</v>
      </c>
      <c r="G963" t="n">
        <v>94</v>
      </c>
    </row>
    <row r="964">
      <c r="A964" t="inlineStr">
        <is>
          <t>RESP0197</t>
        </is>
      </c>
      <c r="B964" t="inlineStr">
        <is>
          <t>Study flow 1</t>
        </is>
      </c>
      <c r="C964" t="n">
        <v>4</v>
      </c>
      <c r="D964" t="inlineStr">
        <is>
          <t>foodwaste_visual</t>
        </is>
      </c>
      <c r="E964" t="inlineStr">
        <is>
          <t>NA</t>
        </is>
      </c>
      <c r="F964" t="n">
        <v>98.3</v>
      </c>
      <c r="G964" t="n">
        <v>97.8</v>
      </c>
    </row>
    <row r="965">
      <c r="A965" t="inlineStr">
        <is>
          <t>RESP0197</t>
        </is>
      </c>
      <c r="B965" t="inlineStr">
        <is>
          <t>Study flow 1</t>
        </is>
      </c>
      <c r="C965" t="n">
        <v>5</v>
      </c>
      <c r="D965" t="inlineStr">
        <is>
          <t>infographic</t>
        </is>
      </c>
      <c r="E965" t="inlineStr">
        <is>
          <t>NA</t>
        </is>
      </c>
      <c r="F965" t="n">
        <v>98.2</v>
      </c>
      <c r="G965" t="n">
        <v>98.3</v>
      </c>
    </row>
    <row r="966">
      <c r="A966" t="inlineStr">
        <is>
          <t>RESP0197</t>
        </is>
      </c>
      <c r="B966" t="inlineStr">
        <is>
          <t>Study flow 1</t>
        </is>
      </c>
      <c r="C966" t="n">
        <v>6</v>
      </c>
      <c r="D966" t="inlineStr">
        <is>
          <t>Questionnaire</t>
        </is>
      </c>
      <c r="E966" t="inlineStr">
        <is>
          <t>NA</t>
        </is>
      </c>
      <c r="F966" t="n">
        <v>98.90000000000001</v>
      </c>
      <c r="G966" t="n">
        <v>97</v>
      </c>
    </row>
    <row r="967">
      <c r="A967" t="inlineStr">
        <is>
          <t>RESP0197</t>
        </is>
      </c>
      <c r="B967" t="inlineStr">
        <is>
          <t>Study flow 1</t>
        </is>
      </c>
      <c r="C967" t="n">
        <v>7</v>
      </c>
      <c r="D967" t="inlineStr">
        <is>
          <t>Post-study calibration</t>
        </is>
      </c>
      <c r="E967" t="n">
        <v>1.21</v>
      </c>
      <c r="F967" t="n">
        <v>98.90000000000001</v>
      </c>
      <c r="G967" t="n">
        <v>96.7</v>
      </c>
    </row>
    <row r="968">
      <c r="A968" t="inlineStr">
        <is>
          <t>RESP0198</t>
        </is>
      </c>
      <c r="B968" t="inlineStr">
        <is>
          <t>Study flow 2</t>
        </is>
      </c>
      <c r="C968" t="n">
        <v>1</v>
      </c>
      <c r="D968" t="inlineStr">
        <is>
          <t>Pre-study calibration</t>
        </is>
      </c>
      <c r="E968" t="n">
        <v>1.84</v>
      </c>
      <c r="F968" t="n">
        <v>98.5</v>
      </c>
      <c r="G968" t="n">
        <v>99.7</v>
      </c>
    </row>
    <row r="969">
      <c r="A969" t="inlineStr">
        <is>
          <t>RESP0198</t>
        </is>
      </c>
      <c r="B969" t="inlineStr">
        <is>
          <t>Study flow 2</t>
        </is>
      </c>
      <c r="C969" t="n">
        <v>2</v>
      </c>
      <c r="D969" t="inlineStr">
        <is>
          <t>Instructions1</t>
        </is>
      </c>
      <c r="E969" t="inlineStr">
        <is>
          <t>NA</t>
        </is>
      </c>
      <c r="F969" t="n">
        <v>96.90000000000001</v>
      </c>
      <c r="G969" t="n">
        <v>99.7</v>
      </c>
    </row>
    <row r="970">
      <c r="A970" t="inlineStr">
        <is>
          <t>RESP0198</t>
        </is>
      </c>
      <c r="B970" t="inlineStr">
        <is>
          <t>Study flow 2</t>
        </is>
      </c>
      <c r="C970" t="n">
        <v>3</v>
      </c>
      <c r="D970" t="inlineStr">
        <is>
          <t>foodwaste_visual</t>
        </is>
      </c>
      <c r="E970" t="inlineStr">
        <is>
          <t>NA</t>
        </is>
      </c>
      <c r="F970" t="n">
        <v>98</v>
      </c>
      <c r="G970" t="n">
        <v>99.59999999999999</v>
      </c>
    </row>
    <row r="971">
      <c r="A971" t="inlineStr">
        <is>
          <t>RESP0198</t>
        </is>
      </c>
      <c r="B971" t="inlineStr">
        <is>
          <t>Study flow 2</t>
        </is>
      </c>
      <c r="C971" t="n">
        <v>4</v>
      </c>
      <c r="D971" t="inlineStr">
        <is>
          <t>foodwaste_narrative</t>
        </is>
      </c>
      <c r="E971" t="inlineStr">
        <is>
          <t>NA</t>
        </is>
      </c>
      <c r="F971" t="n">
        <v>98.8</v>
      </c>
      <c r="G971" t="n">
        <v>99.40000000000001</v>
      </c>
    </row>
    <row r="972">
      <c r="A972" t="inlineStr">
        <is>
          <t>RESP0198</t>
        </is>
      </c>
      <c r="B972" t="inlineStr">
        <is>
          <t>Study flow 2</t>
        </is>
      </c>
      <c r="C972" t="n">
        <v>5</v>
      </c>
      <c r="D972" t="inlineStr">
        <is>
          <t>infographic</t>
        </is>
      </c>
      <c r="E972" t="inlineStr">
        <is>
          <t>NA</t>
        </is>
      </c>
      <c r="F972" t="n">
        <v>98.90000000000001</v>
      </c>
      <c r="G972" t="n">
        <v>99.2</v>
      </c>
    </row>
    <row r="973">
      <c r="A973" t="inlineStr">
        <is>
          <t>RESP0198</t>
        </is>
      </c>
      <c r="B973" t="inlineStr">
        <is>
          <t>Study flow 2</t>
        </is>
      </c>
      <c r="C973" t="n">
        <v>6</v>
      </c>
      <c r="D973" t="inlineStr">
        <is>
          <t>Questionnaire</t>
        </is>
      </c>
      <c r="E973" t="inlineStr">
        <is>
          <t>NA</t>
        </is>
      </c>
      <c r="F973" t="n">
        <v>97.90000000000001</v>
      </c>
      <c r="G973" t="n">
        <v>99.7</v>
      </c>
    </row>
    <row r="974">
      <c r="A974" t="inlineStr">
        <is>
          <t>RESP0198</t>
        </is>
      </c>
      <c r="B974" t="inlineStr">
        <is>
          <t>Study flow 2</t>
        </is>
      </c>
      <c r="C974" t="n">
        <v>7</v>
      </c>
      <c r="D974" t="inlineStr">
        <is>
          <t>Post-study calibration</t>
        </is>
      </c>
      <c r="E974" t="n">
        <v>2.81</v>
      </c>
      <c r="F974" t="n">
        <v>99.09999999999999</v>
      </c>
      <c r="G974" t="n">
        <v>99.40000000000001</v>
      </c>
    </row>
    <row r="975">
      <c r="A975" t="inlineStr">
        <is>
          <t>RESP0199</t>
        </is>
      </c>
      <c r="B975" t="inlineStr">
        <is>
          <t>Study flow 2</t>
        </is>
      </c>
      <c r="C975" t="n">
        <v>1</v>
      </c>
      <c r="D975" t="inlineStr">
        <is>
          <t>Pre-study calibration</t>
        </is>
      </c>
      <c r="E975" t="n">
        <v>0.9399999999999999</v>
      </c>
      <c r="F975" t="n">
        <v>98.5</v>
      </c>
      <c r="G975" t="n">
        <v>99.7</v>
      </c>
    </row>
    <row r="976">
      <c r="A976" t="inlineStr">
        <is>
          <t>RESP0199</t>
        </is>
      </c>
      <c r="B976" t="inlineStr">
        <is>
          <t>Study flow 2</t>
        </is>
      </c>
      <c r="C976" t="n">
        <v>2</v>
      </c>
      <c r="D976" t="inlineStr">
        <is>
          <t>Instructions1</t>
        </is>
      </c>
      <c r="E976" t="inlineStr">
        <is>
          <t>NA</t>
        </is>
      </c>
      <c r="F976" t="n">
        <v>98.2</v>
      </c>
      <c r="G976" t="n">
        <v>99.59999999999999</v>
      </c>
    </row>
    <row r="977">
      <c r="A977" t="inlineStr">
        <is>
          <t>RESP0199</t>
        </is>
      </c>
      <c r="B977" t="inlineStr">
        <is>
          <t>Study flow 2</t>
        </is>
      </c>
      <c r="C977" t="n">
        <v>3</v>
      </c>
      <c r="D977" t="inlineStr">
        <is>
          <t>foodwaste_visual</t>
        </is>
      </c>
      <c r="E977" t="inlineStr">
        <is>
          <t>NA</t>
        </is>
      </c>
      <c r="F977" t="n">
        <v>98.40000000000001</v>
      </c>
      <c r="G977" t="n">
        <v>99.5</v>
      </c>
    </row>
    <row r="978">
      <c r="A978" t="inlineStr">
        <is>
          <t>RESP0199</t>
        </is>
      </c>
      <c r="B978" t="inlineStr">
        <is>
          <t>Study flow 2</t>
        </is>
      </c>
      <c r="C978" t="n">
        <v>4</v>
      </c>
      <c r="D978" t="inlineStr">
        <is>
          <t>foodwaste_narrative</t>
        </is>
      </c>
      <c r="E978" t="inlineStr">
        <is>
          <t>NA</t>
        </is>
      </c>
      <c r="F978" t="n">
        <v>98.3</v>
      </c>
      <c r="G978" t="n">
        <v>99.7</v>
      </c>
    </row>
    <row r="979">
      <c r="A979" t="inlineStr">
        <is>
          <t>RESP0199</t>
        </is>
      </c>
      <c r="B979" t="inlineStr">
        <is>
          <t>Study flow 2</t>
        </is>
      </c>
      <c r="C979" t="n">
        <v>5</v>
      </c>
      <c r="D979" t="inlineStr">
        <is>
          <t>infographic</t>
        </is>
      </c>
      <c r="E979" t="inlineStr">
        <is>
          <t>NA</t>
        </is>
      </c>
      <c r="F979" t="n">
        <v>99.3</v>
      </c>
      <c r="G979" t="n">
        <v>99.59999999999999</v>
      </c>
    </row>
    <row r="980">
      <c r="A980" t="inlineStr">
        <is>
          <t>RESP0199</t>
        </is>
      </c>
      <c r="B980" t="inlineStr">
        <is>
          <t>Study flow 2</t>
        </is>
      </c>
      <c r="C980" t="n">
        <v>6</v>
      </c>
      <c r="D980" t="inlineStr">
        <is>
          <t>Questionnaire</t>
        </is>
      </c>
      <c r="E980" t="inlineStr">
        <is>
          <t>NA</t>
        </is>
      </c>
      <c r="F980" t="n">
        <v>98.7</v>
      </c>
      <c r="G980" t="n">
        <v>99.7</v>
      </c>
    </row>
    <row r="981">
      <c r="A981" t="inlineStr">
        <is>
          <t>RESP0199</t>
        </is>
      </c>
      <c r="B981" t="inlineStr">
        <is>
          <t>Study flow 2</t>
        </is>
      </c>
      <c r="C981" t="n">
        <v>7</v>
      </c>
      <c r="D981" t="inlineStr">
        <is>
          <t>Post-study calibration</t>
        </is>
      </c>
      <c r="E981" t="n">
        <v>1.46</v>
      </c>
      <c r="F981" t="n">
        <v>96.59999999999999</v>
      </c>
      <c r="G981" t="n">
        <v>99.7</v>
      </c>
    </row>
    <row r="982">
      <c r="A982" t="inlineStr">
        <is>
          <t>RESP0201</t>
        </is>
      </c>
      <c r="B982" t="inlineStr">
        <is>
          <t>Study flow 1</t>
        </is>
      </c>
      <c r="C982" t="n">
        <v>1</v>
      </c>
      <c r="D982" t="inlineStr">
        <is>
          <t>Pre-study calibration</t>
        </is>
      </c>
      <c r="E982" t="n">
        <v>1.79</v>
      </c>
      <c r="F982" t="n">
        <v>94.40000000000001</v>
      </c>
      <c r="G982" t="n">
        <v>80.2</v>
      </c>
    </row>
    <row r="983">
      <c r="A983" t="inlineStr">
        <is>
          <t>RESP0201</t>
        </is>
      </c>
      <c r="B983" t="inlineStr">
        <is>
          <t>Study flow 1</t>
        </is>
      </c>
      <c r="C983" t="n">
        <v>2</v>
      </c>
      <c r="D983" t="inlineStr">
        <is>
          <t>Instructions1</t>
        </is>
      </c>
      <c r="E983" t="inlineStr">
        <is>
          <t>NA</t>
        </is>
      </c>
      <c r="F983" t="n">
        <v>94.90000000000001</v>
      </c>
      <c r="G983" t="n">
        <v>82.2</v>
      </c>
    </row>
    <row r="984">
      <c r="A984" t="inlineStr">
        <is>
          <t>RESP0201</t>
        </is>
      </c>
      <c r="B984" t="inlineStr">
        <is>
          <t>Study flow 1</t>
        </is>
      </c>
      <c r="C984" t="n">
        <v>3</v>
      </c>
      <c r="D984" t="inlineStr">
        <is>
          <t>foodwaste_narrative</t>
        </is>
      </c>
      <c r="E984" t="inlineStr">
        <is>
          <t>NA</t>
        </is>
      </c>
      <c r="F984" t="n">
        <v>94.90000000000001</v>
      </c>
      <c r="G984" t="n">
        <v>84.40000000000001</v>
      </c>
    </row>
    <row r="985">
      <c r="A985" t="inlineStr">
        <is>
          <t>RESP0201</t>
        </is>
      </c>
      <c r="B985" t="inlineStr">
        <is>
          <t>Study flow 1</t>
        </is>
      </c>
      <c r="C985" t="n">
        <v>4</v>
      </c>
      <c r="D985" t="inlineStr">
        <is>
          <t>foodwaste_visual</t>
        </is>
      </c>
      <c r="E985" t="inlineStr">
        <is>
          <t>NA</t>
        </is>
      </c>
      <c r="F985" t="n">
        <v>96</v>
      </c>
      <c r="G985" t="n">
        <v>81.59999999999999</v>
      </c>
    </row>
    <row r="986">
      <c r="A986" t="inlineStr">
        <is>
          <t>RESP0201</t>
        </is>
      </c>
      <c r="B986" t="inlineStr">
        <is>
          <t>Study flow 1</t>
        </is>
      </c>
      <c r="C986" t="n">
        <v>5</v>
      </c>
      <c r="D986" t="inlineStr">
        <is>
          <t>infographic</t>
        </is>
      </c>
      <c r="E986" t="inlineStr">
        <is>
          <t>NA</t>
        </is>
      </c>
      <c r="F986" t="n">
        <v>95.09999999999999</v>
      </c>
      <c r="G986" t="n">
        <v>80.40000000000001</v>
      </c>
    </row>
    <row r="987">
      <c r="A987" t="inlineStr">
        <is>
          <t>RESP0201</t>
        </is>
      </c>
      <c r="B987" t="inlineStr">
        <is>
          <t>Study flow 1</t>
        </is>
      </c>
      <c r="C987" t="n">
        <v>6</v>
      </c>
      <c r="D987" t="inlineStr">
        <is>
          <t>Questionnaire</t>
        </is>
      </c>
      <c r="E987" t="inlineStr">
        <is>
          <t>NA</t>
        </is>
      </c>
      <c r="F987" t="n">
        <v>91.8</v>
      </c>
      <c r="G987" t="n">
        <v>79.59999999999999</v>
      </c>
    </row>
    <row r="988">
      <c r="A988" t="inlineStr">
        <is>
          <t>RESP0201</t>
        </is>
      </c>
      <c r="B988" t="inlineStr">
        <is>
          <t>Study flow 1</t>
        </is>
      </c>
      <c r="C988" t="n">
        <v>7</v>
      </c>
      <c r="D988" t="inlineStr">
        <is>
          <t>Post-study calibration</t>
        </is>
      </c>
      <c r="E988" t="n">
        <v>1.97</v>
      </c>
      <c r="F988" t="n">
        <v>95.8</v>
      </c>
      <c r="G988" t="n">
        <v>89.7</v>
      </c>
    </row>
    <row r="989">
      <c r="A989" t="inlineStr">
        <is>
          <t>RESP0202</t>
        </is>
      </c>
      <c r="B989" t="inlineStr">
        <is>
          <t>Study flow 2</t>
        </is>
      </c>
      <c r="C989" t="n">
        <v>1</v>
      </c>
      <c r="D989" t="inlineStr">
        <is>
          <t>Pre-study calibration</t>
        </is>
      </c>
      <c r="E989" t="n">
        <v>3.79</v>
      </c>
      <c r="F989" t="n">
        <v>79.90000000000001</v>
      </c>
      <c r="G989" t="n">
        <v>82.7</v>
      </c>
    </row>
    <row r="990">
      <c r="A990" t="inlineStr">
        <is>
          <t>RESP0202</t>
        </is>
      </c>
      <c r="B990" t="inlineStr">
        <is>
          <t>Study flow 2</t>
        </is>
      </c>
      <c r="C990" t="n">
        <v>2</v>
      </c>
      <c r="D990" t="inlineStr">
        <is>
          <t>Instructions1</t>
        </is>
      </c>
      <c r="E990" t="inlineStr">
        <is>
          <t>NA</t>
        </is>
      </c>
      <c r="F990" t="n">
        <v>86.7</v>
      </c>
      <c r="G990" t="n">
        <v>77.3</v>
      </c>
    </row>
    <row r="991">
      <c r="A991" t="inlineStr">
        <is>
          <t>RESP0202</t>
        </is>
      </c>
      <c r="B991" t="inlineStr">
        <is>
          <t>Study flow 2</t>
        </is>
      </c>
      <c r="C991" t="n">
        <v>3</v>
      </c>
      <c r="D991" t="inlineStr">
        <is>
          <t>foodwaste_visual</t>
        </is>
      </c>
      <c r="E991" t="inlineStr">
        <is>
          <t>NA</t>
        </is>
      </c>
      <c r="F991" t="n">
        <v>84</v>
      </c>
      <c r="G991" t="n">
        <v>73.09999999999999</v>
      </c>
    </row>
    <row r="992">
      <c r="A992" t="inlineStr">
        <is>
          <t>RESP0202</t>
        </is>
      </c>
      <c r="B992" t="inlineStr">
        <is>
          <t>Study flow 2</t>
        </is>
      </c>
      <c r="C992" t="n">
        <v>4</v>
      </c>
      <c r="D992" t="inlineStr">
        <is>
          <t>foodwaste_narrative</t>
        </is>
      </c>
      <c r="E992" t="inlineStr">
        <is>
          <t>NA</t>
        </is>
      </c>
      <c r="F992" t="n">
        <v>81.2</v>
      </c>
      <c r="G992" t="n">
        <v>81.2</v>
      </c>
    </row>
    <row r="993">
      <c r="A993" t="inlineStr">
        <is>
          <t>RESP0202</t>
        </is>
      </c>
      <c r="B993" t="inlineStr">
        <is>
          <t>Study flow 2</t>
        </is>
      </c>
      <c r="C993" t="n">
        <v>5</v>
      </c>
      <c r="D993" t="inlineStr">
        <is>
          <t>infographic</t>
        </is>
      </c>
      <c r="E993" t="inlineStr">
        <is>
          <t>NA</t>
        </is>
      </c>
      <c r="F993" t="n">
        <v>76.3</v>
      </c>
      <c r="G993" t="n">
        <v>81.3</v>
      </c>
    </row>
    <row r="994">
      <c r="A994" t="inlineStr">
        <is>
          <t>RESP0202</t>
        </is>
      </c>
      <c r="B994" t="inlineStr">
        <is>
          <t>Study flow 2</t>
        </is>
      </c>
      <c r="C994" t="n">
        <v>6</v>
      </c>
      <c r="D994" t="inlineStr">
        <is>
          <t>Questionnaire</t>
        </is>
      </c>
      <c r="E994" t="inlineStr">
        <is>
          <t>NA</t>
        </is>
      </c>
      <c r="F994" t="n">
        <v>75.8</v>
      </c>
      <c r="G994" t="n">
        <v>74.40000000000001</v>
      </c>
    </row>
    <row r="995">
      <c r="A995" t="inlineStr">
        <is>
          <t>RESP0202</t>
        </is>
      </c>
      <c r="B995" t="inlineStr">
        <is>
          <t>Study flow 2</t>
        </is>
      </c>
      <c r="C995" t="n">
        <v>7</v>
      </c>
      <c r="D995" t="inlineStr">
        <is>
          <t>Post-study calibration</t>
        </is>
      </c>
      <c r="E995" t="n">
        <v>4.95</v>
      </c>
      <c r="F995" t="n">
        <v>78.40000000000001</v>
      </c>
      <c r="G995" t="n">
        <v>87.5</v>
      </c>
    </row>
    <row r="996">
      <c r="A996" t="inlineStr">
        <is>
          <t>RESP0203</t>
        </is>
      </c>
      <c r="B996" t="inlineStr">
        <is>
          <t>Study flow 2</t>
        </is>
      </c>
      <c r="C996" t="n">
        <v>1</v>
      </c>
      <c r="D996" t="inlineStr">
        <is>
          <t>Pre-study calibration</t>
        </is>
      </c>
      <c r="E996" t="n">
        <v>1.95</v>
      </c>
      <c r="F996" t="n">
        <v>98</v>
      </c>
      <c r="G996" t="n">
        <v>93</v>
      </c>
    </row>
    <row r="997">
      <c r="A997" t="inlineStr">
        <is>
          <t>RESP0203</t>
        </is>
      </c>
      <c r="B997" t="inlineStr">
        <is>
          <t>Study flow 2</t>
        </is>
      </c>
      <c r="C997" t="n">
        <v>2</v>
      </c>
      <c r="D997" t="inlineStr">
        <is>
          <t>Instructions1</t>
        </is>
      </c>
      <c r="E997" t="inlineStr">
        <is>
          <t>NA</t>
        </is>
      </c>
      <c r="F997" t="n">
        <v>96.8</v>
      </c>
      <c r="G997" t="n">
        <v>88.8</v>
      </c>
    </row>
    <row r="998">
      <c r="A998" t="inlineStr">
        <is>
          <t>RESP0203</t>
        </is>
      </c>
      <c r="B998" t="inlineStr">
        <is>
          <t>Study flow 2</t>
        </is>
      </c>
      <c r="C998" t="n">
        <v>3</v>
      </c>
      <c r="D998" t="inlineStr">
        <is>
          <t>foodwaste_visual</t>
        </is>
      </c>
      <c r="E998" t="inlineStr">
        <is>
          <t>NA</t>
        </is>
      </c>
      <c r="F998" t="n">
        <v>98</v>
      </c>
      <c r="G998" t="n">
        <v>84.8</v>
      </c>
    </row>
    <row r="999">
      <c r="A999" t="inlineStr">
        <is>
          <t>RESP0203</t>
        </is>
      </c>
      <c r="B999" t="inlineStr">
        <is>
          <t>Study flow 2</t>
        </is>
      </c>
      <c r="C999" t="n">
        <v>4</v>
      </c>
      <c r="D999" t="inlineStr">
        <is>
          <t>foodwaste_narrative</t>
        </is>
      </c>
      <c r="E999" t="inlineStr">
        <is>
          <t>NA</t>
        </is>
      </c>
      <c r="F999" t="n">
        <v>96.90000000000001</v>
      </c>
      <c r="G999" t="n">
        <v>87.40000000000001</v>
      </c>
    </row>
    <row r="1000">
      <c r="A1000" t="inlineStr">
        <is>
          <t>RESP0203</t>
        </is>
      </c>
      <c r="B1000" t="inlineStr">
        <is>
          <t>Study flow 2</t>
        </is>
      </c>
      <c r="C1000" t="n">
        <v>5</v>
      </c>
      <c r="D1000" t="inlineStr">
        <is>
          <t>infographic</t>
        </is>
      </c>
      <c r="E1000" t="inlineStr">
        <is>
          <t>NA</t>
        </is>
      </c>
      <c r="F1000" t="n">
        <v>98.40000000000001</v>
      </c>
      <c r="G1000" t="n">
        <v>91</v>
      </c>
    </row>
    <row r="1001">
      <c r="A1001" t="inlineStr">
        <is>
          <t>RESP0203</t>
        </is>
      </c>
      <c r="B1001" t="inlineStr">
        <is>
          <t>Study flow 2</t>
        </is>
      </c>
      <c r="C1001" t="n">
        <v>6</v>
      </c>
      <c r="D1001" t="inlineStr">
        <is>
          <t>Questionnaire</t>
        </is>
      </c>
      <c r="E1001" t="inlineStr">
        <is>
          <t>NA</t>
        </is>
      </c>
      <c r="F1001" t="n">
        <v>99.2</v>
      </c>
      <c r="G1001" t="n">
        <v>93.90000000000001</v>
      </c>
    </row>
    <row r="1002">
      <c r="A1002" t="inlineStr">
        <is>
          <t>RESP0203</t>
        </is>
      </c>
      <c r="B1002" t="inlineStr">
        <is>
          <t>Study flow 2</t>
        </is>
      </c>
      <c r="C1002" t="n">
        <v>7</v>
      </c>
      <c r="D1002" t="inlineStr">
        <is>
          <t>Post-study calibration</t>
        </is>
      </c>
      <c r="E1002" t="n">
        <v>2.47</v>
      </c>
      <c r="F1002" t="n">
        <v>98.5</v>
      </c>
      <c r="G1002" t="n">
        <v>88.40000000000001</v>
      </c>
    </row>
    <row r="1003">
      <c r="A1003" t="inlineStr">
        <is>
          <t>RESP0204</t>
        </is>
      </c>
      <c r="B1003" t="inlineStr">
        <is>
          <t>Study flow 1</t>
        </is>
      </c>
      <c r="C1003" t="n">
        <v>1</v>
      </c>
      <c r="D1003" t="inlineStr">
        <is>
          <t>Pre-study calibration</t>
        </is>
      </c>
      <c r="E1003" t="n">
        <v>0.84</v>
      </c>
      <c r="F1003" t="n">
        <v>99.7</v>
      </c>
      <c r="G1003" t="n">
        <v>98.7</v>
      </c>
    </row>
    <row r="1004">
      <c r="A1004" t="inlineStr">
        <is>
          <t>RESP0204</t>
        </is>
      </c>
      <c r="B1004" t="inlineStr">
        <is>
          <t>Study flow 1</t>
        </is>
      </c>
      <c r="C1004" t="n">
        <v>2</v>
      </c>
      <c r="D1004" t="inlineStr">
        <is>
          <t>Instructions1</t>
        </is>
      </c>
      <c r="E1004" t="inlineStr">
        <is>
          <t>NA</t>
        </is>
      </c>
      <c r="F1004" t="n">
        <v>99.2</v>
      </c>
      <c r="G1004" t="n">
        <v>98.5</v>
      </c>
    </row>
    <row r="1005">
      <c r="A1005" t="inlineStr">
        <is>
          <t>RESP0204</t>
        </is>
      </c>
      <c r="B1005" t="inlineStr">
        <is>
          <t>Study flow 1</t>
        </is>
      </c>
      <c r="C1005" t="n">
        <v>3</v>
      </c>
      <c r="D1005" t="inlineStr">
        <is>
          <t>foodwaste_narrative</t>
        </is>
      </c>
      <c r="E1005" t="inlineStr">
        <is>
          <t>NA</t>
        </is>
      </c>
      <c r="F1005" t="n">
        <v>99.59999999999999</v>
      </c>
      <c r="G1005" t="n">
        <v>99.09999999999999</v>
      </c>
    </row>
    <row r="1006">
      <c r="A1006" t="inlineStr">
        <is>
          <t>RESP0204</t>
        </is>
      </c>
      <c r="B1006" t="inlineStr">
        <is>
          <t>Study flow 1</t>
        </is>
      </c>
      <c r="C1006" t="n">
        <v>4</v>
      </c>
      <c r="D1006" t="inlineStr">
        <is>
          <t>foodwaste_visual</t>
        </is>
      </c>
      <c r="E1006" t="inlineStr">
        <is>
          <t>NA</t>
        </is>
      </c>
      <c r="F1006" t="n">
        <v>99.09999999999999</v>
      </c>
      <c r="G1006" t="n">
        <v>98.90000000000001</v>
      </c>
    </row>
    <row r="1007">
      <c r="A1007" t="inlineStr">
        <is>
          <t>RESP0204</t>
        </is>
      </c>
      <c r="B1007" t="inlineStr">
        <is>
          <t>Study flow 1</t>
        </is>
      </c>
      <c r="C1007" t="n">
        <v>5</v>
      </c>
      <c r="D1007" t="inlineStr">
        <is>
          <t>infographic</t>
        </is>
      </c>
      <c r="E1007" t="inlineStr">
        <is>
          <t>NA</t>
        </is>
      </c>
      <c r="F1007" t="n">
        <v>99.5</v>
      </c>
      <c r="G1007" t="n">
        <v>98.59999999999999</v>
      </c>
    </row>
    <row r="1008">
      <c r="A1008" t="inlineStr">
        <is>
          <t>RESP0204</t>
        </is>
      </c>
      <c r="B1008" t="inlineStr">
        <is>
          <t>Study flow 1</t>
        </is>
      </c>
      <c r="C1008" t="n">
        <v>6</v>
      </c>
      <c r="D1008" t="inlineStr">
        <is>
          <t>Questionnaire</t>
        </is>
      </c>
      <c r="E1008" t="inlineStr">
        <is>
          <t>NA</t>
        </is>
      </c>
      <c r="F1008" t="n">
        <v>98.40000000000001</v>
      </c>
      <c r="G1008" t="n">
        <v>98.90000000000001</v>
      </c>
    </row>
    <row r="1009">
      <c r="A1009" t="inlineStr">
        <is>
          <t>RESP0204</t>
        </is>
      </c>
      <c r="B1009" t="inlineStr">
        <is>
          <t>Study flow 1</t>
        </is>
      </c>
      <c r="C1009" t="n">
        <v>7</v>
      </c>
      <c r="D1009" t="inlineStr">
        <is>
          <t>Post-study calibration</t>
        </is>
      </c>
      <c r="E1009" t="n">
        <v>1.64</v>
      </c>
      <c r="F1009" t="n">
        <v>98.90000000000001</v>
      </c>
      <c r="G1009" t="n">
        <v>98.8</v>
      </c>
    </row>
    <row r="1010">
      <c r="A1010" t="inlineStr">
        <is>
          <t>RESP0206</t>
        </is>
      </c>
      <c r="B1010" t="inlineStr">
        <is>
          <t>Study flow 2</t>
        </is>
      </c>
      <c r="C1010" t="n">
        <v>1</v>
      </c>
      <c r="D1010" t="inlineStr">
        <is>
          <t>Pre-study calibration</t>
        </is>
      </c>
      <c r="E1010" t="n">
        <v>0.55</v>
      </c>
      <c r="F1010" t="n">
        <v>98.2</v>
      </c>
      <c r="G1010" t="n">
        <v>94.90000000000001</v>
      </c>
    </row>
    <row r="1011">
      <c r="A1011" t="inlineStr">
        <is>
          <t>RESP0206</t>
        </is>
      </c>
      <c r="B1011" t="inlineStr">
        <is>
          <t>Study flow 2</t>
        </is>
      </c>
      <c r="C1011" t="n">
        <v>2</v>
      </c>
      <c r="D1011" t="inlineStr">
        <is>
          <t>Instructions1</t>
        </is>
      </c>
      <c r="E1011" t="inlineStr">
        <is>
          <t>NA</t>
        </is>
      </c>
      <c r="F1011" t="n">
        <v>98.90000000000001</v>
      </c>
      <c r="G1011" t="n">
        <v>97.8</v>
      </c>
    </row>
    <row r="1012">
      <c r="A1012" t="inlineStr">
        <is>
          <t>RESP0206</t>
        </is>
      </c>
      <c r="B1012" t="inlineStr">
        <is>
          <t>Study flow 2</t>
        </is>
      </c>
      <c r="C1012" t="n">
        <v>3</v>
      </c>
      <c r="D1012" t="inlineStr">
        <is>
          <t>foodwaste_visual</t>
        </is>
      </c>
      <c r="E1012" t="inlineStr">
        <is>
          <t>NA</t>
        </is>
      </c>
      <c r="F1012" t="n">
        <v>98.8</v>
      </c>
      <c r="G1012" t="n">
        <v>97.40000000000001</v>
      </c>
    </row>
    <row r="1013">
      <c r="A1013" t="inlineStr">
        <is>
          <t>RESP0206</t>
        </is>
      </c>
      <c r="B1013" t="inlineStr">
        <is>
          <t>Study flow 2</t>
        </is>
      </c>
      <c r="C1013" t="n">
        <v>4</v>
      </c>
      <c r="D1013" t="inlineStr">
        <is>
          <t>foodwaste_narrative</t>
        </is>
      </c>
      <c r="E1013" t="inlineStr">
        <is>
          <t>NA</t>
        </is>
      </c>
      <c r="F1013" t="n">
        <v>99</v>
      </c>
      <c r="G1013" t="n">
        <v>98.59999999999999</v>
      </c>
    </row>
    <row r="1014">
      <c r="A1014" t="inlineStr">
        <is>
          <t>RESP0206</t>
        </is>
      </c>
      <c r="B1014" t="inlineStr">
        <is>
          <t>Study flow 2</t>
        </is>
      </c>
      <c r="C1014" t="n">
        <v>5</v>
      </c>
      <c r="D1014" t="inlineStr">
        <is>
          <t>infographic</t>
        </is>
      </c>
      <c r="E1014" t="inlineStr">
        <is>
          <t>NA</t>
        </is>
      </c>
      <c r="F1014" t="n">
        <v>98.5</v>
      </c>
      <c r="G1014" t="n">
        <v>98.09999999999999</v>
      </c>
    </row>
    <row r="1015">
      <c r="A1015" t="inlineStr">
        <is>
          <t>RESP0206</t>
        </is>
      </c>
      <c r="B1015" t="inlineStr">
        <is>
          <t>Study flow 2</t>
        </is>
      </c>
      <c r="C1015" t="n">
        <v>6</v>
      </c>
      <c r="D1015" t="inlineStr">
        <is>
          <t>Questionnaire</t>
        </is>
      </c>
      <c r="E1015" t="inlineStr">
        <is>
          <t>NA</t>
        </is>
      </c>
      <c r="F1015" t="n">
        <v>98.7</v>
      </c>
      <c r="G1015" t="n">
        <v>94.8</v>
      </c>
    </row>
    <row r="1016">
      <c r="A1016" t="inlineStr">
        <is>
          <t>RESP0206</t>
        </is>
      </c>
      <c r="B1016" t="inlineStr">
        <is>
          <t>Study flow 2</t>
        </is>
      </c>
      <c r="C1016" t="n">
        <v>7</v>
      </c>
      <c r="D1016" t="inlineStr">
        <is>
          <t>Post-study calibration</t>
        </is>
      </c>
      <c r="E1016" t="n">
        <v>1.99</v>
      </c>
      <c r="F1016" t="n">
        <v>98.7</v>
      </c>
      <c r="G1016" t="n">
        <v>97.40000000000001</v>
      </c>
    </row>
    <row r="1017">
      <c r="A1017" t="inlineStr">
        <is>
          <t>RESP0207</t>
        </is>
      </c>
      <c r="B1017" t="inlineStr">
        <is>
          <t>Study flow 1</t>
        </is>
      </c>
      <c r="C1017" t="n">
        <v>1</v>
      </c>
      <c r="D1017" t="inlineStr">
        <is>
          <t>Pre-study calibration</t>
        </is>
      </c>
      <c r="E1017" t="n">
        <v>1.36</v>
      </c>
      <c r="F1017" t="n">
        <v>93.3</v>
      </c>
      <c r="G1017" t="n">
        <v>99.40000000000001</v>
      </c>
    </row>
    <row r="1018">
      <c r="A1018" t="inlineStr">
        <is>
          <t>RESP0207</t>
        </is>
      </c>
      <c r="B1018" t="inlineStr">
        <is>
          <t>Study flow 1</t>
        </is>
      </c>
      <c r="C1018" t="n">
        <v>2</v>
      </c>
      <c r="D1018" t="inlineStr">
        <is>
          <t>Instructions1</t>
        </is>
      </c>
      <c r="E1018" t="inlineStr">
        <is>
          <t>NA</t>
        </is>
      </c>
      <c r="F1018" t="n">
        <v>96.90000000000001</v>
      </c>
      <c r="G1018" t="n">
        <v>99.59999999999999</v>
      </c>
    </row>
    <row r="1019">
      <c r="A1019" t="inlineStr">
        <is>
          <t>RESP0207</t>
        </is>
      </c>
      <c r="B1019" t="inlineStr">
        <is>
          <t>Study flow 1</t>
        </is>
      </c>
      <c r="C1019" t="n">
        <v>3</v>
      </c>
      <c r="D1019" t="inlineStr">
        <is>
          <t>foodwaste_narrative</t>
        </is>
      </c>
      <c r="E1019" t="inlineStr">
        <is>
          <t>NA</t>
        </is>
      </c>
      <c r="F1019" t="n">
        <v>94.90000000000001</v>
      </c>
      <c r="G1019" t="n">
        <v>99.59999999999999</v>
      </c>
    </row>
    <row r="1020">
      <c r="A1020" t="inlineStr">
        <is>
          <t>RESP0207</t>
        </is>
      </c>
      <c r="B1020" t="inlineStr">
        <is>
          <t>Study flow 1</t>
        </is>
      </c>
      <c r="C1020" t="n">
        <v>4</v>
      </c>
      <c r="D1020" t="inlineStr">
        <is>
          <t>foodwaste_visual</t>
        </is>
      </c>
      <c r="E1020" t="inlineStr">
        <is>
          <t>NA</t>
        </is>
      </c>
      <c r="F1020" t="n">
        <v>96.59999999999999</v>
      </c>
      <c r="G1020" t="n">
        <v>99.2</v>
      </c>
    </row>
    <row r="1021">
      <c r="A1021" t="inlineStr">
        <is>
          <t>RESP0207</t>
        </is>
      </c>
      <c r="B1021" t="inlineStr">
        <is>
          <t>Study flow 1</t>
        </is>
      </c>
      <c r="C1021" t="n">
        <v>5</v>
      </c>
      <c r="D1021" t="inlineStr">
        <is>
          <t>infographic</t>
        </is>
      </c>
      <c r="E1021" t="inlineStr">
        <is>
          <t>NA</t>
        </is>
      </c>
      <c r="F1021" t="n">
        <v>95.2</v>
      </c>
      <c r="G1021" t="n">
        <v>99.5</v>
      </c>
    </row>
    <row r="1022">
      <c r="A1022" t="inlineStr">
        <is>
          <t>RESP0207</t>
        </is>
      </c>
      <c r="B1022" t="inlineStr">
        <is>
          <t>Study flow 1</t>
        </is>
      </c>
      <c r="C1022" t="n">
        <v>6</v>
      </c>
      <c r="D1022" t="inlineStr">
        <is>
          <t>Questionnaire</t>
        </is>
      </c>
      <c r="E1022" t="inlineStr">
        <is>
          <t>NA</t>
        </is>
      </c>
      <c r="F1022" t="n">
        <v>97</v>
      </c>
      <c r="G1022" t="n">
        <v>99.59999999999999</v>
      </c>
    </row>
    <row r="1023">
      <c r="A1023" t="inlineStr">
        <is>
          <t>RESP0207</t>
        </is>
      </c>
      <c r="B1023" t="inlineStr">
        <is>
          <t>Study flow 1</t>
        </is>
      </c>
      <c r="C1023" t="n">
        <v>7</v>
      </c>
      <c r="D1023" t="inlineStr">
        <is>
          <t>Post-study calibration</t>
        </is>
      </c>
      <c r="E1023" t="n">
        <v>3.29</v>
      </c>
      <c r="F1023" t="n">
        <v>96.40000000000001</v>
      </c>
      <c r="G1023" t="n">
        <v>99</v>
      </c>
    </row>
    <row r="1024">
      <c r="A1024" t="inlineStr">
        <is>
          <t>RESP0208</t>
        </is>
      </c>
      <c r="B1024" t="inlineStr">
        <is>
          <t>Study flow 2</t>
        </is>
      </c>
      <c r="C1024" t="n">
        <v>1</v>
      </c>
      <c r="D1024" t="inlineStr">
        <is>
          <t>Pre-study calibration</t>
        </is>
      </c>
      <c r="E1024" t="n">
        <v>1.46</v>
      </c>
      <c r="F1024" t="n">
        <v>96.59999999999999</v>
      </c>
      <c r="G1024" t="n">
        <v>95.2</v>
      </c>
    </row>
    <row r="1025">
      <c r="A1025" t="inlineStr">
        <is>
          <t>RESP0208</t>
        </is>
      </c>
      <c r="B1025" t="inlineStr">
        <is>
          <t>Study flow 2</t>
        </is>
      </c>
      <c r="C1025" t="n">
        <v>2</v>
      </c>
      <c r="D1025" t="inlineStr">
        <is>
          <t>Instructions1</t>
        </is>
      </c>
      <c r="E1025" t="inlineStr">
        <is>
          <t>NA</t>
        </is>
      </c>
      <c r="F1025" t="n">
        <v>93.09999999999999</v>
      </c>
      <c r="G1025" t="n">
        <v>90.09999999999999</v>
      </c>
    </row>
    <row r="1026">
      <c r="A1026" t="inlineStr">
        <is>
          <t>RESP0208</t>
        </is>
      </c>
      <c r="B1026" t="inlineStr">
        <is>
          <t>Study flow 2</t>
        </is>
      </c>
      <c r="C1026" t="n">
        <v>3</v>
      </c>
      <c r="D1026" t="inlineStr">
        <is>
          <t>foodwaste_visual</t>
        </is>
      </c>
      <c r="E1026" t="inlineStr">
        <is>
          <t>NA</t>
        </is>
      </c>
      <c r="F1026" t="n">
        <v>93.40000000000001</v>
      </c>
      <c r="G1026" t="n">
        <v>91.59999999999999</v>
      </c>
    </row>
    <row r="1027">
      <c r="A1027" t="inlineStr">
        <is>
          <t>RESP0208</t>
        </is>
      </c>
      <c r="B1027" t="inlineStr">
        <is>
          <t>Study flow 2</t>
        </is>
      </c>
      <c r="C1027" t="n">
        <v>4</v>
      </c>
      <c r="D1027" t="inlineStr">
        <is>
          <t>foodwaste_narrative</t>
        </is>
      </c>
      <c r="E1027" t="inlineStr">
        <is>
          <t>NA</t>
        </is>
      </c>
      <c r="F1027" t="n">
        <v>94.09999999999999</v>
      </c>
      <c r="G1027" t="n">
        <v>94</v>
      </c>
    </row>
    <row r="1028">
      <c r="A1028" t="inlineStr">
        <is>
          <t>RESP0208</t>
        </is>
      </c>
      <c r="B1028" t="inlineStr">
        <is>
          <t>Study flow 2</t>
        </is>
      </c>
      <c r="C1028" t="n">
        <v>5</v>
      </c>
      <c r="D1028" t="inlineStr">
        <is>
          <t>infographic</t>
        </is>
      </c>
      <c r="E1028" t="inlineStr">
        <is>
          <t>NA</t>
        </is>
      </c>
      <c r="F1028" t="n">
        <v>95</v>
      </c>
      <c r="G1028" t="n">
        <v>93.59999999999999</v>
      </c>
    </row>
    <row r="1029">
      <c r="A1029" t="inlineStr">
        <is>
          <t>RESP0208</t>
        </is>
      </c>
      <c r="B1029" t="inlineStr">
        <is>
          <t>Study flow 2</t>
        </is>
      </c>
      <c r="C1029" t="n">
        <v>6</v>
      </c>
      <c r="D1029" t="inlineStr">
        <is>
          <t>Questionnaire</t>
        </is>
      </c>
      <c r="E1029" t="inlineStr">
        <is>
          <t>NA</t>
        </is>
      </c>
      <c r="F1029" t="n">
        <v>93.09999999999999</v>
      </c>
      <c r="G1029" t="n">
        <v>93.59999999999999</v>
      </c>
    </row>
    <row r="1030">
      <c r="A1030" t="inlineStr">
        <is>
          <t>RESP0208</t>
        </is>
      </c>
      <c r="B1030" t="inlineStr">
        <is>
          <t>Study flow 2</t>
        </is>
      </c>
      <c r="C1030" t="n">
        <v>7</v>
      </c>
      <c r="D1030" t="inlineStr">
        <is>
          <t>Post-study calibration</t>
        </is>
      </c>
      <c r="E1030" t="n">
        <v>2.49</v>
      </c>
      <c r="F1030" t="n">
        <v>95.3</v>
      </c>
      <c r="G1030" t="n">
        <v>94.90000000000001</v>
      </c>
    </row>
    <row r="1031">
      <c r="A1031" t="inlineStr">
        <is>
          <t>RESP0210</t>
        </is>
      </c>
      <c r="B1031" t="inlineStr">
        <is>
          <t>Study flow 1</t>
        </is>
      </c>
      <c r="C1031" t="n">
        <v>1</v>
      </c>
      <c r="D1031" t="inlineStr">
        <is>
          <t>Pre-study calibration</t>
        </is>
      </c>
      <c r="E1031" t="n">
        <v>2.88</v>
      </c>
      <c r="F1031" t="n">
        <v>98.59999999999999</v>
      </c>
      <c r="G1031" t="n">
        <v>98.90000000000001</v>
      </c>
    </row>
    <row r="1032">
      <c r="A1032" t="inlineStr">
        <is>
          <t>RESP0210</t>
        </is>
      </c>
      <c r="B1032" t="inlineStr">
        <is>
          <t>Study flow 1</t>
        </is>
      </c>
      <c r="C1032" t="n">
        <v>2</v>
      </c>
      <c r="D1032" t="inlineStr">
        <is>
          <t>Instructions1</t>
        </is>
      </c>
      <c r="E1032" t="inlineStr">
        <is>
          <t>NA</t>
        </is>
      </c>
      <c r="F1032" t="n">
        <v>95.90000000000001</v>
      </c>
      <c r="G1032" t="n">
        <v>98.7</v>
      </c>
    </row>
    <row r="1033">
      <c r="A1033" t="inlineStr">
        <is>
          <t>RESP0210</t>
        </is>
      </c>
      <c r="B1033" t="inlineStr">
        <is>
          <t>Study flow 1</t>
        </is>
      </c>
      <c r="C1033" t="n">
        <v>3</v>
      </c>
      <c r="D1033" t="inlineStr">
        <is>
          <t>foodwaste_narrative</t>
        </is>
      </c>
      <c r="E1033" t="inlineStr">
        <is>
          <t>NA</t>
        </is>
      </c>
      <c r="F1033" t="n">
        <v>97.2</v>
      </c>
      <c r="G1033" t="n">
        <v>99</v>
      </c>
    </row>
    <row r="1034">
      <c r="A1034" t="inlineStr">
        <is>
          <t>RESP0210</t>
        </is>
      </c>
      <c r="B1034" t="inlineStr">
        <is>
          <t>Study flow 1</t>
        </is>
      </c>
      <c r="C1034" t="n">
        <v>4</v>
      </c>
      <c r="D1034" t="inlineStr">
        <is>
          <t>foodwaste_visual</t>
        </is>
      </c>
      <c r="E1034" t="inlineStr">
        <is>
          <t>NA</t>
        </is>
      </c>
      <c r="F1034" t="n">
        <v>93.5</v>
      </c>
      <c r="G1034" t="n">
        <v>98.8</v>
      </c>
    </row>
    <row r="1035">
      <c r="A1035" t="inlineStr">
        <is>
          <t>RESP0210</t>
        </is>
      </c>
      <c r="B1035" t="inlineStr">
        <is>
          <t>Study flow 1</t>
        </is>
      </c>
      <c r="C1035" t="n">
        <v>5</v>
      </c>
      <c r="D1035" t="inlineStr">
        <is>
          <t>infographic</t>
        </is>
      </c>
      <c r="E1035" t="inlineStr">
        <is>
          <t>NA</t>
        </is>
      </c>
      <c r="F1035" t="n">
        <v>97.90000000000001</v>
      </c>
      <c r="G1035" t="n">
        <v>99.40000000000001</v>
      </c>
    </row>
    <row r="1036">
      <c r="A1036" t="inlineStr">
        <is>
          <t>RESP0210</t>
        </is>
      </c>
      <c r="B1036" t="inlineStr">
        <is>
          <t>Study flow 1</t>
        </is>
      </c>
      <c r="C1036" t="n">
        <v>6</v>
      </c>
      <c r="D1036" t="inlineStr">
        <is>
          <t>Questionnaire</t>
        </is>
      </c>
      <c r="E1036" t="inlineStr">
        <is>
          <t>NA</t>
        </is>
      </c>
      <c r="F1036" t="n">
        <v>97.40000000000001</v>
      </c>
      <c r="G1036" t="n">
        <v>97</v>
      </c>
    </row>
    <row r="1037">
      <c r="A1037" t="inlineStr">
        <is>
          <t>RESP0210</t>
        </is>
      </c>
      <c r="B1037" t="inlineStr">
        <is>
          <t>Study flow 1</t>
        </is>
      </c>
      <c r="C1037" t="n">
        <v>7</v>
      </c>
      <c r="D1037" t="inlineStr">
        <is>
          <t>Post-study calibration</t>
        </is>
      </c>
      <c r="E1037" t="n">
        <v>4.06</v>
      </c>
      <c r="F1037" t="n">
        <v>95.90000000000001</v>
      </c>
      <c r="G1037" t="n">
        <v>99.40000000000001</v>
      </c>
    </row>
    <row r="1038">
      <c r="A1038" t="inlineStr">
        <is>
          <t>RESP0211</t>
        </is>
      </c>
      <c r="B1038" t="inlineStr">
        <is>
          <t>Study flow 2</t>
        </is>
      </c>
      <c r="C1038" t="n">
        <v>1</v>
      </c>
      <c r="D1038" t="inlineStr">
        <is>
          <t>Pre-study calibration</t>
        </is>
      </c>
      <c r="E1038" t="n">
        <v>0.7</v>
      </c>
      <c r="F1038" t="n">
        <v>98.8</v>
      </c>
      <c r="G1038" t="n">
        <v>99.5</v>
      </c>
    </row>
    <row r="1039">
      <c r="A1039" t="inlineStr">
        <is>
          <t>RESP0211</t>
        </is>
      </c>
      <c r="B1039" t="inlineStr">
        <is>
          <t>Study flow 2</t>
        </is>
      </c>
      <c r="C1039" t="n">
        <v>2</v>
      </c>
      <c r="D1039" t="inlineStr">
        <is>
          <t>Instructions1</t>
        </is>
      </c>
      <c r="E1039" t="inlineStr">
        <is>
          <t>NA</t>
        </is>
      </c>
      <c r="F1039" t="n">
        <v>99.3</v>
      </c>
      <c r="G1039" t="n">
        <v>99.8</v>
      </c>
    </row>
    <row r="1040">
      <c r="A1040" t="inlineStr">
        <is>
          <t>RESP0211</t>
        </is>
      </c>
      <c r="B1040" t="inlineStr">
        <is>
          <t>Study flow 2</t>
        </is>
      </c>
      <c r="C1040" t="n">
        <v>3</v>
      </c>
      <c r="D1040" t="inlineStr">
        <is>
          <t>foodwaste_visual</t>
        </is>
      </c>
      <c r="E1040" t="inlineStr">
        <is>
          <t>NA</t>
        </is>
      </c>
      <c r="F1040" t="n">
        <v>99.2</v>
      </c>
      <c r="G1040" t="n">
        <v>99.8</v>
      </c>
    </row>
    <row r="1041">
      <c r="A1041" t="inlineStr">
        <is>
          <t>RESP0211</t>
        </is>
      </c>
      <c r="B1041" t="inlineStr">
        <is>
          <t>Study flow 2</t>
        </is>
      </c>
      <c r="C1041" t="n">
        <v>4</v>
      </c>
      <c r="D1041" t="inlineStr">
        <is>
          <t>foodwaste_narrative</t>
        </is>
      </c>
      <c r="E1041" t="inlineStr">
        <is>
          <t>NA</t>
        </is>
      </c>
      <c r="F1041" t="n">
        <v>98.90000000000001</v>
      </c>
      <c r="G1041" t="n">
        <v>99.90000000000001</v>
      </c>
    </row>
    <row r="1042">
      <c r="A1042" t="inlineStr">
        <is>
          <t>RESP0211</t>
        </is>
      </c>
      <c r="B1042" t="inlineStr">
        <is>
          <t>Study flow 2</t>
        </is>
      </c>
      <c r="C1042" t="n">
        <v>5</v>
      </c>
      <c r="D1042" t="inlineStr">
        <is>
          <t>infographic</t>
        </is>
      </c>
      <c r="E1042" t="inlineStr">
        <is>
          <t>NA</t>
        </is>
      </c>
      <c r="F1042" t="n">
        <v>99.40000000000001</v>
      </c>
      <c r="G1042" t="n">
        <v>99.8</v>
      </c>
    </row>
    <row r="1043">
      <c r="A1043" t="inlineStr">
        <is>
          <t>RESP0211</t>
        </is>
      </c>
      <c r="B1043" t="inlineStr">
        <is>
          <t>Study flow 2</t>
        </is>
      </c>
      <c r="C1043" t="n">
        <v>6</v>
      </c>
      <c r="D1043" t="inlineStr">
        <is>
          <t>Questionnaire</t>
        </is>
      </c>
      <c r="E1043" t="inlineStr">
        <is>
          <t>NA</t>
        </is>
      </c>
      <c r="F1043" t="n">
        <v>99.09999999999999</v>
      </c>
      <c r="G1043" t="n">
        <v>99.90000000000001</v>
      </c>
    </row>
    <row r="1044">
      <c r="A1044" t="inlineStr">
        <is>
          <t>RESP0211</t>
        </is>
      </c>
      <c r="B1044" t="inlineStr">
        <is>
          <t>Study flow 2</t>
        </is>
      </c>
      <c r="C1044" t="n">
        <v>7</v>
      </c>
      <c r="D1044" t="inlineStr">
        <is>
          <t>Post-study calibration</t>
        </is>
      </c>
      <c r="E1044" t="n">
        <v>1.35</v>
      </c>
      <c r="F1044" t="n">
        <v>99.5</v>
      </c>
      <c r="G1044" t="n">
        <v>99.8</v>
      </c>
    </row>
    <row r="1045">
      <c r="A1045" t="inlineStr">
        <is>
          <t>RESP0212</t>
        </is>
      </c>
      <c r="B1045" t="inlineStr">
        <is>
          <t>Study flow 1</t>
        </is>
      </c>
      <c r="C1045" t="n">
        <v>1</v>
      </c>
      <c r="D1045" t="inlineStr">
        <is>
          <t>Pre-study calibration</t>
        </is>
      </c>
      <c r="E1045" t="n">
        <v>2.04</v>
      </c>
      <c r="F1045" t="n">
        <v>92.59999999999999</v>
      </c>
      <c r="G1045" t="n">
        <v>98</v>
      </c>
    </row>
    <row r="1046">
      <c r="A1046" t="inlineStr">
        <is>
          <t>RESP0212</t>
        </is>
      </c>
      <c r="B1046" t="inlineStr">
        <is>
          <t>Study flow 1</t>
        </is>
      </c>
      <c r="C1046" t="n">
        <v>2</v>
      </c>
      <c r="D1046" t="inlineStr">
        <is>
          <t>Instructions1</t>
        </is>
      </c>
      <c r="E1046" t="inlineStr">
        <is>
          <t>NA</t>
        </is>
      </c>
      <c r="F1046" t="n">
        <v>94.09999999999999</v>
      </c>
      <c r="G1046" t="n">
        <v>98.2</v>
      </c>
    </row>
    <row r="1047">
      <c r="A1047" t="inlineStr">
        <is>
          <t>RESP0212</t>
        </is>
      </c>
      <c r="B1047" t="inlineStr">
        <is>
          <t>Study flow 1</t>
        </is>
      </c>
      <c r="C1047" t="n">
        <v>3</v>
      </c>
      <c r="D1047" t="inlineStr">
        <is>
          <t>foodwaste_narrative</t>
        </is>
      </c>
      <c r="E1047" t="inlineStr">
        <is>
          <t>NA</t>
        </is>
      </c>
      <c r="F1047" t="n">
        <v>93.3</v>
      </c>
      <c r="G1047" t="n">
        <v>97.40000000000001</v>
      </c>
    </row>
    <row r="1048">
      <c r="A1048" t="inlineStr">
        <is>
          <t>RESP0212</t>
        </is>
      </c>
      <c r="B1048" t="inlineStr">
        <is>
          <t>Study flow 1</t>
        </is>
      </c>
      <c r="C1048" t="n">
        <v>4</v>
      </c>
      <c r="D1048" t="inlineStr">
        <is>
          <t>foodwaste_visual</t>
        </is>
      </c>
      <c r="E1048" t="inlineStr">
        <is>
          <t>NA</t>
        </is>
      </c>
      <c r="F1048" t="n">
        <v>97.3</v>
      </c>
      <c r="G1048" t="n">
        <v>98.40000000000001</v>
      </c>
    </row>
    <row r="1049">
      <c r="A1049" t="inlineStr">
        <is>
          <t>RESP0212</t>
        </is>
      </c>
      <c r="B1049" t="inlineStr">
        <is>
          <t>Study flow 1</t>
        </is>
      </c>
      <c r="C1049" t="n">
        <v>5</v>
      </c>
      <c r="D1049" t="inlineStr">
        <is>
          <t>infographic</t>
        </is>
      </c>
      <c r="E1049" t="inlineStr">
        <is>
          <t>NA</t>
        </is>
      </c>
      <c r="F1049" t="n">
        <v>96.8</v>
      </c>
      <c r="G1049" t="n">
        <v>98.5</v>
      </c>
    </row>
    <row r="1050">
      <c r="A1050" t="inlineStr">
        <is>
          <t>RESP0212</t>
        </is>
      </c>
      <c r="B1050" t="inlineStr">
        <is>
          <t>Study flow 1</t>
        </is>
      </c>
      <c r="C1050" t="n">
        <v>6</v>
      </c>
      <c r="D1050" t="inlineStr">
        <is>
          <t>Questionnaire</t>
        </is>
      </c>
      <c r="E1050" t="inlineStr">
        <is>
          <t>NA</t>
        </is>
      </c>
      <c r="F1050" t="n">
        <v>96.40000000000001</v>
      </c>
      <c r="G1050" t="n">
        <v>97.90000000000001</v>
      </c>
    </row>
    <row r="1051">
      <c r="A1051" t="inlineStr">
        <is>
          <t>RESP0212</t>
        </is>
      </c>
      <c r="B1051" t="inlineStr">
        <is>
          <t>Study flow 1</t>
        </is>
      </c>
      <c r="C1051" t="n">
        <v>7</v>
      </c>
      <c r="D1051" t="inlineStr">
        <is>
          <t>Post-study calibration</t>
        </is>
      </c>
      <c r="E1051" t="n">
        <v>2.01</v>
      </c>
      <c r="F1051" t="n">
        <v>95.09999999999999</v>
      </c>
      <c r="G1051" t="n">
        <v>97.5</v>
      </c>
    </row>
    <row r="1052">
      <c r="A1052" t="inlineStr">
        <is>
          <t>RESP0214</t>
        </is>
      </c>
      <c r="B1052" t="inlineStr">
        <is>
          <t>Study flow 2</t>
        </is>
      </c>
      <c r="C1052" t="n">
        <v>1</v>
      </c>
      <c r="D1052" t="inlineStr">
        <is>
          <t>Pre-study calibration</t>
        </is>
      </c>
      <c r="E1052" t="n">
        <v>1.64</v>
      </c>
      <c r="F1052" t="n">
        <v>97.8</v>
      </c>
      <c r="G1052" t="n">
        <v>98.90000000000001</v>
      </c>
    </row>
    <row r="1053">
      <c r="A1053" t="inlineStr">
        <is>
          <t>RESP0214</t>
        </is>
      </c>
      <c r="B1053" t="inlineStr">
        <is>
          <t>Study flow 2</t>
        </is>
      </c>
      <c r="C1053" t="n">
        <v>2</v>
      </c>
      <c r="D1053" t="inlineStr">
        <is>
          <t>Instructions1</t>
        </is>
      </c>
      <c r="E1053" t="inlineStr">
        <is>
          <t>NA</t>
        </is>
      </c>
      <c r="F1053" t="n">
        <v>98.3</v>
      </c>
      <c r="G1053" t="n">
        <v>99.3</v>
      </c>
    </row>
    <row r="1054">
      <c r="A1054" t="inlineStr">
        <is>
          <t>RESP0214</t>
        </is>
      </c>
      <c r="B1054" t="inlineStr">
        <is>
          <t>Study flow 2</t>
        </is>
      </c>
      <c r="C1054" t="n">
        <v>3</v>
      </c>
      <c r="D1054" t="inlineStr">
        <is>
          <t>foodwaste_visual</t>
        </is>
      </c>
      <c r="E1054" t="inlineStr">
        <is>
          <t>NA</t>
        </is>
      </c>
      <c r="F1054" t="n">
        <v>98.90000000000001</v>
      </c>
      <c r="G1054" t="n">
        <v>98.8</v>
      </c>
    </row>
    <row r="1055">
      <c r="A1055" t="inlineStr">
        <is>
          <t>RESP0214</t>
        </is>
      </c>
      <c r="B1055" t="inlineStr">
        <is>
          <t>Study flow 2</t>
        </is>
      </c>
      <c r="C1055" t="n">
        <v>4</v>
      </c>
      <c r="D1055" t="inlineStr">
        <is>
          <t>foodwaste_narrative</t>
        </is>
      </c>
      <c r="E1055" t="inlineStr">
        <is>
          <t>NA</t>
        </is>
      </c>
      <c r="F1055" t="n">
        <v>98.7</v>
      </c>
      <c r="G1055" t="n">
        <v>99.2</v>
      </c>
    </row>
    <row r="1056">
      <c r="A1056" t="inlineStr">
        <is>
          <t>RESP0214</t>
        </is>
      </c>
      <c r="B1056" t="inlineStr">
        <is>
          <t>Study flow 2</t>
        </is>
      </c>
      <c r="C1056" t="n">
        <v>5</v>
      </c>
      <c r="D1056" t="inlineStr">
        <is>
          <t>infographic</t>
        </is>
      </c>
      <c r="E1056" t="inlineStr">
        <is>
          <t>NA</t>
        </is>
      </c>
      <c r="F1056" t="n">
        <v>97.8</v>
      </c>
      <c r="G1056" t="n">
        <v>97.8</v>
      </c>
    </row>
    <row r="1057">
      <c r="A1057" t="inlineStr">
        <is>
          <t>RESP0214</t>
        </is>
      </c>
      <c r="B1057" t="inlineStr">
        <is>
          <t>Study flow 2</t>
        </is>
      </c>
      <c r="C1057" t="n">
        <v>6</v>
      </c>
      <c r="D1057" t="inlineStr">
        <is>
          <t>Questionnaire</t>
        </is>
      </c>
      <c r="E1057" t="inlineStr">
        <is>
          <t>NA</t>
        </is>
      </c>
      <c r="F1057" t="n">
        <v>98.8</v>
      </c>
      <c r="G1057" t="n">
        <v>99.3</v>
      </c>
    </row>
    <row r="1058">
      <c r="A1058" t="inlineStr">
        <is>
          <t>RESP0214</t>
        </is>
      </c>
      <c r="B1058" t="inlineStr">
        <is>
          <t>Study flow 2</t>
        </is>
      </c>
      <c r="C1058" t="n">
        <v>7</v>
      </c>
      <c r="D1058" t="inlineStr">
        <is>
          <t>Post-study calibration</t>
        </is>
      </c>
      <c r="E1058" t="n">
        <v>1.16</v>
      </c>
      <c r="F1058" t="n">
        <v>98.40000000000001</v>
      </c>
      <c r="G1058" t="n">
        <v>98.40000000000001</v>
      </c>
    </row>
    <row r="1059">
      <c r="A1059" t="inlineStr">
        <is>
          <t>RESP0218</t>
        </is>
      </c>
      <c r="B1059" t="inlineStr">
        <is>
          <t>Study flow 2</t>
        </is>
      </c>
      <c r="C1059" t="n">
        <v>1</v>
      </c>
      <c r="D1059" t="inlineStr">
        <is>
          <t>Pre-study calibration</t>
        </is>
      </c>
      <c r="E1059" t="n">
        <v>3.28</v>
      </c>
      <c r="F1059" t="n">
        <v>61.9</v>
      </c>
      <c r="G1059" t="n">
        <v>86.09999999999999</v>
      </c>
    </row>
    <row r="1060">
      <c r="A1060" t="inlineStr">
        <is>
          <t>RESP0218</t>
        </is>
      </c>
      <c r="B1060" t="inlineStr">
        <is>
          <t>Study flow 2</t>
        </is>
      </c>
      <c r="C1060" t="n">
        <v>2</v>
      </c>
      <c r="D1060" t="inlineStr">
        <is>
          <t>Instructions1</t>
        </is>
      </c>
      <c r="E1060" t="inlineStr">
        <is>
          <t>NA</t>
        </is>
      </c>
      <c r="F1060" t="n">
        <v>49.2</v>
      </c>
      <c r="G1060" t="n">
        <v>81.3</v>
      </c>
    </row>
    <row r="1061">
      <c r="A1061" t="inlineStr">
        <is>
          <t>RESP0218</t>
        </is>
      </c>
      <c r="B1061" t="inlineStr">
        <is>
          <t>Study flow 2</t>
        </is>
      </c>
      <c r="C1061" t="n">
        <v>3</v>
      </c>
      <c r="D1061" t="inlineStr">
        <is>
          <t>foodwaste_visual</t>
        </is>
      </c>
      <c r="E1061" t="inlineStr">
        <is>
          <t>NA</t>
        </is>
      </c>
      <c r="F1061" t="n">
        <v>77.09999999999999</v>
      </c>
      <c r="G1061" t="n">
        <v>82.3</v>
      </c>
    </row>
    <row r="1062">
      <c r="A1062" t="inlineStr">
        <is>
          <t>RESP0218</t>
        </is>
      </c>
      <c r="B1062" t="inlineStr">
        <is>
          <t>Study flow 2</t>
        </is>
      </c>
      <c r="C1062" t="n">
        <v>4</v>
      </c>
      <c r="D1062" t="inlineStr">
        <is>
          <t>foodwaste_narrative</t>
        </is>
      </c>
      <c r="E1062" t="inlineStr">
        <is>
          <t>NA</t>
        </is>
      </c>
      <c r="F1062" t="n">
        <v>76.3</v>
      </c>
      <c r="G1062" t="n">
        <v>72.8</v>
      </c>
    </row>
    <row r="1063">
      <c r="A1063" t="inlineStr">
        <is>
          <t>RESP0218</t>
        </is>
      </c>
      <c r="B1063" t="inlineStr">
        <is>
          <t>Study flow 2</t>
        </is>
      </c>
      <c r="C1063" t="n">
        <v>5</v>
      </c>
      <c r="D1063" t="inlineStr">
        <is>
          <t>infographic</t>
        </is>
      </c>
      <c r="E1063" t="inlineStr">
        <is>
          <t>NA</t>
        </is>
      </c>
      <c r="F1063" t="n">
        <v>77.90000000000001</v>
      </c>
      <c r="G1063" t="n">
        <v>84.09999999999999</v>
      </c>
    </row>
    <row r="1064">
      <c r="A1064" t="inlineStr">
        <is>
          <t>RESP0218</t>
        </is>
      </c>
      <c r="B1064" t="inlineStr">
        <is>
          <t>Study flow 2</t>
        </is>
      </c>
      <c r="C1064" t="n">
        <v>6</v>
      </c>
      <c r="D1064" t="inlineStr">
        <is>
          <t>Questionnaire</t>
        </is>
      </c>
      <c r="E1064" t="inlineStr">
        <is>
          <t>NA</t>
        </is>
      </c>
      <c r="F1064" t="n">
        <v>70.09999999999999</v>
      </c>
      <c r="G1064" t="n">
        <v>85.7</v>
      </c>
    </row>
    <row r="1065">
      <c r="A1065" t="inlineStr">
        <is>
          <t>RESP0218</t>
        </is>
      </c>
      <c r="B1065" t="inlineStr">
        <is>
          <t>Study flow 2</t>
        </is>
      </c>
      <c r="C1065" t="n">
        <v>7</v>
      </c>
      <c r="D1065" t="inlineStr">
        <is>
          <t>Post-study calibration</t>
        </is>
      </c>
      <c r="E1065" t="n">
        <v>4.38</v>
      </c>
      <c r="F1065" t="n">
        <v>81.3</v>
      </c>
      <c r="G1065" t="n">
        <v>83.5</v>
      </c>
    </row>
    <row r="1066">
      <c r="A1066" t="inlineStr">
        <is>
          <t>RESP0219</t>
        </is>
      </c>
      <c r="B1066" t="inlineStr">
        <is>
          <t>Study flow 2</t>
        </is>
      </c>
      <c r="C1066" t="n">
        <v>1</v>
      </c>
      <c r="D1066" t="inlineStr">
        <is>
          <t>Pre-study calibration</t>
        </is>
      </c>
      <c r="E1066" t="n">
        <v>5.03</v>
      </c>
      <c r="F1066" t="n">
        <v>95.7</v>
      </c>
      <c r="G1066" t="n">
        <v>97.5</v>
      </c>
    </row>
    <row r="1067">
      <c r="A1067" t="inlineStr">
        <is>
          <t>RESP0219</t>
        </is>
      </c>
      <c r="B1067" t="inlineStr">
        <is>
          <t>Study flow 2</t>
        </is>
      </c>
      <c r="C1067" t="n">
        <v>2</v>
      </c>
      <c r="D1067" t="inlineStr">
        <is>
          <t>Instructions1</t>
        </is>
      </c>
      <c r="E1067" t="inlineStr">
        <is>
          <t>NA</t>
        </is>
      </c>
      <c r="F1067" t="n">
        <v>93.59999999999999</v>
      </c>
      <c r="G1067" t="n">
        <v>95.90000000000001</v>
      </c>
    </row>
    <row r="1068">
      <c r="A1068" t="inlineStr">
        <is>
          <t>RESP0219</t>
        </is>
      </c>
      <c r="B1068" t="inlineStr">
        <is>
          <t>Study flow 2</t>
        </is>
      </c>
      <c r="C1068" t="n">
        <v>3</v>
      </c>
      <c r="D1068" t="inlineStr">
        <is>
          <t>foodwaste_visual</t>
        </is>
      </c>
      <c r="E1068" t="inlineStr">
        <is>
          <t>NA</t>
        </is>
      </c>
      <c r="F1068" t="n">
        <v>94.59999999999999</v>
      </c>
      <c r="G1068" t="n">
        <v>97</v>
      </c>
    </row>
    <row r="1069">
      <c r="A1069" t="inlineStr">
        <is>
          <t>RESP0219</t>
        </is>
      </c>
      <c r="B1069" t="inlineStr">
        <is>
          <t>Study flow 2</t>
        </is>
      </c>
      <c r="C1069" t="n">
        <v>4</v>
      </c>
      <c r="D1069" t="inlineStr">
        <is>
          <t>foodwaste_narrative</t>
        </is>
      </c>
      <c r="E1069" t="inlineStr">
        <is>
          <t>NA</t>
        </is>
      </c>
      <c r="F1069" t="n">
        <v>98</v>
      </c>
      <c r="G1069" t="n">
        <v>96.2</v>
      </c>
    </row>
    <row r="1070">
      <c r="A1070" t="inlineStr">
        <is>
          <t>RESP0219</t>
        </is>
      </c>
      <c r="B1070" t="inlineStr">
        <is>
          <t>Study flow 2</t>
        </is>
      </c>
      <c r="C1070" t="n">
        <v>5</v>
      </c>
      <c r="D1070" t="inlineStr">
        <is>
          <t>infographic</t>
        </is>
      </c>
      <c r="E1070" t="inlineStr">
        <is>
          <t>NA</t>
        </is>
      </c>
      <c r="F1070" t="n">
        <v>96.5</v>
      </c>
      <c r="G1070" t="n">
        <v>97.09999999999999</v>
      </c>
    </row>
    <row r="1071">
      <c r="A1071" t="inlineStr">
        <is>
          <t>RESP0219</t>
        </is>
      </c>
      <c r="B1071" t="inlineStr">
        <is>
          <t>Study flow 2</t>
        </is>
      </c>
      <c r="C1071" t="n">
        <v>6</v>
      </c>
      <c r="D1071" t="inlineStr">
        <is>
          <t>Questionnaire</t>
        </is>
      </c>
      <c r="E1071" t="inlineStr">
        <is>
          <t>NA</t>
        </is>
      </c>
      <c r="F1071" t="n">
        <v>92.59999999999999</v>
      </c>
      <c r="G1071" t="n">
        <v>97.8</v>
      </c>
    </row>
    <row r="1072">
      <c r="A1072" t="inlineStr">
        <is>
          <t>RESP0219</t>
        </is>
      </c>
      <c r="B1072" t="inlineStr">
        <is>
          <t>Study flow 2</t>
        </is>
      </c>
      <c r="C1072" t="n">
        <v>7</v>
      </c>
      <c r="D1072" t="inlineStr">
        <is>
          <t>Post-study calibration</t>
        </is>
      </c>
      <c r="E1072" t="n">
        <v>5.64</v>
      </c>
      <c r="F1072" t="n">
        <v>97.59999999999999</v>
      </c>
      <c r="G1072" t="n">
        <v>96.3</v>
      </c>
    </row>
    <row r="1073">
      <c r="A1073" t="inlineStr">
        <is>
          <t>RESP0222</t>
        </is>
      </c>
      <c r="B1073" t="inlineStr">
        <is>
          <t>Study flow 1</t>
        </is>
      </c>
      <c r="C1073" t="n">
        <v>1</v>
      </c>
      <c r="D1073" t="inlineStr">
        <is>
          <t>Pre-study calibration</t>
        </is>
      </c>
      <c r="E1073" t="n">
        <v>1.92</v>
      </c>
      <c r="F1073" t="n">
        <v>93</v>
      </c>
      <c r="G1073" t="n">
        <v>99.09999999999999</v>
      </c>
    </row>
    <row r="1074">
      <c r="A1074" t="inlineStr">
        <is>
          <t>RESP0222</t>
        </is>
      </c>
      <c r="B1074" t="inlineStr">
        <is>
          <t>Study flow 1</t>
        </is>
      </c>
      <c r="C1074" t="n">
        <v>2</v>
      </c>
      <c r="D1074" t="inlineStr">
        <is>
          <t>Instructions1</t>
        </is>
      </c>
      <c r="E1074" t="inlineStr">
        <is>
          <t>NA</t>
        </is>
      </c>
      <c r="F1074" t="n">
        <v>82.7</v>
      </c>
      <c r="G1074" t="n">
        <v>99.2</v>
      </c>
    </row>
    <row r="1075">
      <c r="A1075" t="inlineStr">
        <is>
          <t>RESP0222</t>
        </is>
      </c>
      <c r="B1075" t="inlineStr">
        <is>
          <t>Study flow 1</t>
        </is>
      </c>
      <c r="C1075" t="n">
        <v>3</v>
      </c>
      <c r="D1075" t="inlineStr">
        <is>
          <t>foodwaste_narrative</t>
        </is>
      </c>
      <c r="E1075" t="inlineStr">
        <is>
          <t>NA</t>
        </is>
      </c>
      <c r="F1075" t="n">
        <v>95.7</v>
      </c>
      <c r="G1075" t="n">
        <v>99.3</v>
      </c>
    </row>
    <row r="1076">
      <c r="A1076" t="inlineStr">
        <is>
          <t>RESP0222</t>
        </is>
      </c>
      <c r="B1076" t="inlineStr">
        <is>
          <t>Study flow 1</t>
        </is>
      </c>
      <c r="C1076" t="n">
        <v>4</v>
      </c>
      <c r="D1076" t="inlineStr">
        <is>
          <t>foodwaste_visual</t>
        </is>
      </c>
      <c r="E1076" t="inlineStr">
        <is>
          <t>NA</t>
        </is>
      </c>
      <c r="F1076" t="n">
        <v>90.7</v>
      </c>
      <c r="G1076" t="n">
        <v>99.3</v>
      </c>
    </row>
    <row r="1077">
      <c r="A1077" t="inlineStr">
        <is>
          <t>RESP0222</t>
        </is>
      </c>
      <c r="B1077" t="inlineStr">
        <is>
          <t>Study flow 1</t>
        </is>
      </c>
      <c r="C1077" t="n">
        <v>5</v>
      </c>
      <c r="D1077" t="inlineStr">
        <is>
          <t>infographic</t>
        </is>
      </c>
      <c r="E1077" t="inlineStr">
        <is>
          <t>NA</t>
        </is>
      </c>
      <c r="F1077" t="n">
        <v>87.8</v>
      </c>
      <c r="G1077" t="n">
        <v>99.5</v>
      </c>
    </row>
    <row r="1078">
      <c r="A1078" t="inlineStr">
        <is>
          <t>RESP0222</t>
        </is>
      </c>
      <c r="B1078" t="inlineStr">
        <is>
          <t>Study flow 1</t>
        </is>
      </c>
      <c r="C1078" t="n">
        <v>6</v>
      </c>
      <c r="D1078" t="inlineStr">
        <is>
          <t>Questionnaire</t>
        </is>
      </c>
      <c r="E1078" t="inlineStr">
        <is>
          <t>NA</t>
        </is>
      </c>
      <c r="F1078" t="n">
        <v>90.3</v>
      </c>
      <c r="G1078" t="n">
        <v>99.40000000000001</v>
      </c>
    </row>
    <row r="1079">
      <c r="A1079" t="inlineStr">
        <is>
          <t>RESP0222</t>
        </is>
      </c>
      <c r="B1079" t="inlineStr">
        <is>
          <t>Study flow 1</t>
        </is>
      </c>
      <c r="C1079" t="n">
        <v>7</v>
      </c>
      <c r="D1079" t="inlineStr">
        <is>
          <t>Post-study calibration</t>
        </is>
      </c>
      <c r="E1079" t="n">
        <v>3.23</v>
      </c>
      <c r="F1079" t="n">
        <v>94.5</v>
      </c>
      <c r="G1079" t="n">
        <v>99.09999999999999</v>
      </c>
    </row>
    <row r="1080">
      <c r="A1080" t="inlineStr">
        <is>
          <t>RESP0223</t>
        </is>
      </c>
      <c r="B1080" t="inlineStr">
        <is>
          <t>Study flow 2</t>
        </is>
      </c>
      <c r="C1080" t="n">
        <v>1</v>
      </c>
      <c r="D1080" t="inlineStr">
        <is>
          <t>Pre-study calibration</t>
        </is>
      </c>
      <c r="E1080" t="n">
        <v>0.72</v>
      </c>
      <c r="F1080" t="n">
        <v>96.3</v>
      </c>
      <c r="G1080" t="n">
        <v>92.09999999999999</v>
      </c>
    </row>
    <row r="1081">
      <c r="A1081" t="inlineStr">
        <is>
          <t>RESP0223</t>
        </is>
      </c>
      <c r="B1081" t="inlineStr">
        <is>
          <t>Study flow 2</t>
        </is>
      </c>
      <c r="C1081" t="n">
        <v>2</v>
      </c>
      <c r="D1081" t="inlineStr">
        <is>
          <t>Instructions1</t>
        </is>
      </c>
      <c r="E1081" t="inlineStr">
        <is>
          <t>NA</t>
        </is>
      </c>
      <c r="F1081" t="n">
        <v>93.8</v>
      </c>
      <c r="G1081" t="n">
        <v>91.2</v>
      </c>
    </row>
    <row r="1082">
      <c r="A1082" t="inlineStr">
        <is>
          <t>RESP0223</t>
        </is>
      </c>
      <c r="B1082" t="inlineStr">
        <is>
          <t>Study flow 2</t>
        </is>
      </c>
      <c r="C1082" t="n">
        <v>3</v>
      </c>
      <c r="D1082" t="inlineStr">
        <is>
          <t>foodwaste_visual</t>
        </is>
      </c>
      <c r="E1082" t="inlineStr">
        <is>
          <t>NA</t>
        </is>
      </c>
      <c r="F1082" t="n">
        <v>92.40000000000001</v>
      </c>
      <c r="G1082" t="n">
        <v>93.3</v>
      </c>
    </row>
    <row r="1083">
      <c r="A1083" t="inlineStr">
        <is>
          <t>RESP0223</t>
        </is>
      </c>
      <c r="B1083" t="inlineStr">
        <is>
          <t>Study flow 2</t>
        </is>
      </c>
      <c r="C1083" t="n">
        <v>4</v>
      </c>
      <c r="D1083" t="inlineStr">
        <is>
          <t>foodwaste_narrative</t>
        </is>
      </c>
      <c r="E1083" t="inlineStr">
        <is>
          <t>NA</t>
        </is>
      </c>
      <c r="F1083" t="n">
        <v>95.3</v>
      </c>
      <c r="G1083" t="n">
        <v>89.09999999999999</v>
      </c>
    </row>
    <row r="1084">
      <c r="A1084" t="inlineStr">
        <is>
          <t>RESP0223</t>
        </is>
      </c>
      <c r="B1084" t="inlineStr">
        <is>
          <t>Study flow 2</t>
        </is>
      </c>
      <c r="C1084" t="n">
        <v>5</v>
      </c>
      <c r="D1084" t="inlineStr">
        <is>
          <t>infographic</t>
        </is>
      </c>
      <c r="E1084" t="inlineStr">
        <is>
          <t>NA</t>
        </is>
      </c>
      <c r="F1084" t="n">
        <v>96.8</v>
      </c>
      <c r="G1084" t="n">
        <v>90.2</v>
      </c>
    </row>
    <row r="1085">
      <c r="A1085" t="inlineStr">
        <is>
          <t>RESP0223</t>
        </is>
      </c>
      <c r="B1085" t="inlineStr">
        <is>
          <t>Study flow 2</t>
        </is>
      </c>
      <c r="C1085" t="n">
        <v>6</v>
      </c>
      <c r="D1085" t="inlineStr">
        <is>
          <t>Questionnaire</t>
        </is>
      </c>
      <c r="E1085" t="inlineStr">
        <is>
          <t>NA</t>
        </is>
      </c>
      <c r="F1085" t="n">
        <v>96.40000000000001</v>
      </c>
      <c r="G1085" t="n">
        <v>86.8</v>
      </c>
    </row>
    <row r="1086">
      <c r="A1086" t="inlineStr">
        <is>
          <t>RESP0223</t>
        </is>
      </c>
      <c r="B1086" t="inlineStr">
        <is>
          <t>Study flow 2</t>
        </is>
      </c>
      <c r="C1086" t="n">
        <v>7</v>
      </c>
      <c r="D1086" t="inlineStr">
        <is>
          <t>Post-study calibration</t>
        </is>
      </c>
      <c r="E1086" t="n">
        <v>1.83</v>
      </c>
      <c r="F1086" t="n">
        <v>96.2</v>
      </c>
      <c r="G1086" t="n">
        <v>94.5</v>
      </c>
    </row>
    <row r="1087">
      <c r="A1087" t="inlineStr">
        <is>
          <t>RESP0224</t>
        </is>
      </c>
      <c r="B1087" t="inlineStr">
        <is>
          <t>Study flow 1</t>
        </is>
      </c>
      <c r="C1087" t="n">
        <v>1</v>
      </c>
      <c r="D1087" t="inlineStr">
        <is>
          <t>Pre-study calibration</t>
        </is>
      </c>
      <c r="E1087" t="n">
        <v>0.49</v>
      </c>
      <c r="F1087" t="n">
        <v>97.40000000000001</v>
      </c>
      <c r="G1087" t="n">
        <v>99.90000000000001</v>
      </c>
    </row>
    <row r="1088">
      <c r="A1088" t="inlineStr">
        <is>
          <t>RESP0224</t>
        </is>
      </c>
      <c r="B1088" t="inlineStr">
        <is>
          <t>Study flow 1</t>
        </is>
      </c>
      <c r="C1088" t="n">
        <v>2</v>
      </c>
      <c r="D1088" t="inlineStr">
        <is>
          <t>Instructions1</t>
        </is>
      </c>
      <c r="E1088" t="inlineStr">
        <is>
          <t>NA</t>
        </is>
      </c>
      <c r="F1088" t="n">
        <v>98.5</v>
      </c>
      <c r="G1088" t="n">
        <v>99.90000000000001</v>
      </c>
    </row>
    <row r="1089">
      <c r="A1089" t="inlineStr">
        <is>
          <t>RESP0224</t>
        </is>
      </c>
      <c r="B1089" t="inlineStr">
        <is>
          <t>Study flow 1</t>
        </is>
      </c>
      <c r="C1089" t="n">
        <v>3</v>
      </c>
      <c r="D1089" t="inlineStr">
        <is>
          <t>foodwaste_narrative</t>
        </is>
      </c>
      <c r="E1089" t="inlineStr">
        <is>
          <t>NA</t>
        </is>
      </c>
      <c r="F1089" t="n">
        <v>99</v>
      </c>
      <c r="G1089" t="n">
        <v>99.90000000000001</v>
      </c>
    </row>
    <row r="1090">
      <c r="A1090" t="inlineStr">
        <is>
          <t>RESP0224</t>
        </is>
      </c>
      <c r="B1090" t="inlineStr">
        <is>
          <t>Study flow 1</t>
        </is>
      </c>
      <c r="C1090" t="n">
        <v>4</v>
      </c>
      <c r="D1090" t="inlineStr">
        <is>
          <t>foodwaste_visual</t>
        </is>
      </c>
      <c r="E1090" t="inlineStr">
        <is>
          <t>NA</t>
        </is>
      </c>
      <c r="F1090" t="n">
        <v>98.2</v>
      </c>
      <c r="G1090" t="n">
        <v>99.90000000000001</v>
      </c>
    </row>
    <row r="1091">
      <c r="A1091" t="inlineStr">
        <is>
          <t>RESP0224</t>
        </is>
      </c>
      <c r="B1091" t="inlineStr">
        <is>
          <t>Study flow 1</t>
        </is>
      </c>
      <c r="C1091" t="n">
        <v>5</v>
      </c>
      <c r="D1091" t="inlineStr">
        <is>
          <t>infographic</t>
        </is>
      </c>
      <c r="E1091" t="inlineStr">
        <is>
          <t>NA</t>
        </is>
      </c>
      <c r="F1091" t="n">
        <v>95.7</v>
      </c>
      <c r="G1091" t="n">
        <v>99.90000000000001</v>
      </c>
    </row>
    <row r="1092">
      <c r="A1092" t="inlineStr">
        <is>
          <t>RESP0224</t>
        </is>
      </c>
      <c r="B1092" t="inlineStr">
        <is>
          <t>Study flow 1</t>
        </is>
      </c>
      <c r="C1092" t="n">
        <v>6</v>
      </c>
      <c r="D1092" t="inlineStr">
        <is>
          <t>Questionnaire</t>
        </is>
      </c>
      <c r="E1092" t="inlineStr">
        <is>
          <t>NA</t>
        </is>
      </c>
      <c r="F1092" t="n">
        <v>98.90000000000001</v>
      </c>
      <c r="G1092" t="n">
        <v>99.90000000000001</v>
      </c>
    </row>
    <row r="1093">
      <c r="A1093" t="inlineStr">
        <is>
          <t>RESP0224</t>
        </is>
      </c>
      <c r="B1093" t="inlineStr">
        <is>
          <t>Study flow 1</t>
        </is>
      </c>
      <c r="C1093" t="n">
        <v>7</v>
      </c>
      <c r="D1093" t="inlineStr">
        <is>
          <t>Post-study calibration</t>
        </is>
      </c>
      <c r="E1093" t="n">
        <v>0.89</v>
      </c>
      <c r="F1093" t="n">
        <v>98.5</v>
      </c>
      <c r="G1093" t="n">
        <v>99.90000000000001</v>
      </c>
    </row>
    <row r="1094">
      <c r="A1094" t="inlineStr">
        <is>
          <t>RESP0226</t>
        </is>
      </c>
      <c r="B1094" t="inlineStr">
        <is>
          <t>Study flow 1</t>
        </is>
      </c>
      <c r="C1094" t="n">
        <v>1</v>
      </c>
      <c r="D1094" t="inlineStr">
        <is>
          <t>Pre-study calibration</t>
        </is>
      </c>
      <c r="E1094" t="n">
        <v>1.6</v>
      </c>
      <c r="F1094" t="n">
        <v>98.09999999999999</v>
      </c>
      <c r="G1094" t="n">
        <v>99.40000000000001</v>
      </c>
    </row>
    <row r="1095">
      <c r="A1095" t="inlineStr">
        <is>
          <t>RESP0226</t>
        </is>
      </c>
      <c r="B1095" t="inlineStr">
        <is>
          <t>Study flow 1</t>
        </is>
      </c>
      <c r="C1095" t="n">
        <v>2</v>
      </c>
      <c r="D1095" t="inlineStr">
        <is>
          <t>Instructions1</t>
        </is>
      </c>
      <c r="E1095" t="inlineStr">
        <is>
          <t>NA</t>
        </is>
      </c>
      <c r="F1095" t="n">
        <v>97.2</v>
      </c>
      <c r="G1095" t="n">
        <v>99.2</v>
      </c>
    </row>
    <row r="1096">
      <c r="A1096" t="inlineStr">
        <is>
          <t>RESP0226</t>
        </is>
      </c>
      <c r="B1096" t="inlineStr">
        <is>
          <t>Study flow 1</t>
        </is>
      </c>
      <c r="C1096" t="n">
        <v>3</v>
      </c>
      <c r="D1096" t="inlineStr">
        <is>
          <t>foodwaste_narrative</t>
        </is>
      </c>
      <c r="E1096" t="inlineStr">
        <is>
          <t>NA</t>
        </is>
      </c>
      <c r="F1096" t="n">
        <v>98.90000000000001</v>
      </c>
      <c r="G1096" t="n">
        <v>99.40000000000001</v>
      </c>
    </row>
    <row r="1097">
      <c r="A1097" t="inlineStr">
        <is>
          <t>RESP0226</t>
        </is>
      </c>
      <c r="B1097" t="inlineStr">
        <is>
          <t>Study flow 1</t>
        </is>
      </c>
      <c r="C1097" t="n">
        <v>4</v>
      </c>
      <c r="D1097" t="inlineStr">
        <is>
          <t>foodwaste_visual</t>
        </is>
      </c>
      <c r="E1097" t="inlineStr">
        <is>
          <t>NA</t>
        </is>
      </c>
      <c r="F1097" t="n">
        <v>98.5</v>
      </c>
      <c r="G1097" t="n">
        <v>99.5</v>
      </c>
    </row>
    <row r="1098">
      <c r="A1098" t="inlineStr">
        <is>
          <t>RESP0226</t>
        </is>
      </c>
      <c r="B1098" t="inlineStr">
        <is>
          <t>Study flow 1</t>
        </is>
      </c>
      <c r="C1098" t="n">
        <v>5</v>
      </c>
      <c r="D1098" t="inlineStr">
        <is>
          <t>infographic</t>
        </is>
      </c>
      <c r="E1098" t="inlineStr">
        <is>
          <t>NA</t>
        </is>
      </c>
      <c r="F1098" t="n">
        <v>97.7</v>
      </c>
      <c r="G1098" t="n">
        <v>99.5</v>
      </c>
    </row>
    <row r="1099">
      <c r="A1099" t="inlineStr">
        <is>
          <t>RESP0226</t>
        </is>
      </c>
      <c r="B1099" t="inlineStr">
        <is>
          <t>Study flow 1</t>
        </is>
      </c>
      <c r="C1099" t="n">
        <v>6</v>
      </c>
      <c r="D1099" t="inlineStr">
        <is>
          <t>Questionnaire</t>
        </is>
      </c>
      <c r="E1099" t="inlineStr">
        <is>
          <t>NA</t>
        </is>
      </c>
      <c r="F1099" t="n">
        <v>98</v>
      </c>
      <c r="G1099" t="n">
        <v>99.40000000000001</v>
      </c>
    </row>
    <row r="1100">
      <c r="A1100" t="inlineStr">
        <is>
          <t>RESP0226</t>
        </is>
      </c>
      <c r="B1100" t="inlineStr">
        <is>
          <t>Study flow 1</t>
        </is>
      </c>
      <c r="C1100" t="n">
        <v>7</v>
      </c>
      <c r="D1100" t="inlineStr">
        <is>
          <t>Post-study calibration</t>
        </is>
      </c>
      <c r="E1100" t="n">
        <v>2.43</v>
      </c>
      <c r="F1100" t="n">
        <v>98.09999999999999</v>
      </c>
      <c r="G1100" t="n">
        <v>98.90000000000001</v>
      </c>
    </row>
    <row r="1101">
      <c r="A1101" t="inlineStr">
        <is>
          <t>RESP0227</t>
        </is>
      </c>
      <c r="B1101" t="inlineStr">
        <is>
          <t>Study flow 1</t>
        </is>
      </c>
      <c r="C1101" t="n">
        <v>1</v>
      </c>
      <c r="D1101" t="inlineStr">
        <is>
          <t>Pre-study calibration</t>
        </is>
      </c>
      <c r="E1101" t="n">
        <v>0.6</v>
      </c>
      <c r="F1101" t="n">
        <v>99</v>
      </c>
      <c r="G1101" t="n">
        <v>97.5</v>
      </c>
    </row>
    <row r="1102">
      <c r="A1102" t="inlineStr">
        <is>
          <t>RESP0227</t>
        </is>
      </c>
      <c r="B1102" t="inlineStr">
        <is>
          <t>Study flow 1</t>
        </is>
      </c>
      <c r="C1102" t="n">
        <v>2</v>
      </c>
      <c r="D1102" t="inlineStr">
        <is>
          <t>Instructions1</t>
        </is>
      </c>
      <c r="E1102" t="inlineStr">
        <is>
          <t>NA</t>
        </is>
      </c>
      <c r="F1102" t="n">
        <v>98.09999999999999</v>
      </c>
      <c r="G1102" t="n">
        <v>98</v>
      </c>
    </row>
    <row r="1103">
      <c r="A1103" t="inlineStr">
        <is>
          <t>RESP0227</t>
        </is>
      </c>
      <c r="B1103" t="inlineStr">
        <is>
          <t>Study flow 1</t>
        </is>
      </c>
      <c r="C1103" t="n">
        <v>3</v>
      </c>
      <c r="D1103" t="inlineStr">
        <is>
          <t>foodwaste_narrative</t>
        </is>
      </c>
      <c r="E1103" t="inlineStr">
        <is>
          <t>NA</t>
        </is>
      </c>
      <c r="F1103" t="n">
        <v>98.59999999999999</v>
      </c>
      <c r="G1103" t="n">
        <v>97.40000000000001</v>
      </c>
    </row>
    <row r="1104">
      <c r="A1104" t="inlineStr">
        <is>
          <t>RESP0227</t>
        </is>
      </c>
      <c r="B1104" t="inlineStr">
        <is>
          <t>Study flow 1</t>
        </is>
      </c>
      <c r="C1104" t="n">
        <v>4</v>
      </c>
      <c r="D1104" t="inlineStr">
        <is>
          <t>foodwaste_visual</t>
        </is>
      </c>
      <c r="E1104" t="inlineStr">
        <is>
          <t>NA</t>
        </is>
      </c>
      <c r="F1104" t="n">
        <v>98.3</v>
      </c>
      <c r="G1104" t="n">
        <v>98</v>
      </c>
    </row>
    <row r="1105">
      <c r="A1105" t="inlineStr">
        <is>
          <t>RESP0227</t>
        </is>
      </c>
      <c r="B1105" t="inlineStr">
        <is>
          <t>Study flow 1</t>
        </is>
      </c>
      <c r="C1105" t="n">
        <v>5</v>
      </c>
      <c r="D1105" t="inlineStr">
        <is>
          <t>infographic</t>
        </is>
      </c>
      <c r="E1105" t="inlineStr">
        <is>
          <t>NA</t>
        </is>
      </c>
      <c r="F1105" t="n">
        <v>98.09999999999999</v>
      </c>
      <c r="G1105" t="n">
        <v>98.59999999999999</v>
      </c>
    </row>
    <row r="1106">
      <c r="A1106" t="inlineStr">
        <is>
          <t>RESP0227</t>
        </is>
      </c>
      <c r="B1106" t="inlineStr">
        <is>
          <t>Study flow 1</t>
        </is>
      </c>
      <c r="C1106" t="n">
        <v>6</v>
      </c>
      <c r="D1106" t="inlineStr">
        <is>
          <t>Questionnaire</t>
        </is>
      </c>
      <c r="E1106" t="inlineStr">
        <is>
          <t>NA</t>
        </is>
      </c>
      <c r="F1106" t="n">
        <v>98.2</v>
      </c>
      <c r="G1106" t="n">
        <v>98.3</v>
      </c>
    </row>
    <row r="1107">
      <c r="A1107" t="inlineStr">
        <is>
          <t>RESP0227</t>
        </is>
      </c>
      <c r="B1107" t="inlineStr">
        <is>
          <t>Study flow 1</t>
        </is>
      </c>
      <c r="C1107" t="n">
        <v>7</v>
      </c>
      <c r="D1107" t="inlineStr">
        <is>
          <t>Post-study calibration</t>
        </is>
      </c>
      <c r="E1107" t="n">
        <v>0.78</v>
      </c>
      <c r="F1107" t="n">
        <v>98.90000000000001</v>
      </c>
      <c r="G1107" t="n">
        <v>98.3</v>
      </c>
    </row>
    <row r="1108">
      <c r="A1108" t="inlineStr">
        <is>
          <t>RESP0228</t>
        </is>
      </c>
      <c r="B1108" t="inlineStr">
        <is>
          <t>Study flow 2</t>
        </is>
      </c>
      <c r="C1108" t="n">
        <v>1</v>
      </c>
      <c r="D1108" t="inlineStr">
        <is>
          <t>Pre-study calibration</t>
        </is>
      </c>
      <c r="E1108" t="n">
        <v>0.82</v>
      </c>
      <c r="F1108" t="n">
        <v>97.40000000000001</v>
      </c>
      <c r="G1108" t="n">
        <v>99.40000000000001</v>
      </c>
    </row>
    <row r="1109">
      <c r="A1109" t="inlineStr">
        <is>
          <t>RESP0228</t>
        </is>
      </c>
      <c r="B1109" t="inlineStr">
        <is>
          <t>Study flow 2</t>
        </is>
      </c>
      <c r="C1109" t="n">
        <v>2</v>
      </c>
      <c r="D1109" t="inlineStr">
        <is>
          <t>Instructions1</t>
        </is>
      </c>
      <c r="E1109" t="inlineStr">
        <is>
          <t>NA</t>
        </is>
      </c>
      <c r="F1109" t="n">
        <v>96.3</v>
      </c>
      <c r="G1109" t="n">
        <v>98.90000000000001</v>
      </c>
    </row>
    <row r="1110">
      <c r="A1110" t="inlineStr">
        <is>
          <t>RESP0228</t>
        </is>
      </c>
      <c r="B1110" t="inlineStr">
        <is>
          <t>Study flow 2</t>
        </is>
      </c>
      <c r="C1110" t="n">
        <v>3</v>
      </c>
      <c r="D1110" t="inlineStr">
        <is>
          <t>foodwaste_visual</t>
        </is>
      </c>
      <c r="E1110" t="inlineStr">
        <is>
          <t>NA</t>
        </is>
      </c>
      <c r="F1110" t="n">
        <v>96.40000000000001</v>
      </c>
      <c r="G1110" t="n">
        <v>98.7</v>
      </c>
    </row>
    <row r="1111">
      <c r="A1111" t="inlineStr">
        <is>
          <t>RESP0228</t>
        </is>
      </c>
      <c r="B1111" t="inlineStr">
        <is>
          <t>Study flow 2</t>
        </is>
      </c>
      <c r="C1111" t="n">
        <v>4</v>
      </c>
      <c r="D1111" t="inlineStr">
        <is>
          <t>foodwaste_narrative</t>
        </is>
      </c>
      <c r="E1111" t="inlineStr">
        <is>
          <t>NA</t>
        </is>
      </c>
      <c r="F1111" t="n">
        <v>94.2</v>
      </c>
      <c r="G1111" t="n">
        <v>99.09999999999999</v>
      </c>
    </row>
    <row r="1112">
      <c r="A1112" t="inlineStr">
        <is>
          <t>RESP0228</t>
        </is>
      </c>
      <c r="B1112" t="inlineStr">
        <is>
          <t>Study flow 2</t>
        </is>
      </c>
      <c r="C1112" t="n">
        <v>5</v>
      </c>
      <c r="D1112" t="inlineStr">
        <is>
          <t>infographic</t>
        </is>
      </c>
      <c r="E1112" t="inlineStr">
        <is>
          <t>NA</t>
        </is>
      </c>
      <c r="F1112" t="n">
        <v>97.5</v>
      </c>
      <c r="G1112" t="n">
        <v>99.2</v>
      </c>
    </row>
    <row r="1113">
      <c r="A1113" t="inlineStr">
        <is>
          <t>RESP0228</t>
        </is>
      </c>
      <c r="B1113" t="inlineStr">
        <is>
          <t>Study flow 2</t>
        </is>
      </c>
      <c r="C1113" t="n">
        <v>6</v>
      </c>
      <c r="D1113" t="inlineStr">
        <is>
          <t>Questionnaire</t>
        </is>
      </c>
      <c r="E1113" t="inlineStr">
        <is>
          <t>NA</t>
        </is>
      </c>
      <c r="F1113" t="n">
        <v>96.8</v>
      </c>
      <c r="G1113" t="n">
        <v>99</v>
      </c>
    </row>
    <row r="1114">
      <c r="A1114" t="inlineStr">
        <is>
          <t>RESP0228</t>
        </is>
      </c>
      <c r="B1114" t="inlineStr">
        <is>
          <t>Study flow 2</t>
        </is>
      </c>
      <c r="C1114" t="n">
        <v>7</v>
      </c>
      <c r="D1114" t="inlineStr">
        <is>
          <t>Post-study calibration</t>
        </is>
      </c>
      <c r="E1114" t="n">
        <v>1.86</v>
      </c>
      <c r="F1114" t="n">
        <v>96.5</v>
      </c>
      <c r="G1114" t="n">
        <v>99.09999999999999</v>
      </c>
    </row>
    <row r="1115">
      <c r="A1115" t="inlineStr">
        <is>
          <t>RESP0229</t>
        </is>
      </c>
      <c r="B1115" t="inlineStr">
        <is>
          <t>Study flow 2</t>
        </is>
      </c>
      <c r="C1115" t="n">
        <v>1</v>
      </c>
      <c r="D1115" t="inlineStr">
        <is>
          <t>Pre-study calibration</t>
        </is>
      </c>
      <c r="E1115" t="n">
        <v>0.91</v>
      </c>
      <c r="F1115" t="n">
        <v>99.09999999999999</v>
      </c>
      <c r="G1115" t="n">
        <v>99.8</v>
      </c>
    </row>
    <row r="1116">
      <c r="A1116" t="inlineStr">
        <is>
          <t>RESP0229</t>
        </is>
      </c>
      <c r="B1116" t="inlineStr">
        <is>
          <t>Study flow 2</t>
        </is>
      </c>
      <c r="C1116" t="n">
        <v>2</v>
      </c>
      <c r="D1116" t="inlineStr">
        <is>
          <t>Instructions1</t>
        </is>
      </c>
      <c r="E1116" t="inlineStr">
        <is>
          <t>NA</t>
        </is>
      </c>
      <c r="F1116" t="n">
        <v>99.2</v>
      </c>
      <c r="G1116" t="n">
        <v>99.7</v>
      </c>
    </row>
    <row r="1117">
      <c r="A1117" t="inlineStr">
        <is>
          <t>RESP0229</t>
        </is>
      </c>
      <c r="B1117" t="inlineStr">
        <is>
          <t>Study flow 2</t>
        </is>
      </c>
      <c r="C1117" t="n">
        <v>3</v>
      </c>
      <c r="D1117" t="inlineStr">
        <is>
          <t>foodwaste_visual</t>
        </is>
      </c>
      <c r="E1117" t="inlineStr">
        <is>
          <t>NA</t>
        </is>
      </c>
      <c r="F1117" t="n">
        <v>98.5</v>
      </c>
      <c r="G1117" t="n">
        <v>99.8</v>
      </c>
    </row>
    <row r="1118">
      <c r="A1118" t="inlineStr">
        <is>
          <t>RESP0229</t>
        </is>
      </c>
      <c r="B1118" t="inlineStr">
        <is>
          <t>Study flow 2</t>
        </is>
      </c>
      <c r="C1118" t="n">
        <v>4</v>
      </c>
      <c r="D1118" t="inlineStr">
        <is>
          <t>foodwaste_narrative</t>
        </is>
      </c>
      <c r="E1118" t="inlineStr">
        <is>
          <t>NA</t>
        </is>
      </c>
      <c r="F1118" t="n">
        <v>99.59999999999999</v>
      </c>
      <c r="G1118" t="n">
        <v>99.90000000000001</v>
      </c>
    </row>
    <row r="1119">
      <c r="A1119" t="inlineStr">
        <is>
          <t>RESP0229</t>
        </is>
      </c>
      <c r="B1119" t="inlineStr">
        <is>
          <t>Study flow 2</t>
        </is>
      </c>
      <c r="C1119" t="n">
        <v>5</v>
      </c>
      <c r="D1119" t="inlineStr">
        <is>
          <t>infographic</t>
        </is>
      </c>
      <c r="E1119" t="inlineStr">
        <is>
          <t>NA</t>
        </is>
      </c>
      <c r="F1119" t="n">
        <v>99.59999999999999</v>
      </c>
      <c r="G1119" t="n">
        <v>99.90000000000001</v>
      </c>
    </row>
    <row r="1120">
      <c r="A1120" t="inlineStr">
        <is>
          <t>RESP0229</t>
        </is>
      </c>
      <c r="B1120" t="inlineStr">
        <is>
          <t>Study flow 2</t>
        </is>
      </c>
      <c r="C1120" t="n">
        <v>6</v>
      </c>
      <c r="D1120" t="inlineStr">
        <is>
          <t>Questionnaire</t>
        </is>
      </c>
      <c r="E1120" t="inlineStr">
        <is>
          <t>NA</t>
        </is>
      </c>
      <c r="F1120" t="n">
        <v>98.90000000000001</v>
      </c>
      <c r="G1120" t="n">
        <v>99.8</v>
      </c>
    </row>
    <row r="1121">
      <c r="A1121" t="inlineStr">
        <is>
          <t>RESP0229</t>
        </is>
      </c>
      <c r="B1121" t="inlineStr">
        <is>
          <t>Study flow 2</t>
        </is>
      </c>
      <c r="C1121" t="n">
        <v>7</v>
      </c>
      <c r="D1121" t="inlineStr">
        <is>
          <t>Post-study calibration</t>
        </is>
      </c>
      <c r="E1121" t="n">
        <v>1.12</v>
      </c>
      <c r="F1121" t="n">
        <v>99.2</v>
      </c>
      <c r="G1121" t="n">
        <v>99.90000000000001</v>
      </c>
    </row>
    <row r="1122">
      <c r="A1122" t="inlineStr">
        <is>
          <t>RESP0234</t>
        </is>
      </c>
      <c r="B1122" t="inlineStr">
        <is>
          <t>Study flow 1</t>
        </is>
      </c>
      <c r="C1122" t="n">
        <v>1</v>
      </c>
      <c r="D1122" t="inlineStr">
        <is>
          <t>Pre-study calibration</t>
        </is>
      </c>
      <c r="E1122" t="n">
        <v>1.07</v>
      </c>
      <c r="F1122" t="n">
        <v>97.59999999999999</v>
      </c>
      <c r="G1122" t="n">
        <v>99.3</v>
      </c>
    </row>
    <row r="1123">
      <c r="A1123" t="inlineStr">
        <is>
          <t>RESP0234</t>
        </is>
      </c>
      <c r="B1123" t="inlineStr">
        <is>
          <t>Study flow 1</t>
        </is>
      </c>
      <c r="C1123" t="n">
        <v>2</v>
      </c>
      <c r="D1123" t="inlineStr">
        <is>
          <t>Instructions1</t>
        </is>
      </c>
      <c r="E1123" t="inlineStr">
        <is>
          <t>NA</t>
        </is>
      </c>
      <c r="F1123" t="n">
        <v>98.59999999999999</v>
      </c>
      <c r="G1123" t="n">
        <v>99.2</v>
      </c>
    </row>
    <row r="1124">
      <c r="A1124" t="inlineStr">
        <is>
          <t>RESP0234</t>
        </is>
      </c>
      <c r="B1124" t="inlineStr">
        <is>
          <t>Study flow 1</t>
        </is>
      </c>
      <c r="C1124" t="n">
        <v>3</v>
      </c>
      <c r="D1124" t="inlineStr">
        <is>
          <t>foodwaste_narrative</t>
        </is>
      </c>
      <c r="E1124" t="inlineStr">
        <is>
          <t>NA</t>
        </is>
      </c>
      <c r="F1124" t="n">
        <v>98.59999999999999</v>
      </c>
      <c r="G1124" t="n">
        <v>98.8</v>
      </c>
    </row>
    <row r="1125">
      <c r="A1125" t="inlineStr">
        <is>
          <t>RESP0234</t>
        </is>
      </c>
      <c r="B1125" t="inlineStr">
        <is>
          <t>Study flow 1</t>
        </is>
      </c>
      <c r="C1125" t="n">
        <v>4</v>
      </c>
      <c r="D1125" t="inlineStr">
        <is>
          <t>foodwaste_visual</t>
        </is>
      </c>
      <c r="E1125" t="inlineStr">
        <is>
          <t>NA</t>
        </is>
      </c>
      <c r="F1125" t="n">
        <v>98.3</v>
      </c>
      <c r="G1125" t="n">
        <v>98.90000000000001</v>
      </c>
    </row>
    <row r="1126">
      <c r="A1126" t="inlineStr">
        <is>
          <t>RESP0234</t>
        </is>
      </c>
      <c r="B1126" t="inlineStr">
        <is>
          <t>Study flow 1</t>
        </is>
      </c>
      <c r="C1126" t="n">
        <v>5</v>
      </c>
      <c r="D1126" t="inlineStr">
        <is>
          <t>infographic</t>
        </is>
      </c>
      <c r="E1126" t="inlineStr">
        <is>
          <t>NA</t>
        </is>
      </c>
      <c r="F1126" t="n">
        <v>97.5</v>
      </c>
      <c r="G1126" t="n">
        <v>99.40000000000001</v>
      </c>
    </row>
    <row r="1127">
      <c r="A1127" t="inlineStr">
        <is>
          <t>RESP0234</t>
        </is>
      </c>
      <c r="B1127" t="inlineStr">
        <is>
          <t>Study flow 1</t>
        </is>
      </c>
      <c r="C1127" t="n">
        <v>6</v>
      </c>
      <c r="D1127" t="inlineStr">
        <is>
          <t>Questionnaire</t>
        </is>
      </c>
      <c r="E1127" t="inlineStr">
        <is>
          <t>NA</t>
        </is>
      </c>
      <c r="F1127" t="n">
        <v>98.5</v>
      </c>
      <c r="G1127" t="n">
        <v>99.2</v>
      </c>
    </row>
    <row r="1128">
      <c r="A1128" t="inlineStr">
        <is>
          <t>RESP0234</t>
        </is>
      </c>
      <c r="B1128" t="inlineStr">
        <is>
          <t>Study flow 1</t>
        </is>
      </c>
      <c r="C1128" t="n">
        <v>7</v>
      </c>
      <c r="D1128" t="inlineStr">
        <is>
          <t>Post-study calibration</t>
        </is>
      </c>
      <c r="E1128" t="n">
        <v>1.92</v>
      </c>
      <c r="F1128" t="n">
        <v>98.59999999999999</v>
      </c>
      <c r="G1128" t="n">
        <v>99.5</v>
      </c>
    </row>
    <row r="1129">
      <c r="A1129" t="inlineStr">
        <is>
          <t>RESP0236</t>
        </is>
      </c>
      <c r="B1129" t="inlineStr">
        <is>
          <t>Study flow 2</t>
        </is>
      </c>
      <c r="C1129" t="n">
        <v>1</v>
      </c>
      <c r="D1129" t="inlineStr">
        <is>
          <t>Pre-study calibration</t>
        </is>
      </c>
      <c r="E1129" t="n">
        <v>2.11</v>
      </c>
      <c r="F1129" t="n">
        <v>91.7</v>
      </c>
      <c r="G1129" t="n">
        <v>87</v>
      </c>
    </row>
    <row r="1130">
      <c r="A1130" t="inlineStr">
        <is>
          <t>RESP0236</t>
        </is>
      </c>
      <c r="B1130" t="inlineStr">
        <is>
          <t>Study flow 2</t>
        </is>
      </c>
      <c r="C1130" t="n">
        <v>2</v>
      </c>
      <c r="D1130" t="inlineStr">
        <is>
          <t>Instructions1</t>
        </is>
      </c>
      <c r="E1130" t="inlineStr">
        <is>
          <t>NA</t>
        </is>
      </c>
      <c r="F1130" t="n">
        <v>86.40000000000001</v>
      </c>
      <c r="G1130" t="n">
        <v>87</v>
      </c>
    </row>
    <row r="1131">
      <c r="A1131" t="inlineStr">
        <is>
          <t>RESP0236</t>
        </is>
      </c>
      <c r="B1131" t="inlineStr">
        <is>
          <t>Study flow 2</t>
        </is>
      </c>
      <c r="C1131" t="n">
        <v>3</v>
      </c>
      <c r="D1131" t="inlineStr">
        <is>
          <t>foodwaste_visual</t>
        </is>
      </c>
      <c r="E1131" t="inlineStr">
        <is>
          <t>NA</t>
        </is>
      </c>
      <c r="F1131" t="n">
        <v>91.5</v>
      </c>
      <c r="G1131" t="n">
        <v>91.09999999999999</v>
      </c>
    </row>
    <row r="1132">
      <c r="A1132" t="inlineStr">
        <is>
          <t>RESP0236</t>
        </is>
      </c>
      <c r="B1132" t="inlineStr">
        <is>
          <t>Study flow 2</t>
        </is>
      </c>
      <c r="C1132" t="n">
        <v>4</v>
      </c>
      <c r="D1132" t="inlineStr">
        <is>
          <t>foodwaste_narrative</t>
        </is>
      </c>
      <c r="E1132" t="inlineStr">
        <is>
          <t>NA</t>
        </is>
      </c>
      <c r="F1132" t="n">
        <v>91.59999999999999</v>
      </c>
      <c r="G1132" t="n">
        <v>89.90000000000001</v>
      </c>
    </row>
    <row r="1133">
      <c r="A1133" t="inlineStr">
        <is>
          <t>RESP0236</t>
        </is>
      </c>
      <c r="B1133" t="inlineStr">
        <is>
          <t>Study flow 2</t>
        </is>
      </c>
      <c r="C1133" t="n">
        <v>5</v>
      </c>
      <c r="D1133" t="inlineStr">
        <is>
          <t>infographic</t>
        </is>
      </c>
      <c r="E1133" t="inlineStr">
        <is>
          <t>NA</t>
        </is>
      </c>
      <c r="F1133" t="n">
        <v>94.8</v>
      </c>
      <c r="G1133" t="n">
        <v>92.7</v>
      </c>
    </row>
    <row r="1134">
      <c r="A1134" t="inlineStr">
        <is>
          <t>RESP0236</t>
        </is>
      </c>
      <c r="B1134" t="inlineStr">
        <is>
          <t>Study flow 2</t>
        </is>
      </c>
      <c r="C1134" t="n">
        <v>6</v>
      </c>
      <c r="D1134" t="inlineStr">
        <is>
          <t>Questionnaire</t>
        </is>
      </c>
      <c r="E1134" t="inlineStr">
        <is>
          <t>NA</t>
        </is>
      </c>
      <c r="F1134" t="n">
        <v>89.09999999999999</v>
      </c>
      <c r="G1134" t="n">
        <v>88.5</v>
      </c>
    </row>
    <row r="1135">
      <c r="A1135" t="inlineStr">
        <is>
          <t>RESP0236</t>
        </is>
      </c>
      <c r="B1135" t="inlineStr">
        <is>
          <t>Study flow 2</t>
        </is>
      </c>
      <c r="C1135" t="n">
        <v>7</v>
      </c>
      <c r="D1135" t="inlineStr">
        <is>
          <t>Post-study calibration</t>
        </is>
      </c>
      <c r="E1135" t="n">
        <v>3.46</v>
      </c>
      <c r="F1135" t="n">
        <v>92.59999999999999</v>
      </c>
      <c r="G1135" t="n">
        <v>90.5</v>
      </c>
    </row>
    <row r="1136">
      <c r="A1136" t="inlineStr">
        <is>
          <t>RESP0237</t>
        </is>
      </c>
      <c r="B1136" t="inlineStr">
        <is>
          <t>Study flow 2</t>
        </is>
      </c>
      <c r="C1136" t="n">
        <v>1</v>
      </c>
      <c r="D1136" t="inlineStr">
        <is>
          <t>Pre-study calibration</t>
        </is>
      </c>
      <c r="E1136" t="n">
        <v>0.74</v>
      </c>
      <c r="F1136" t="n">
        <v>98.2</v>
      </c>
      <c r="G1136" t="n">
        <v>97.5</v>
      </c>
    </row>
    <row r="1137">
      <c r="A1137" t="inlineStr">
        <is>
          <t>RESP0237</t>
        </is>
      </c>
      <c r="B1137" t="inlineStr">
        <is>
          <t>Study flow 2</t>
        </is>
      </c>
      <c r="C1137" t="n">
        <v>2</v>
      </c>
      <c r="D1137" t="inlineStr">
        <is>
          <t>Instructions1</t>
        </is>
      </c>
      <c r="E1137" t="inlineStr">
        <is>
          <t>NA</t>
        </is>
      </c>
      <c r="F1137" t="n">
        <v>97.09999999999999</v>
      </c>
      <c r="G1137" t="n">
        <v>97.90000000000001</v>
      </c>
    </row>
    <row r="1138">
      <c r="A1138" t="inlineStr">
        <is>
          <t>RESP0237</t>
        </is>
      </c>
      <c r="B1138" t="inlineStr">
        <is>
          <t>Study flow 2</t>
        </is>
      </c>
      <c r="C1138" t="n">
        <v>3</v>
      </c>
      <c r="D1138" t="inlineStr">
        <is>
          <t>foodwaste_visual</t>
        </is>
      </c>
      <c r="E1138" t="inlineStr">
        <is>
          <t>NA</t>
        </is>
      </c>
      <c r="F1138" t="n">
        <v>98.7</v>
      </c>
      <c r="G1138" t="n">
        <v>96.2</v>
      </c>
    </row>
    <row r="1139">
      <c r="A1139" t="inlineStr">
        <is>
          <t>RESP0237</t>
        </is>
      </c>
      <c r="B1139" t="inlineStr">
        <is>
          <t>Study flow 2</t>
        </is>
      </c>
      <c r="C1139" t="n">
        <v>4</v>
      </c>
      <c r="D1139" t="inlineStr">
        <is>
          <t>foodwaste_narrative</t>
        </is>
      </c>
      <c r="E1139" t="inlineStr">
        <is>
          <t>NA</t>
        </is>
      </c>
      <c r="F1139" t="n">
        <v>96.90000000000001</v>
      </c>
      <c r="G1139" t="n">
        <v>96.40000000000001</v>
      </c>
    </row>
    <row r="1140">
      <c r="A1140" t="inlineStr">
        <is>
          <t>RESP0237</t>
        </is>
      </c>
      <c r="B1140" t="inlineStr">
        <is>
          <t>Study flow 2</t>
        </is>
      </c>
      <c r="C1140" t="n">
        <v>5</v>
      </c>
      <c r="D1140" t="inlineStr">
        <is>
          <t>infographic</t>
        </is>
      </c>
      <c r="E1140" t="inlineStr">
        <is>
          <t>NA</t>
        </is>
      </c>
      <c r="F1140" t="n">
        <v>98.8</v>
      </c>
      <c r="G1140" t="n">
        <v>96.2</v>
      </c>
    </row>
    <row r="1141">
      <c r="A1141" t="inlineStr">
        <is>
          <t>RESP0237</t>
        </is>
      </c>
      <c r="B1141" t="inlineStr">
        <is>
          <t>Study flow 2</t>
        </is>
      </c>
      <c r="C1141" t="n">
        <v>6</v>
      </c>
      <c r="D1141" t="inlineStr">
        <is>
          <t>Questionnaire</t>
        </is>
      </c>
      <c r="E1141" t="inlineStr">
        <is>
          <t>NA</t>
        </is>
      </c>
      <c r="F1141" t="n">
        <v>97.3</v>
      </c>
      <c r="G1141" t="n">
        <v>98</v>
      </c>
    </row>
    <row r="1142">
      <c r="A1142" t="inlineStr">
        <is>
          <t>RESP0237</t>
        </is>
      </c>
      <c r="B1142" t="inlineStr">
        <is>
          <t>Study flow 2</t>
        </is>
      </c>
      <c r="C1142" t="n">
        <v>7</v>
      </c>
      <c r="D1142" t="inlineStr">
        <is>
          <t>Post-study calibration</t>
        </is>
      </c>
      <c r="E1142" t="n">
        <v>1.08</v>
      </c>
      <c r="F1142" t="n">
        <v>97.59999999999999</v>
      </c>
      <c r="G1142" t="n">
        <v>97.5</v>
      </c>
    </row>
    <row r="1143">
      <c r="A1143" t="inlineStr">
        <is>
          <t>RESP0238</t>
        </is>
      </c>
      <c r="B1143" t="inlineStr">
        <is>
          <t>Study flow 1</t>
        </is>
      </c>
      <c r="C1143" t="n">
        <v>1</v>
      </c>
      <c r="D1143" t="inlineStr">
        <is>
          <t>Pre-study calibration</t>
        </is>
      </c>
      <c r="E1143" t="n">
        <v>2.04</v>
      </c>
      <c r="F1143" t="n">
        <v>87.59999999999999</v>
      </c>
      <c r="G1143" t="n">
        <v>94.7</v>
      </c>
    </row>
    <row r="1144">
      <c r="A1144" t="inlineStr">
        <is>
          <t>RESP0238</t>
        </is>
      </c>
      <c r="B1144" t="inlineStr">
        <is>
          <t>Study flow 1</t>
        </is>
      </c>
      <c r="C1144" t="n">
        <v>2</v>
      </c>
      <c r="D1144" t="inlineStr">
        <is>
          <t>Instructions1</t>
        </is>
      </c>
      <c r="E1144" t="inlineStr">
        <is>
          <t>NA</t>
        </is>
      </c>
      <c r="F1144" t="n">
        <v>90</v>
      </c>
      <c r="G1144" t="n">
        <v>95.7</v>
      </c>
    </row>
    <row r="1145">
      <c r="A1145" t="inlineStr">
        <is>
          <t>RESP0238</t>
        </is>
      </c>
      <c r="B1145" t="inlineStr">
        <is>
          <t>Study flow 1</t>
        </is>
      </c>
      <c r="C1145" t="n">
        <v>3</v>
      </c>
      <c r="D1145" t="inlineStr">
        <is>
          <t>foodwaste_narrative</t>
        </is>
      </c>
      <c r="E1145" t="inlineStr">
        <is>
          <t>NA</t>
        </is>
      </c>
      <c r="F1145" t="n">
        <v>90.8</v>
      </c>
      <c r="G1145" t="n">
        <v>89.8</v>
      </c>
    </row>
    <row r="1146">
      <c r="A1146" t="inlineStr">
        <is>
          <t>RESP0238</t>
        </is>
      </c>
      <c r="B1146" t="inlineStr">
        <is>
          <t>Study flow 1</t>
        </is>
      </c>
      <c r="C1146" t="n">
        <v>4</v>
      </c>
      <c r="D1146" t="inlineStr">
        <is>
          <t>foodwaste_visual</t>
        </is>
      </c>
      <c r="E1146" t="inlineStr">
        <is>
          <t>NA</t>
        </is>
      </c>
      <c r="F1146" t="n">
        <v>93.90000000000001</v>
      </c>
      <c r="G1146" t="n">
        <v>95.59999999999999</v>
      </c>
    </row>
    <row r="1147">
      <c r="A1147" t="inlineStr">
        <is>
          <t>RESP0238</t>
        </is>
      </c>
      <c r="B1147" t="inlineStr">
        <is>
          <t>Study flow 1</t>
        </is>
      </c>
      <c r="C1147" t="n">
        <v>5</v>
      </c>
      <c r="D1147" t="inlineStr">
        <is>
          <t>infographic</t>
        </is>
      </c>
      <c r="E1147" t="inlineStr">
        <is>
          <t>NA</t>
        </is>
      </c>
      <c r="F1147" t="n">
        <v>84</v>
      </c>
      <c r="G1147" t="n">
        <v>95.2</v>
      </c>
    </row>
    <row r="1148">
      <c r="A1148" t="inlineStr">
        <is>
          <t>RESP0238</t>
        </is>
      </c>
      <c r="B1148" t="inlineStr">
        <is>
          <t>Study flow 1</t>
        </is>
      </c>
      <c r="C1148" t="n">
        <v>6</v>
      </c>
      <c r="D1148" t="inlineStr">
        <is>
          <t>Questionnaire</t>
        </is>
      </c>
      <c r="E1148" t="inlineStr">
        <is>
          <t>NA</t>
        </is>
      </c>
      <c r="F1148" t="n">
        <v>83.59999999999999</v>
      </c>
      <c r="G1148" t="n">
        <v>93.90000000000001</v>
      </c>
    </row>
    <row r="1149">
      <c r="A1149" t="inlineStr">
        <is>
          <t>RESP0238</t>
        </is>
      </c>
      <c r="B1149" t="inlineStr">
        <is>
          <t>Study flow 1</t>
        </is>
      </c>
      <c r="C1149" t="n">
        <v>7</v>
      </c>
      <c r="D1149" t="inlineStr">
        <is>
          <t>Post-study calibration</t>
        </is>
      </c>
      <c r="E1149" t="n">
        <v>3.5</v>
      </c>
      <c r="F1149" t="n">
        <v>85.3</v>
      </c>
      <c r="G1149" t="n">
        <v>94.8</v>
      </c>
    </row>
    <row r="1150">
      <c r="A1150" t="inlineStr">
        <is>
          <t>RESP0240</t>
        </is>
      </c>
      <c r="B1150" t="inlineStr">
        <is>
          <t>Study flow 2</t>
        </is>
      </c>
      <c r="C1150" t="n">
        <v>1</v>
      </c>
      <c r="D1150" t="inlineStr">
        <is>
          <t>Pre-study calibration</t>
        </is>
      </c>
      <c r="E1150" t="n">
        <v>1.22</v>
      </c>
      <c r="F1150" t="n">
        <v>97.59999999999999</v>
      </c>
      <c r="G1150" t="n">
        <v>98.2</v>
      </c>
    </row>
    <row r="1151">
      <c r="A1151" t="inlineStr">
        <is>
          <t>RESP0240</t>
        </is>
      </c>
      <c r="B1151" t="inlineStr">
        <is>
          <t>Study flow 2</t>
        </is>
      </c>
      <c r="C1151" t="n">
        <v>2</v>
      </c>
      <c r="D1151" t="inlineStr">
        <is>
          <t>Instructions1</t>
        </is>
      </c>
      <c r="E1151" t="inlineStr">
        <is>
          <t>NA</t>
        </is>
      </c>
      <c r="F1151" t="n">
        <v>97.59999999999999</v>
      </c>
      <c r="G1151" t="n">
        <v>99.40000000000001</v>
      </c>
    </row>
    <row r="1152">
      <c r="A1152" t="inlineStr">
        <is>
          <t>RESP0240</t>
        </is>
      </c>
      <c r="B1152" t="inlineStr">
        <is>
          <t>Study flow 2</t>
        </is>
      </c>
      <c r="C1152" t="n">
        <v>3</v>
      </c>
      <c r="D1152" t="inlineStr">
        <is>
          <t>foodwaste_visual</t>
        </is>
      </c>
      <c r="E1152" t="inlineStr">
        <is>
          <t>NA</t>
        </is>
      </c>
      <c r="F1152" t="n">
        <v>97.90000000000001</v>
      </c>
      <c r="G1152" t="n">
        <v>97.5</v>
      </c>
    </row>
    <row r="1153">
      <c r="A1153" t="inlineStr">
        <is>
          <t>RESP0240</t>
        </is>
      </c>
      <c r="B1153" t="inlineStr">
        <is>
          <t>Study flow 2</t>
        </is>
      </c>
      <c r="C1153" t="n">
        <v>4</v>
      </c>
      <c r="D1153" t="inlineStr">
        <is>
          <t>foodwaste_narrative</t>
        </is>
      </c>
      <c r="E1153" t="inlineStr">
        <is>
          <t>NA</t>
        </is>
      </c>
      <c r="F1153" t="n">
        <v>97.09999999999999</v>
      </c>
      <c r="G1153" t="n">
        <v>96.90000000000001</v>
      </c>
    </row>
    <row r="1154">
      <c r="A1154" t="inlineStr">
        <is>
          <t>RESP0240</t>
        </is>
      </c>
      <c r="B1154" t="inlineStr">
        <is>
          <t>Study flow 2</t>
        </is>
      </c>
      <c r="C1154" t="n">
        <v>5</v>
      </c>
      <c r="D1154" t="inlineStr">
        <is>
          <t>infographic</t>
        </is>
      </c>
      <c r="E1154" t="inlineStr">
        <is>
          <t>NA</t>
        </is>
      </c>
      <c r="F1154" t="n">
        <v>96.90000000000001</v>
      </c>
      <c r="G1154" t="n">
        <v>99.3</v>
      </c>
    </row>
    <row r="1155">
      <c r="A1155" t="inlineStr">
        <is>
          <t>RESP0240</t>
        </is>
      </c>
      <c r="B1155" t="inlineStr">
        <is>
          <t>Study flow 2</t>
        </is>
      </c>
      <c r="C1155" t="n">
        <v>6</v>
      </c>
      <c r="D1155" t="inlineStr">
        <is>
          <t>Questionnaire</t>
        </is>
      </c>
      <c r="E1155" t="inlineStr">
        <is>
          <t>NA</t>
        </is>
      </c>
      <c r="F1155" t="n">
        <v>98</v>
      </c>
      <c r="G1155" t="n">
        <v>97.5</v>
      </c>
    </row>
    <row r="1156">
      <c r="A1156" t="inlineStr">
        <is>
          <t>RESP0240</t>
        </is>
      </c>
      <c r="B1156" t="inlineStr">
        <is>
          <t>Study flow 2</t>
        </is>
      </c>
      <c r="C1156" t="n">
        <v>7</v>
      </c>
      <c r="D1156" t="inlineStr">
        <is>
          <t>Post-study calibration</t>
        </is>
      </c>
      <c r="E1156" t="n">
        <v>1.79</v>
      </c>
      <c r="F1156" t="n">
        <v>98.09999999999999</v>
      </c>
      <c r="G1156" t="n">
        <v>98.7</v>
      </c>
    </row>
    <row r="1157">
      <c r="A1157" t="inlineStr">
        <is>
          <t>RESP0243</t>
        </is>
      </c>
      <c r="B1157" t="inlineStr">
        <is>
          <t>Study flow 2</t>
        </is>
      </c>
      <c r="C1157" t="n">
        <v>1</v>
      </c>
      <c r="D1157" t="inlineStr">
        <is>
          <t>Pre-study calibration</t>
        </is>
      </c>
      <c r="E1157" t="n">
        <v>0.76</v>
      </c>
      <c r="F1157" t="n">
        <v>94.7</v>
      </c>
      <c r="G1157" t="n">
        <v>99.5</v>
      </c>
    </row>
    <row r="1158">
      <c r="A1158" t="inlineStr">
        <is>
          <t>RESP0243</t>
        </is>
      </c>
      <c r="B1158" t="inlineStr">
        <is>
          <t>Study flow 2</t>
        </is>
      </c>
      <c r="C1158" t="n">
        <v>2</v>
      </c>
      <c r="D1158" t="inlineStr">
        <is>
          <t>Instructions1</t>
        </is>
      </c>
      <c r="E1158" t="inlineStr">
        <is>
          <t>NA</t>
        </is>
      </c>
      <c r="F1158" t="n">
        <v>90.40000000000001</v>
      </c>
      <c r="G1158" t="n">
        <v>99.09999999999999</v>
      </c>
    </row>
    <row r="1159">
      <c r="A1159" t="inlineStr">
        <is>
          <t>RESP0243</t>
        </is>
      </c>
      <c r="B1159" t="inlineStr">
        <is>
          <t>Study flow 2</t>
        </is>
      </c>
      <c r="C1159" t="n">
        <v>3</v>
      </c>
      <c r="D1159" t="inlineStr">
        <is>
          <t>foodwaste_visual</t>
        </is>
      </c>
      <c r="E1159" t="inlineStr">
        <is>
          <t>NA</t>
        </is>
      </c>
      <c r="F1159" t="n">
        <v>95.5</v>
      </c>
      <c r="G1159" t="n">
        <v>99.59999999999999</v>
      </c>
    </row>
    <row r="1160">
      <c r="A1160" t="inlineStr">
        <is>
          <t>RESP0243</t>
        </is>
      </c>
      <c r="B1160" t="inlineStr">
        <is>
          <t>Study flow 2</t>
        </is>
      </c>
      <c r="C1160" t="n">
        <v>4</v>
      </c>
      <c r="D1160" t="inlineStr">
        <is>
          <t>foodwaste_narrative</t>
        </is>
      </c>
      <c r="E1160" t="inlineStr">
        <is>
          <t>NA</t>
        </is>
      </c>
      <c r="F1160" t="n">
        <v>95.09999999999999</v>
      </c>
      <c r="G1160" t="n">
        <v>99.2</v>
      </c>
    </row>
    <row r="1161">
      <c r="A1161" t="inlineStr">
        <is>
          <t>RESP0243</t>
        </is>
      </c>
      <c r="B1161" t="inlineStr">
        <is>
          <t>Study flow 2</t>
        </is>
      </c>
      <c r="C1161" t="n">
        <v>5</v>
      </c>
      <c r="D1161" t="inlineStr">
        <is>
          <t>infographic</t>
        </is>
      </c>
      <c r="E1161" t="inlineStr">
        <is>
          <t>NA</t>
        </is>
      </c>
      <c r="F1161" t="n">
        <v>95.8</v>
      </c>
      <c r="G1161" t="n">
        <v>99.40000000000001</v>
      </c>
    </row>
    <row r="1162">
      <c r="A1162" t="inlineStr">
        <is>
          <t>RESP0243</t>
        </is>
      </c>
      <c r="B1162" t="inlineStr">
        <is>
          <t>Study flow 2</t>
        </is>
      </c>
      <c r="C1162" t="n">
        <v>6</v>
      </c>
      <c r="D1162" t="inlineStr">
        <is>
          <t>Questionnaire</t>
        </is>
      </c>
      <c r="E1162" t="inlineStr">
        <is>
          <t>NA</t>
        </is>
      </c>
      <c r="F1162" t="n">
        <v>91.09999999999999</v>
      </c>
      <c r="G1162" t="n">
        <v>99.5</v>
      </c>
    </row>
    <row r="1163">
      <c r="A1163" t="inlineStr">
        <is>
          <t>RESP0243</t>
        </is>
      </c>
      <c r="B1163" t="inlineStr">
        <is>
          <t>Study flow 2</t>
        </is>
      </c>
      <c r="C1163" t="n">
        <v>7</v>
      </c>
      <c r="D1163" t="inlineStr">
        <is>
          <t>Post-study calibration</t>
        </is>
      </c>
      <c r="E1163" t="n">
        <v>1</v>
      </c>
      <c r="F1163" t="n">
        <v>95.40000000000001</v>
      </c>
      <c r="G1163" t="n">
        <v>99.2</v>
      </c>
    </row>
    <row r="1164">
      <c r="A1164" t="inlineStr">
        <is>
          <t>RESP0245</t>
        </is>
      </c>
      <c r="B1164" t="inlineStr">
        <is>
          <t>Study flow 1</t>
        </is>
      </c>
      <c r="C1164" t="n">
        <v>1</v>
      </c>
      <c r="D1164" t="inlineStr">
        <is>
          <t>Pre-study calibration</t>
        </is>
      </c>
      <c r="E1164" t="n">
        <v>1.21</v>
      </c>
      <c r="F1164" t="n">
        <v>96.3</v>
      </c>
      <c r="G1164" t="n">
        <v>91.40000000000001</v>
      </c>
    </row>
    <row r="1165">
      <c r="A1165" t="inlineStr">
        <is>
          <t>RESP0245</t>
        </is>
      </c>
      <c r="B1165" t="inlineStr">
        <is>
          <t>Study flow 1</t>
        </is>
      </c>
      <c r="C1165" t="n">
        <v>2</v>
      </c>
      <c r="D1165" t="inlineStr">
        <is>
          <t>Instructions1</t>
        </is>
      </c>
      <c r="E1165" t="inlineStr">
        <is>
          <t>NA</t>
        </is>
      </c>
      <c r="F1165" t="n">
        <v>93.8</v>
      </c>
      <c r="G1165" t="n">
        <v>86.09999999999999</v>
      </c>
    </row>
    <row r="1166">
      <c r="A1166" t="inlineStr">
        <is>
          <t>RESP0245</t>
        </is>
      </c>
      <c r="B1166" t="inlineStr">
        <is>
          <t>Study flow 1</t>
        </is>
      </c>
      <c r="C1166" t="n">
        <v>3</v>
      </c>
      <c r="D1166" t="inlineStr">
        <is>
          <t>foodwaste_narrative</t>
        </is>
      </c>
      <c r="E1166" t="inlineStr">
        <is>
          <t>NA</t>
        </is>
      </c>
      <c r="F1166" t="n">
        <v>97</v>
      </c>
      <c r="G1166" t="n">
        <v>94.59999999999999</v>
      </c>
    </row>
    <row r="1167">
      <c r="A1167" t="inlineStr">
        <is>
          <t>RESP0245</t>
        </is>
      </c>
      <c r="B1167" t="inlineStr">
        <is>
          <t>Study flow 1</t>
        </is>
      </c>
      <c r="C1167" t="n">
        <v>4</v>
      </c>
      <c r="D1167" t="inlineStr">
        <is>
          <t>foodwaste_visual</t>
        </is>
      </c>
      <c r="E1167" t="inlineStr">
        <is>
          <t>NA</t>
        </is>
      </c>
      <c r="F1167" t="n">
        <v>95.59999999999999</v>
      </c>
      <c r="G1167" t="n">
        <v>91.2</v>
      </c>
    </row>
    <row r="1168">
      <c r="A1168" t="inlineStr">
        <is>
          <t>RESP0245</t>
        </is>
      </c>
      <c r="B1168" t="inlineStr">
        <is>
          <t>Study flow 1</t>
        </is>
      </c>
      <c r="C1168" t="n">
        <v>5</v>
      </c>
      <c r="D1168" t="inlineStr">
        <is>
          <t>infographic</t>
        </is>
      </c>
      <c r="E1168" t="inlineStr">
        <is>
          <t>NA</t>
        </is>
      </c>
      <c r="F1168" t="n">
        <v>96.90000000000001</v>
      </c>
      <c r="G1168" t="n">
        <v>91</v>
      </c>
    </row>
    <row r="1169">
      <c r="A1169" t="inlineStr">
        <is>
          <t>RESP0245</t>
        </is>
      </c>
      <c r="B1169" t="inlineStr">
        <is>
          <t>Study flow 1</t>
        </is>
      </c>
      <c r="C1169" t="n">
        <v>6</v>
      </c>
      <c r="D1169" t="inlineStr">
        <is>
          <t>Questionnaire</t>
        </is>
      </c>
      <c r="E1169" t="inlineStr">
        <is>
          <t>NA</t>
        </is>
      </c>
      <c r="F1169" t="n">
        <v>96.09999999999999</v>
      </c>
      <c r="G1169" t="n">
        <v>88.40000000000001</v>
      </c>
    </row>
    <row r="1170">
      <c r="A1170" t="inlineStr">
        <is>
          <t>RESP0245</t>
        </is>
      </c>
      <c r="B1170" t="inlineStr">
        <is>
          <t>Study flow 1</t>
        </is>
      </c>
      <c r="C1170" t="n">
        <v>7</v>
      </c>
      <c r="D1170" t="inlineStr">
        <is>
          <t>Post-study calibration</t>
        </is>
      </c>
      <c r="E1170" t="n">
        <v>2.58</v>
      </c>
      <c r="F1170" t="n">
        <v>96.5</v>
      </c>
      <c r="G1170" t="n">
        <v>93.5</v>
      </c>
    </row>
    <row r="1171">
      <c r="A1171" t="inlineStr">
        <is>
          <t>RESP0247</t>
        </is>
      </c>
      <c r="B1171" t="inlineStr">
        <is>
          <t>Study flow 2</t>
        </is>
      </c>
      <c r="C1171" t="n">
        <v>1</v>
      </c>
      <c r="D1171" t="inlineStr">
        <is>
          <t>Pre-study calibration</t>
        </is>
      </c>
      <c r="E1171" t="n">
        <v>2.33</v>
      </c>
      <c r="F1171" t="n">
        <v>89.59999999999999</v>
      </c>
      <c r="G1171" t="n">
        <v>98.5</v>
      </c>
    </row>
    <row r="1172">
      <c r="A1172" t="inlineStr">
        <is>
          <t>RESP0247</t>
        </is>
      </c>
      <c r="B1172" t="inlineStr">
        <is>
          <t>Study flow 2</t>
        </is>
      </c>
      <c r="C1172" t="n">
        <v>2</v>
      </c>
      <c r="D1172" t="inlineStr">
        <is>
          <t>Instructions1</t>
        </is>
      </c>
      <c r="E1172" t="inlineStr">
        <is>
          <t>NA</t>
        </is>
      </c>
      <c r="F1172" t="n">
        <v>90.3</v>
      </c>
      <c r="G1172" t="n">
        <v>99.2</v>
      </c>
    </row>
    <row r="1173">
      <c r="A1173" t="inlineStr">
        <is>
          <t>RESP0247</t>
        </is>
      </c>
      <c r="B1173" t="inlineStr">
        <is>
          <t>Study flow 2</t>
        </is>
      </c>
      <c r="C1173" t="n">
        <v>3</v>
      </c>
      <c r="D1173" t="inlineStr">
        <is>
          <t>foodwaste_visual</t>
        </is>
      </c>
      <c r="E1173" t="inlineStr">
        <is>
          <t>NA</t>
        </is>
      </c>
      <c r="F1173" t="n">
        <v>94.8</v>
      </c>
      <c r="G1173" t="n">
        <v>99.2</v>
      </c>
    </row>
    <row r="1174">
      <c r="A1174" t="inlineStr">
        <is>
          <t>RESP0247</t>
        </is>
      </c>
      <c r="B1174" t="inlineStr">
        <is>
          <t>Study flow 2</t>
        </is>
      </c>
      <c r="C1174" t="n">
        <v>4</v>
      </c>
      <c r="D1174" t="inlineStr">
        <is>
          <t>foodwaste_narrative</t>
        </is>
      </c>
      <c r="E1174" t="inlineStr">
        <is>
          <t>NA</t>
        </is>
      </c>
      <c r="F1174" t="n">
        <v>94.3</v>
      </c>
      <c r="G1174" t="n">
        <v>99.09999999999999</v>
      </c>
    </row>
    <row r="1175">
      <c r="A1175" t="inlineStr">
        <is>
          <t>RESP0247</t>
        </is>
      </c>
      <c r="B1175" t="inlineStr">
        <is>
          <t>Study flow 2</t>
        </is>
      </c>
      <c r="C1175" t="n">
        <v>5</v>
      </c>
      <c r="D1175" t="inlineStr">
        <is>
          <t>infographic</t>
        </is>
      </c>
      <c r="E1175" t="inlineStr">
        <is>
          <t>NA</t>
        </is>
      </c>
      <c r="F1175" t="n">
        <v>87.2</v>
      </c>
      <c r="G1175" t="n">
        <v>98</v>
      </c>
    </row>
    <row r="1176">
      <c r="A1176" t="inlineStr">
        <is>
          <t>RESP0247</t>
        </is>
      </c>
      <c r="B1176" t="inlineStr">
        <is>
          <t>Study flow 2</t>
        </is>
      </c>
      <c r="C1176" t="n">
        <v>6</v>
      </c>
      <c r="D1176" t="inlineStr">
        <is>
          <t>Questionnaire</t>
        </is>
      </c>
      <c r="E1176" t="inlineStr">
        <is>
          <t>NA</t>
        </is>
      </c>
      <c r="F1176" t="n">
        <v>94.7</v>
      </c>
      <c r="G1176" t="n">
        <v>98.59999999999999</v>
      </c>
    </row>
    <row r="1177">
      <c r="A1177" t="inlineStr">
        <is>
          <t>RESP0247</t>
        </is>
      </c>
      <c r="B1177" t="inlineStr">
        <is>
          <t>Study flow 2</t>
        </is>
      </c>
      <c r="C1177" t="n">
        <v>7</v>
      </c>
      <c r="D1177" t="inlineStr">
        <is>
          <t>Post-study calibration</t>
        </is>
      </c>
      <c r="E1177" t="n">
        <v>3.67</v>
      </c>
      <c r="F1177" t="n">
        <v>93.5</v>
      </c>
      <c r="G1177" t="n">
        <v>98.8</v>
      </c>
    </row>
    <row r="1178">
      <c r="A1178" t="inlineStr">
        <is>
          <t>RESP0248</t>
        </is>
      </c>
      <c r="B1178" t="inlineStr">
        <is>
          <t>Study flow 2</t>
        </is>
      </c>
      <c r="C1178" t="n">
        <v>1</v>
      </c>
      <c r="D1178" t="inlineStr">
        <is>
          <t>Pre-study calibration</t>
        </is>
      </c>
      <c r="E1178" t="n">
        <v>0.59</v>
      </c>
      <c r="F1178" t="n">
        <v>97.2</v>
      </c>
      <c r="G1178" t="n">
        <v>95.40000000000001</v>
      </c>
    </row>
    <row r="1179">
      <c r="A1179" t="inlineStr">
        <is>
          <t>RESP0248</t>
        </is>
      </c>
      <c r="B1179" t="inlineStr">
        <is>
          <t>Study flow 2</t>
        </is>
      </c>
      <c r="C1179" t="n">
        <v>2</v>
      </c>
      <c r="D1179" t="inlineStr">
        <is>
          <t>Instructions1</t>
        </is>
      </c>
      <c r="E1179" t="inlineStr">
        <is>
          <t>NA</t>
        </is>
      </c>
      <c r="F1179" t="n">
        <v>98.2</v>
      </c>
      <c r="G1179" t="n">
        <v>95.5</v>
      </c>
    </row>
    <row r="1180">
      <c r="A1180" t="inlineStr">
        <is>
          <t>RESP0248</t>
        </is>
      </c>
      <c r="B1180" t="inlineStr">
        <is>
          <t>Study flow 2</t>
        </is>
      </c>
      <c r="C1180" t="n">
        <v>3</v>
      </c>
      <c r="D1180" t="inlineStr">
        <is>
          <t>foodwaste_visual</t>
        </is>
      </c>
      <c r="E1180" t="inlineStr">
        <is>
          <t>NA</t>
        </is>
      </c>
      <c r="F1180" t="n">
        <v>97.09999999999999</v>
      </c>
      <c r="G1180" t="n">
        <v>97.3</v>
      </c>
    </row>
    <row r="1181">
      <c r="A1181" t="inlineStr">
        <is>
          <t>RESP0248</t>
        </is>
      </c>
      <c r="B1181" t="inlineStr">
        <is>
          <t>Study flow 2</t>
        </is>
      </c>
      <c r="C1181" t="n">
        <v>4</v>
      </c>
      <c r="D1181" t="inlineStr">
        <is>
          <t>foodwaste_narrative</t>
        </is>
      </c>
      <c r="E1181" t="inlineStr">
        <is>
          <t>NA</t>
        </is>
      </c>
      <c r="F1181" t="n">
        <v>96.90000000000001</v>
      </c>
      <c r="G1181" t="n">
        <v>98.59999999999999</v>
      </c>
    </row>
    <row r="1182">
      <c r="A1182" t="inlineStr">
        <is>
          <t>RESP0248</t>
        </is>
      </c>
      <c r="B1182" t="inlineStr">
        <is>
          <t>Study flow 2</t>
        </is>
      </c>
      <c r="C1182" t="n">
        <v>5</v>
      </c>
      <c r="D1182" t="inlineStr">
        <is>
          <t>infographic</t>
        </is>
      </c>
      <c r="E1182" t="inlineStr">
        <is>
          <t>NA</t>
        </is>
      </c>
      <c r="F1182" t="n">
        <v>97.7</v>
      </c>
      <c r="G1182" t="n">
        <v>98.2</v>
      </c>
    </row>
    <row r="1183">
      <c r="A1183" t="inlineStr">
        <is>
          <t>RESP0248</t>
        </is>
      </c>
      <c r="B1183" t="inlineStr">
        <is>
          <t>Study flow 2</t>
        </is>
      </c>
      <c r="C1183" t="n">
        <v>6</v>
      </c>
      <c r="D1183" t="inlineStr">
        <is>
          <t>Questionnaire</t>
        </is>
      </c>
      <c r="E1183" t="inlineStr">
        <is>
          <t>NA</t>
        </is>
      </c>
      <c r="F1183" t="n">
        <v>97.8</v>
      </c>
      <c r="G1183" t="n">
        <v>98.2</v>
      </c>
    </row>
    <row r="1184">
      <c r="A1184" t="inlineStr">
        <is>
          <t>RESP0248</t>
        </is>
      </c>
      <c r="B1184" t="inlineStr">
        <is>
          <t>Study flow 2</t>
        </is>
      </c>
      <c r="C1184" t="n">
        <v>7</v>
      </c>
      <c r="D1184" t="inlineStr">
        <is>
          <t>Post-study calibration</t>
        </is>
      </c>
      <c r="E1184" t="n">
        <v>1.17</v>
      </c>
      <c r="F1184" t="n">
        <v>98.40000000000001</v>
      </c>
      <c r="G1184" t="n">
        <v>98.40000000000001</v>
      </c>
    </row>
    <row r="1185">
      <c r="A1185" t="inlineStr">
        <is>
          <t>RESP0249</t>
        </is>
      </c>
      <c r="B1185" t="inlineStr">
        <is>
          <t>Study flow 2</t>
        </is>
      </c>
      <c r="C1185" t="n">
        <v>1</v>
      </c>
      <c r="D1185" t="inlineStr">
        <is>
          <t>Pre-study calibration</t>
        </is>
      </c>
      <c r="E1185" t="n">
        <v>1.41</v>
      </c>
      <c r="F1185" t="n">
        <v>92.09999999999999</v>
      </c>
      <c r="G1185" t="n">
        <v>96.5</v>
      </c>
    </row>
    <row r="1186">
      <c r="A1186" t="inlineStr">
        <is>
          <t>RESP0249</t>
        </is>
      </c>
      <c r="B1186" t="inlineStr">
        <is>
          <t>Study flow 2</t>
        </is>
      </c>
      <c r="C1186" t="n">
        <v>2</v>
      </c>
      <c r="D1186" t="inlineStr">
        <is>
          <t>Instructions1</t>
        </is>
      </c>
      <c r="E1186" t="inlineStr">
        <is>
          <t>NA</t>
        </is>
      </c>
      <c r="F1186" t="n">
        <v>94.5</v>
      </c>
      <c r="G1186" t="n">
        <v>94.5</v>
      </c>
    </row>
    <row r="1187">
      <c r="A1187" t="inlineStr">
        <is>
          <t>RESP0249</t>
        </is>
      </c>
      <c r="B1187" t="inlineStr">
        <is>
          <t>Study flow 2</t>
        </is>
      </c>
      <c r="C1187" t="n">
        <v>3</v>
      </c>
      <c r="D1187" t="inlineStr">
        <is>
          <t>foodwaste_visual</t>
        </is>
      </c>
      <c r="E1187" t="inlineStr">
        <is>
          <t>NA</t>
        </is>
      </c>
      <c r="F1187" t="n">
        <v>92.8</v>
      </c>
      <c r="G1187" t="n">
        <v>96</v>
      </c>
    </row>
    <row r="1188">
      <c r="A1188" t="inlineStr">
        <is>
          <t>RESP0249</t>
        </is>
      </c>
      <c r="B1188" t="inlineStr">
        <is>
          <t>Study flow 2</t>
        </is>
      </c>
      <c r="C1188" t="n">
        <v>4</v>
      </c>
      <c r="D1188" t="inlineStr">
        <is>
          <t>foodwaste_narrative</t>
        </is>
      </c>
      <c r="E1188" t="inlineStr">
        <is>
          <t>NA</t>
        </is>
      </c>
      <c r="F1188" t="n">
        <v>94.90000000000001</v>
      </c>
      <c r="G1188" t="n">
        <v>94.7</v>
      </c>
    </row>
    <row r="1189">
      <c r="A1189" t="inlineStr">
        <is>
          <t>RESP0249</t>
        </is>
      </c>
      <c r="B1189" t="inlineStr">
        <is>
          <t>Study flow 2</t>
        </is>
      </c>
      <c r="C1189" t="n">
        <v>5</v>
      </c>
      <c r="D1189" t="inlineStr">
        <is>
          <t>infographic</t>
        </is>
      </c>
      <c r="E1189" t="inlineStr">
        <is>
          <t>NA</t>
        </is>
      </c>
      <c r="F1189" t="n">
        <v>93.3</v>
      </c>
      <c r="G1189" t="n">
        <v>93.8</v>
      </c>
    </row>
    <row r="1190">
      <c r="A1190" t="inlineStr">
        <is>
          <t>RESP0249</t>
        </is>
      </c>
      <c r="B1190" t="inlineStr">
        <is>
          <t>Study flow 2</t>
        </is>
      </c>
      <c r="C1190" t="n">
        <v>6</v>
      </c>
      <c r="D1190" t="inlineStr">
        <is>
          <t>Questionnaire</t>
        </is>
      </c>
      <c r="E1190" t="inlineStr">
        <is>
          <t>NA</t>
        </is>
      </c>
      <c r="F1190" t="n">
        <v>93.8</v>
      </c>
      <c r="G1190" t="n">
        <v>96.5</v>
      </c>
    </row>
    <row r="1191">
      <c r="A1191" t="inlineStr">
        <is>
          <t>RESP0249</t>
        </is>
      </c>
      <c r="B1191" t="inlineStr">
        <is>
          <t>Study flow 2</t>
        </is>
      </c>
      <c r="C1191" t="n">
        <v>7</v>
      </c>
      <c r="D1191" t="inlineStr">
        <is>
          <t>Post-study calibration</t>
        </is>
      </c>
      <c r="E1191" t="n">
        <v>2.19</v>
      </c>
      <c r="F1191" t="n">
        <v>87.7</v>
      </c>
      <c r="G1191" t="n">
        <v>94.59999999999999</v>
      </c>
    </row>
    <row r="1192">
      <c r="A1192" t="inlineStr">
        <is>
          <t>RESP0251</t>
        </is>
      </c>
      <c r="B1192" t="inlineStr">
        <is>
          <t>Study flow 1</t>
        </is>
      </c>
      <c r="C1192" t="n">
        <v>1</v>
      </c>
      <c r="D1192" t="inlineStr">
        <is>
          <t>Pre-study calibration</t>
        </is>
      </c>
      <c r="E1192" t="n">
        <v>1.34</v>
      </c>
      <c r="F1192" t="n">
        <v>92.3</v>
      </c>
      <c r="G1192" t="n">
        <v>97.8</v>
      </c>
    </row>
    <row r="1193">
      <c r="A1193" t="inlineStr">
        <is>
          <t>RESP0251</t>
        </is>
      </c>
      <c r="B1193" t="inlineStr">
        <is>
          <t>Study flow 1</t>
        </is>
      </c>
      <c r="C1193" t="n">
        <v>2</v>
      </c>
      <c r="D1193" t="inlineStr">
        <is>
          <t>Instructions1</t>
        </is>
      </c>
      <c r="E1193" t="inlineStr">
        <is>
          <t>NA</t>
        </is>
      </c>
      <c r="F1193" t="n">
        <v>91</v>
      </c>
      <c r="G1193" t="n">
        <v>96.5</v>
      </c>
    </row>
    <row r="1194">
      <c r="A1194" t="inlineStr">
        <is>
          <t>RESP0251</t>
        </is>
      </c>
      <c r="B1194" t="inlineStr">
        <is>
          <t>Study flow 1</t>
        </is>
      </c>
      <c r="C1194" t="n">
        <v>3</v>
      </c>
      <c r="D1194" t="inlineStr">
        <is>
          <t>foodwaste_narrative</t>
        </is>
      </c>
      <c r="E1194" t="inlineStr">
        <is>
          <t>NA</t>
        </is>
      </c>
      <c r="F1194" t="n">
        <v>96.8</v>
      </c>
      <c r="G1194" t="n">
        <v>97.40000000000001</v>
      </c>
    </row>
    <row r="1195">
      <c r="A1195" t="inlineStr">
        <is>
          <t>RESP0251</t>
        </is>
      </c>
      <c r="B1195" t="inlineStr">
        <is>
          <t>Study flow 1</t>
        </is>
      </c>
      <c r="C1195" t="n">
        <v>4</v>
      </c>
      <c r="D1195" t="inlineStr">
        <is>
          <t>foodwaste_visual</t>
        </is>
      </c>
      <c r="E1195" t="inlineStr">
        <is>
          <t>NA</t>
        </is>
      </c>
      <c r="F1195" t="n">
        <v>93.3</v>
      </c>
      <c r="G1195" t="n">
        <v>97.3</v>
      </c>
    </row>
    <row r="1196">
      <c r="A1196" t="inlineStr">
        <is>
          <t>RESP0251</t>
        </is>
      </c>
      <c r="B1196" t="inlineStr">
        <is>
          <t>Study flow 1</t>
        </is>
      </c>
      <c r="C1196" t="n">
        <v>5</v>
      </c>
      <c r="D1196" t="inlineStr">
        <is>
          <t>infographic</t>
        </is>
      </c>
      <c r="E1196" t="inlineStr">
        <is>
          <t>NA</t>
        </is>
      </c>
      <c r="F1196" t="n">
        <v>93</v>
      </c>
      <c r="G1196" t="n">
        <v>97.90000000000001</v>
      </c>
    </row>
    <row r="1197">
      <c r="A1197" t="inlineStr">
        <is>
          <t>RESP0251</t>
        </is>
      </c>
      <c r="B1197" t="inlineStr">
        <is>
          <t>Study flow 1</t>
        </is>
      </c>
      <c r="C1197" t="n">
        <v>6</v>
      </c>
      <c r="D1197" t="inlineStr">
        <is>
          <t>Questionnaire</t>
        </is>
      </c>
      <c r="E1197" t="inlineStr">
        <is>
          <t>NA</t>
        </is>
      </c>
      <c r="F1197" t="n">
        <v>93.59999999999999</v>
      </c>
      <c r="G1197" t="n">
        <v>94.7</v>
      </c>
    </row>
    <row r="1198">
      <c r="A1198" t="inlineStr">
        <is>
          <t>RESP0251</t>
        </is>
      </c>
      <c r="B1198" t="inlineStr">
        <is>
          <t>Study flow 1</t>
        </is>
      </c>
      <c r="C1198" t="n">
        <v>7</v>
      </c>
      <c r="D1198" t="inlineStr">
        <is>
          <t>Post-study calibration</t>
        </is>
      </c>
      <c r="E1198" t="n">
        <v>2.07</v>
      </c>
      <c r="F1198" t="n">
        <v>93.2</v>
      </c>
      <c r="G1198" t="n">
        <v>98.3</v>
      </c>
    </row>
    <row r="1199">
      <c r="A1199" t="inlineStr">
        <is>
          <t>RESP0252</t>
        </is>
      </c>
      <c r="B1199" t="inlineStr">
        <is>
          <t>Study flow 2</t>
        </is>
      </c>
      <c r="C1199" t="n">
        <v>1</v>
      </c>
      <c r="D1199" t="inlineStr">
        <is>
          <t>Pre-study calibration</t>
        </is>
      </c>
      <c r="E1199" t="n">
        <v>1.91</v>
      </c>
      <c r="F1199" t="n">
        <v>96.09999999999999</v>
      </c>
      <c r="G1199" t="n">
        <v>97.59999999999999</v>
      </c>
    </row>
    <row r="1200">
      <c r="A1200" t="inlineStr">
        <is>
          <t>RESP0252</t>
        </is>
      </c>
      <c r="B1200" t="inlineStr">
        <is>
          <t>Study flow 2</t>
        </is>
      </c>
      <c r="C1200" t="n">
        <v>2</v>
      </c>
      <c r="D1200" t="inlineStr">
        <is>
          <t>Instructions1</t>
        </is>
      </c>
      <c r="E1200" t="inlineStr">
        <is>
          <t>NA</t>
        </is>
      </c>
      <c r="F1200" t="n">
        <v>92.5</v>
      </c>
      <c r="G1200" t="n">
        <v>96.5</v>
      </c>
    </row>
    <row r="1201">
      <c r="A1201" t="inlineStr">
        <is>
          <t>RESP0252</t>
        </is>
      </c>
      <c r="B1201" t="inlineStr">
        <is>
          <t>Study flow 2</t>
        </is>
      </c>
      <c r="C1201" t="n">
        <v>3</v>
      </c>
      <c r="D1201" t="inlineStr">
        <is>
          <t>foodwaste_visual</t>
        </is>
      </c>
      <c r="E1201" t="inlineStr">
        <is>
          <t>NA</t>
        </is>
      </c>
      <c r="F1201" t="n">
        <v>89.40000000000001</v>
      </c>
      <c r="G1201" t="n">
        <v>96</v>
      </c>
    </row>
    <row r="1202">
      <c r="A1202" t="inlineStr">
        <is>
          <t>RESP0252</t>
        </is>
      </c>
      <c r="B1202" t="inlineStr">
        <is>
          <t>Study flow 2</t>
        </is>
      </c>
      <c r="C1202" t="n">
        <v>4</v>
      </c>
      <c r="D1202" t="inlineStr">
        <is>
          <t>foodwaste_narrative</t>
        </is>
      </c>
      <c r="E1202" t="inlineStr">
        <is>
          <t>NA</t>
        </is>
      </c>
      <c r="F1202" t="n">
        <v>95.3</v>
      </c>
      <c r="G1202" t="n">
        <v>95.90000000000001</v>
      </c>
    </row>
    <row r="1203">
      <c r="A1203" t="inlineStr">
        <is>
          <t>RESP0252</t>
        </is>
      </c>
      <c r="B1203" t="inlineStr">
        <is>
          <t>Study flow 2</t>
        </is>
      </c>
      <c r="C1203" t="n">
        <v>5</v>
      </c>
      <c r="D1203" t="inlineStr">
        <is>
          <t>infographic</t>
        </is>
      </c>
      <c r="E1203" t="inlineStr">
        <is>
          <t>NA</t>
        </is>
      </c>
      <c r="F1203" t="n">
        <v>94.7</v>
      </c>
      <c r="G1203" t="n">
        <v>96.3</v>
      </c>
    </row>
    <row r="1204">
      <c r="A1204" t="inlineStr">
        <is>
          <t>RESP0252</t>
        </is>
      </c>
      <c r="B1204" t="inlineStr">
        <is>
          <t>Study flow 2</t>
        </is>
      </c>
      <c r="C1204" t="n">
        <v>6</v>
      </c>
      <c r="D1204" t="inlineStr">
        <is>
          <t>Questionnaire</t>
        </is>
      </c>
      <c r="E1204" t="inlineStr">
        <is>
          <t>NA</t>
        </is>
      </c>
      <c r="F1204" t="n">
        <v>91.7</v>
      </c>
      <c r="G1204" t="n">
        <v>97.40000000000001</v>
      </c>
    </row>
    <row r="1205">
      <c r="A1205" t="inlineStr">
        <is>
          <t>RESP0252</t>
        </is>
      </c>
      <c r="B1205" t="inlineStr">
        <is>
          <t>Study flow 2</t>
        </is>
      </c>
      <c r="C1205" t="n">
        <v>7</v>
      </c>
      <c r="D1205" t="inlineStr">
        <is>
          <t>Post-study calibration</t>
        </is>
      </c>
      <c r="E1205" t="n">
        <v>2.86</v>
      </c>
      <c r="F1205" t="n">
        <v>94.5</v>
      </c>
      <c r="G1205" t="n">
        <v>96.7</v>
      </c>
    </row>
    <row r="1206">
      <c r="A1206" t="inlineStr">
        <is>
          <t>RESP0253</t>
        </is>
      </c>
      <c r="B1206" t="inlineStr">
        <is>
          <t>Study flow 2</t>
        </is>
      </c>
      <c r="C1206" t="n">
        <v>1</v>
      </c>
      <c r="D1206" t="inlineStr">
        <is>
          <t>Pre-study calibration</t>
        </is>
      </c>
      <c r="E1206" t="n">
        <v>0.77</v>
      </c>
      <c r="F1206" t="n">
        <v>96.7</v>
      </c>
      <c r="G1206" t="n">
        <v>99.5</v>
      </c>
    </row>
    <row r="1207">
      <c r="A1207" t="inlineStr">
        <is>
          <t>RESP0253</t>
        </is>
      </c>
      <c r="B1207" t="inlineStr">
        <is>
          <t>Study flow 2</t>
        </is>
      </c>
      <c r="C1207" t="n">
        <v>2</v>
      </c>
      <c r="D1207" t="inlineStr">
        <is>
          <t>Instructions1</t>
        </is>
      </c>
      <c r="E1207" t="inlineStr">
        <is>
          <t>NA</t>
        </is>
      </c>
      <c r="F1207" t="n">
        <v>97.90000000000001</v>
      </c>
      <c r="G1207" t="n">
        <v>99.5</v>
      </c>
    </row>
    <row r="1208">
      <c r="A1208" t="inlineStr">
        <is>
          <t>RESP0253</t>
        </is>
      </c>
      <c r="B1208" t="inlineStr">
        <is>
          <t>Study flow 2</t>
        </is>
      </c>
      <c r="C1208" t="n">
        <v>3</v>
      </c>
      <c r="D1208" t="inlineStr">
        <is>
          <t>foodwaste_visual</t>
        </is>
      </c>
      <c r="E1208" t="inlineStr">
        <is>
          <t>NA</t>
        </is>
      </c>
      <c r="F1208" t="n">
        <v>98</v>
      </c>
      <c r="G1208" t="n">
        <v>98.8</v>
      </c>
    </row>
    <row r="1209">
      <c r="A1209" t="inlineStr">
        <is>
          <t>RESP0253</t>
        </is>
      </c>
      <c r="B1209" t="inlineStr">
        <is>
          <t>Study flow 2</t>
        </is>
      </c>
      <c r="C1209" t="n">
        <v>4</v>
      </c>
      <c r="D1209" t="inlineStr">
        <is>
          <t>foodwaste_narrative</t>
        </is>
      </c>
      <c r="E1209" t="inlineStr">
        <is>
          <t>NA</t>
        </is>
      </c>
      <c r="F1209" t="n">
        <v>96.2</v>
      </c>
      <c r="G1209" t="n">
        <v>98.7</v>
      </c>
    </row>
    <row r="1210">
      <c r="A1210" t="inlineStr">
        <is>
          <t>RESP0253</t>
        </is>
      </c>
      <c r="B1210" t="inlineStr">
        <is>
          <t>Study flow 2</t>
        </is>
      </c>
      <c r="C1210" t="n">
        <v>5</v>
      </c>
      <c r="D1210" t="inlineStr">
        <is>
          <t>infographic</t>
        </is>
      </c>
      <c r="E1210" t="inlineStr">
        <is>
          <t>NA</t>
        </is>
      </c>
      <c r="F1210" t="n">
        <v>95.8</v>
      </c>
      <c r="G1210" t="n">
        <v>98.8</v>
      </c>
    </row>
    <row r="1211">
      <c r="A1211" t="inlineStr">
        <is>
          <t>RESP0253</t>
        </is>
      </c>
      <c r="B1211" t="inlineStr">
        <is>
          <t>Study flow 2</t>
        </is>
      </c>
      <c r="C1211" t="n">
        <v>6</v>
      </c>
      <c r="D1211" t="inlineStr">
        <is>
          <t>Questionnaire</t>
        </is>
      </c>
      <c r="E1211" t="inlineStr">
        <is>
          <t>NA</t>
        </is>
      </c>
      <c r="F1211" t="n">
        <v>96.3</v>
      </c>
      <c r="G1211" t="n">
        <v>99.2</v>
      </c>
    </row>
    <row r="1212">
      <c r="A1212" t="inlineStr">
        <is>
          <t>RESP0253</t>
        </is>
      </c>
      <c r="B1212" t="inlineStr">
        <is>
          <t>Study flow 2</t>
        </is>
      </c>
      <c r="C1212" t="n">
        <v>7</v>
      </c>
      <c r="D1212" t="inlineStr">
        <is>
          <t>Post-study calibration</t>
        </is>
      </c>
      <c r="E1212" t="n">
        <v>1.44</v>
      </c>
      <c r="F1212" t="n">
        <v>97.2</v>
      </c>
      <c r="G1212" t="n">
        <v>99.5</v>
      </c>
    </row>
    <row r="1213">
      <c r="A1213" t="inlineStr">
        <is>
          <t>RESP0254</t>
        </is>
      </c>
      <c r="B1213" t="inlineStr">
        <is>
          <t>Study flow 2</t>
        </is>
      </c>
      <c r="C1213" t="n">
        <v>1</v>
      </c>
      <c r="D1213" t="inlineStr">
        <is>
          <t>Pre-study calibration</t>
        </is>
      </c>
      <c r="E1213" t="n">
        <v>0.49</v>
      </c>
      <c r="F1213" t="n">
        <v>99</v>
      </c>
      <c r="G1213" t="n">
        <v>93.5</v>
      </c>
    </row>
    <row r="1214">
      <c r="A1214" t="inlineStr">
        <is>
          <t>RESP0254</t>
        </is>
      </c>
      <c r="B1214" t="inlineStr">
        <is>
          <t>Study flow 2</t>
        </is>
      </c>
      <c r="C1214" t="n">
        <v>2</v>
      </c>
      <c r="D1214" t="inlineStr">
        <is>
          <t>Instructions1</t>
        </is>
      </c>
      <c r="E1214" t="inlineStr">
        <is>
          <t>NA</t>
        </is>
      </c>
      <c r="F1214" t="n">
        <v>99.2</v>
      </c>
      <c r="G1214" t="n">
        <v>95.8</v>
      </c>
    </row>
    <row r="1215">
      <c r="A1215" t="inlineStr">
        <is>
          <t>RESP0254</t>
        </is>
      </c>
      <c r="B1215" t="inlineStr">
        <is>
          <t>Study flow 2</t>
        </is>
      </c>
      <c r="C1215" t="n">
        <v>3</v>
      </c>
      <c r="D1215" t="inlineStr">
        <is>
          <t>foodwaste_visual</t>
        </is>
      </c>
      <c r="E1215" t="inlineStr">
        <is>
          <t>NA</t>
        </is>
      </c>
      <c r="F1215" t="n">
        <v>99</v>
      </c>
      <c r="G1215" t="n">
        <v>93.2</v>
      </c>
    </row>
    <row r="1216">
      <c r="A1216" t="inlineStr">
        <is>
          <t>RESP0254</t>
        </is>
      </c>
      <c r="B1216" t="inlineStr">
        <is>
          <t>Study flow 2</t>
        </is>
      </c>
      <c r="C1216" t="n">
        <v>4</v>
      </c>
      <c r="D1216" t="inlineStr">
        <is>
          <t>foodwaste_narrative</t>
        </is>
      </c>
      <c r="E1216" t="inlineStr">
        <is>
          <t>NA</t>
        </is>
      </c>
      <c r="F1216" t="n">
        <v>98.90000000000001</v>
      </c>
      <c r="G1216" t="n">
        <v>93.90000000000001</v>
      </c>
    </row>
    <row r="1217">
      <c r="A1217" t="inlineStr">
        <is>
          <t>RESP0254</t>
        </is>
      </c>
      <c r="B1217" t="inlineStr">
        <is>
          <t>Study flow 2</t>
        </is>
      </c>
      <c r="C1217" t="n">
        <v>5</v>
      </c>
      <c r="D1217" t="inlineStr">
        <is>
          <t>infographic</t>
        </is>
      </c>
      <c r="E1217" t="inlineStr">
        <is>
          <t>NA</t>
        </is>
      </c>
      <c r="F1217" t="n">
        <v>98.3</v>
      </c>
      <c r="G1217" t="n">
        <v>94.59999999999999</v>
      </c>
    </row>
    <row r="1218">
      <c r="A1218" t="inlineStr">
        <is>
          <t>RESP0254</t>
        </is>
      </c>
      <c r="B1218" t="inlineStr">
        <is>
          <t>Study flow 2</t>
        </is>
      </c>
      <c r="C1218" t="n">
        <v>6</v>
      </c>
      <c r="D1218" t="inlineStr">
        <is>
          <t>Questionnaire</t>
        </is>
      </c>
      <c r="E1218" t="inlineStr">
        <is>
          <t>NA</t>
        </is>
      </c>
      <c r="F1218" t="n">
        <v>98.90000000000001</v>
      </c>
      <c r="G1218" t="n">
        <v>97.7</v>
      </c>
    </row>
    <row r="1219">
      <c r="A1219" t="inlineStr">
        <is>
          <t>RESP0254</t>
        </is>
      </c>
      <c r="B1219" t="inlineStr">
        <is>
          <t>Study flow 2</t>
        </is>
      </c>
      <c r="C1219" t="n">
        <v>7</v>
      </c>
      <c r="D1219" t="inlineStr">
        <is>
          <t>Post-study calibration</t>
        </is>
      </c>
      <c r="E1219" t="n">
        <v>0.45</v>
      </c>
      <c r="F1219" t="n">
        <v>99.40000000000001</v>
      </c>
      <c r="G1219" t="n">
        <v>96.09999999999999</v>
      </c>
    </row>
    <row r="1220">
      <c r="A1220" t="inlineStr">
        <is>
          <t>RESP0255</t>
        </is>
      </c>
      <c r="B1220" t="inlineStr">
        <is>
          <t>Study flow 1</t>
        </is>
      </c>
      <c r="C1220" t="n">
        <v>1</v>
      </c>
      <c r="D1220" t="inlineStr">
        <is>
          <t>Pre-study calibration</t>
        </is>
      </c>
      <c r="E1220" t="n">
        <v>2.56</v>
      </c>
      <c r="F1220" t="n">
        <v>94.7</v>
      </c>
      <c r="G1220" t="n">
        <v>90.8</v>
      </c>
    </row>
    <row r="1221">
      <c r="A1221" t="inlineStr">
        <is>
          <t>RESP0255</t>
        </is>
      </c>
      <c r="B1221" t="inlineStr">
        <is>
          <t>Study flow 1</t>
        </is>
      </c>
      <c r="C1221" t="n">
        <v>2</v>
      </c>
      <c r="D1221" t="inlineStr">
        <is>
          <t>Instructions1</t>
        </is>
      </c>
      <c r="E1221" t="inlineStr">
        <is>
          <t>NA</t>
        </is>
      </c>
      <c r="F1221" t="n">
        <v>91.8</v>
      </c>
      <c r="G1221" t="n">
        <v>96.8</v>
      </c>
    </row>
    <row r="1222">
      <c r="A1222" t="inlineStr">
        <is>
          <t>RESP0255</t>
        </is>
      </c>
      <c r="B1222" t="inlineStr">
        <is>
          <t>Study flow 1</t>
        </is>
      </c>
      <c r="C1222" t="n">
        <v>3</v>
      </c>
      <c r="D1222" t="inlineStr">
        <is>
          <t>foodwaste_narrative</t>
        </is>
      </c>
      <c r="E1222" t="inlineStr">
        <is>
          <t>NA</t>
        </is>
      </c>
      <c r="F1222" t="n">
        <v>91.59999999999999</v>
      </c>
      <c r="G1222" t="n">
        <v>92.8</v>
      </c>
    </row>
    <row r="1223">
      <c r="A1223" t="inlineStr">
        <is>
          <t>RESP0255</t>
        </is>
      </c>
      <c r="B1223" t="inlineStr">
        <is>
          <t>Study flow 1</t>
        </is>
      </c>
      <c r="C1223" t="n">
        <v>4</v>
      </c>
      <c r="D1223" t="inlineStr">
        <is>
          <t>foodwaste_visual</t>
        </is>
      </c>
      <c r="E1223" t="inlineStr">
        <is>
          <t>NA</t>
        </is>
      </c>
      <c r="F1223" t="n">
        <v>94.09999999999999</v>
      </c>
      <c r="G1223" t="n">
        <v>96.59999999999999</v>
      </c>
    </row>
    <row r="1224">
      <c r="A1224" t="inlineStr">
        <is>
          <t>RESP0255</t>
        </is>
      </c>
      <c r="B1224" t="inlineStr">
        <is>
          <t>Study flow 1</t>
        </is>
      </c>
      <c r="C1224" t="n">
        <v>5</v>
      </c>
      <c r="D1224" t="inlineStr">
        <is>
          <t>infographic</t>
        </is>
      </c>
      <c r="E1224" t="inlineStr">
        <is>
          <t>NA</t>
        </is>
      </c>
      <c r="F1224" t="n">
        <v>90.8</v>
      </c>
      <c r="G1224" t="n">
        <v>91.2</v>
      </c>
    </row>
    <row r="1225">
      <c r="A1225" t="inlineStr">
        <is>
          <t>RESP0255</t>
        </is>
      </c>
      <c r="B1225" t="inlineStr">
        <is>
          <t>Study flow 1</t>
        </is>
      </c>
      <c r="C1225" t="n">
        <v>6</v>
      </c>
      <c r="D1225" t="inlineStr">
        <is>
          <t>Questionnaire</t>
        </is>
      </c>
      <c r="E1225" t="inlineStr">
        <is>
          <t>NA</t>
        </is>
      </c>
      <c r="F1225" t="n">
        <v>91</v>
      </c>
      <c r="G1225" t="n">
        <v>95.2</v>
      </c>
    </row>
    <row r="1226">
      <c r="A1226" t="inlineStr">
        <is>
          <t>RESP0255</t>
        </is>
      </c>
      <c r="B1226" t="inlineStr">
        <is>
          <t>Study flow 1</t>
        </is>
      </c>
      <c r="C1226" t="n">
        <v>7</v>
      </c>
      <c r="D1226" t="inlineStr">
        <is>
          <t>Post-study calibration</t>
        </is>
      </c>
      <c r="E1226" t="n">
        <v>2.99</v>
      </c>
      <c r="F1226" t="n">
        <v>95.3</v>
      </c>
      <c r="G1226" t="n">
        <v>93.09999999999999</v>
      </c>
    </row>
    <row r="1227">
      <c r="A1227" t="inlineStr">
        <is>
          <t>RESP0256</t>
        </is>
      </c>
      <c r="B1227" t="inlineStr">
        <is>
          <t>Study flow 2</t>
        </is>
      </c>
      <c r="C1227" t="n">
        <v>1</v>
      </c>
      <c r="D1227" t="inlineStr">
        <is>
          <t>Pre-study calibration</t>
        </is>
      </c>
      <c r="E1227" t="n">
        <v>1.1</v>
      </c>
      <c r="F1227" t="n">
        <v>97.8</v>
      </c>
      <c r="G1227" t="n">
        <v>95</v>
      </c>
    </row>
    <row r="1228">
      <c r="A1228" t="inlineStr">
        <is>
          <t>RESP0256</t>
        </is>
      </c>
      <c r="B1228" t="inlineStr">
        <is>
          <t>Study flow 2</t>
        </is>
      </c>
      <c r="C1228" t="n">
        <v>2</v>
      </c>
      <c r="D1228" t="inlineStr">
        <is>
          <t>Instructions1</t>
        </is>
      </c>
      <c r="E1228" t="inlineStr">
        <is>
          <t>NA</t>
        </is>
      </c>
      <c r="F1228" t="n">
        <v>97.2</v>
      </c>
      <c r="G1228" t="n">
        <v>94.7</v>
      </c>
    </row>
    <row r="1229">
      <c r="A1229" t="inlineStr">
        <is>
          <t>RESP0256</t>
        </is>
      </c>
      <c r="B1229" t="inlineStr">
        <is>
          <t>Study flow 2</t>
        </is>
      </c>
      <c r="C1229" t="n">
        <v>3</v>
      </c>
      <c r="D1229" t="inlineStr">
        <is>
          <t>foodwaste_visual</t>
        </is>
      </c>
      <c r="E1229" t="inlineStr">
        <is>
          <t>NA</t>
        </is>
      </c>
      <c r="F1229" t="n">
        <v>97.7</v>
      </c>
      <c r="G1229" t="n">
        <v>91.90000000000001</v>
      </c>
    </row>
    <row r="1230">
      <c r="A1230" t="inlineStr">
        <is>
          <t>RESP0256</t>
        </is>
      </c>
      <c r="B1230" t="inlineStr">
        <is>
          <t>Study flow 2</t>
        </is>
      </c>
      <c r="C1230" t="n">
        <v>4</v>
      </c>
      <c r="D1230" t="inlineStr">
        <is>
          <t>foodwaste_narrative</t>
        </is>
      </c>
      <c r="E1230" t="inlineStr">
        <is>
          <t>NA</t>
        </is>
      </c>
      <c r="F1230" t="n">
        <v>98.09999999999999</v>
      </c>
      <c r="G1230" t="n">
        <v>93.8</v>
      </c>
    </row>
    <row r="1231">
      <c r="A1231" t="inlineStr">
        <is>
          <t>RESP0256</t>
        </is>
      </c>
      <c r="B1231" t="inlineStr">
        <is>
          <t>Study flow 2</t>
        </is>
      </c>
      <c r="C1231" t="n">
        <v>5</v>
      </c>
      <c r="D1231" t="inlineStr">
        <is>
          <t>infographic</t>
        </is>
      </c>
      <c r="E1231" t="inlineStr">
        <is>
          <t>NA</t>
        </is>
      </c>
      <c r="F1231" t="n">
        <v>97.90000000000001</v>
      </c>
      <c r="G1231" t="n">
        <v>95.40000000000001</v>
      </c>
    </row>
    <row r="1232">
      <c r="A1232" t="inlineStr">
        <is>
          <t>RESP0256</t>
        </is>
      </c>
      <c r="B1232" t="inlineStr">
        <is>
          <t>Study flow 2</t>
        </is>
      </c>
      <c r="C1232" t="n">
        <v>6</v>
      </c>
      <c r="D1232" t="inlineStr">
        <is>
          <t>Questionnaire</t>
        </is>
      </c>
      <c r="E1232" t="inlineStr">
        <is>
          <t>NA</t>
        </is>
      </c>
      <c r="F1232" t="n">
        <v>98.40000000000001</v>
      </c>
      <c r="G1232" t="n">
        <v>98.09999999999999</v>
      </c>
    </row>
    <row r="1233">
      <c r="A1233" t="inlineStr">
        <is>
          <t>RESP0256</t>
        </is>
      </c>
      <c r="B1233" t="inlineStr">
        <is>
          <t>Study flow 2</t>
        </is>
      </c>
      <c r="C1233" t="n">
        <v>7</v>
      </c>
      <c r="D1233" t="inlineStr">
        <is>
          <t>Post-study calibration</t>
        </is>
      </c>
      <c r="E1233" t="n">
        <v>2.28</v>
      </c>
      <c r="F1233" t="n">
        <v>98.7</v>
      </c>
      <c r="G1233" t="n">
        <v>93.2</v>
      </c>
    </row>
    <row r="1234">
      <c r="A1234" t="inlineStr">
        <is>
          <t>RESP0258</t>
        </is>
      </c>
      <c r="B1234" t="inlineStr">
        <is>
          <t>Study flow 1</t>
        </is>
      </c>
      <c r="C1234" t="n">
        <v>1</v>
      </c>
      <c r="D1234" t="inlineStr">
        <is>
          <t>Pre-study calibration</t>
        </is>
      </c>
      <c r="E1234" t="n">
        <v>2.73</v>
      </c>
      <c r="F1234" t="n">
        <v>95.40000000000001</v>
      </c>
      <c r="G1234" t="n">
        <v>98.7</v>
      </c>
    </row>
    <row r="1235">
      <c r="A1235" t="inlineStr">
        <is>
          <t>RESP0258</t>
        </is>
      </c>
      <c r="B1235" t="inlineStr">
        <is>
          <t>Study flow 1</t>
        </is>
      </c>
      <c r="C1235" t="n">
        <v>2</v>
      </c>
      <c r="D1235" t="inlineStr">
        <is>
          <t>Instructions1</t>
        </is>
      </c>
      <c r="E1235" t="inlineStr">
        <is>
          <t>NA</t>
        </is>
      </c>
      <c r="F1235" t="n">
        <v>96.2</v>
      </c>
      <c r="G1235" t="n">
        <v>98.8</v>
      </c>
    </row>
    <row r="1236">
      <c r="A1236" t="inlineStr">
        <is>
          <t>RESP0258</t>
        </is>
      </c>
      <c r="B1236" t="inlineStr">
        <is>
          <t>Study flow 1</t>
        </is>
      </c>
      <c r="C1236" t="n">
        <v>3</v>
      </c>
      <c r="D1236" t="inlineStr">
        <is>
          <t>foodwaste_narrative</t>
        </is>
      </c>
      <c r="E1236" t="inlineStr">
        <is>
          <t>NA</t>
        </is>
      </c>
      <c r="F1236" t="n">
        <v>96.7</v>
      </c>
      <c r="G1236" t="n">
        <v>99</v>
      </c>
    </row>
    <row r="1237">
      <c r="A1237" t="inlineStr">
        <is>
          <t>RESP0258</t>
        </is>
      </c>
      <c r="B1237" t="inlineStr">
        <is>
          <t>Study flow 1</t>
        </is>
      </c>
      <c r="C1237" t="n">
        <v>4</v>
      </c>
      <c r="D1237" t="inlineStr">
        <is>
          <t>foodwaste_visual</t>
        </is>
      </c>
      <c r="E1237" t="inlineStr">
        <is>
          <t>NA</t>
        </is>
      </c>
      <c r="F1237" t="n">
        <v>96.2</v>
      </c>
      <c r="G1237" t="n">
        <v>98.09999999999999</v>
      </c>
    </row>
    <row r="1238">
      <c r="A1238" t="inlineStr">
        <is>
          <t>RESP0258</t>
        </is>
      </c>
      <c r="B1238" t="inlineStr">
        <is>
          <t>Study flow 1</t>
        </is>
      </c>
      <c r="C1238" t="n">
        <v>5</v>
      </c>
      <c r="D1238" t="inlineStr">
        <is>
          <t>infographic</t>
        </is>
      </c>
      <c r="E1238" t="inlineStr">
        <is>
          <t>NA</t>
        </is>
      </c>
      <c r="F1238" t="n">
        <v>97</v>
      </c>
      <c r="G1238" t="n">
        <v>99.09999999999999</v>
      </c>
    </row>
    <row r="1239">
      <c r="A1239" t="inlineStr">
        <is>
          <t>RESP0258</t>
        </is>
      </c>
      <c r="B1239" t="inlineStr">
        <is>
          <t>Study flow 1</t>
        </is>
      </c>
      <c r="C1239" t="n">
        <v>6</v>
      </c>
      <c r="D1239" t="inlineStr">
        <is>
          <t>Questionnaire</t>
        </is>
      </c>
      <c r="E1239" t="inlineStr">
        <is>
          <t>NA</t>
        </is>
      </c>
      <c r="F1239" t="n">
        <v>96.8</v>
      </c>
      <c r="G1239" t="n">
        <v>98.59999999999999</v>
      </c>
    </row>
    <row r="1240">
      <c r="A1240" t="inlineStr">
        <is>
          <t>RESP0258</t>
        </is>
      </c>
      <c r="B1240" t="inlineStr">
        <is>
          <t>Study flow 1</t>
        </is>
      </c>
      <c r="C1240" t="n">
        <v>7</v>
      </c>
      <c r="D1240" t="inlineStr">
        <is>
          <t>Post-study calibration</t>
        </is>
      </c>
      <c r="E1240" t="n">
        <v>4.17</v>
      </c>
      <c r="F1240" t="n">
        <v>95.3</v>
      </c>
      <c r="G1240" t="n">
        <v>99.2</v>
      </c>
    </row>
    <row r="1241">
      <c r="A1241" t="inlineStr">
        <is>
          <t>RESP0260</t>
        </is>
      </c>
      <c r="B1241" t="inlineStr">
        <is>
          <t>Study flow 1</t>
        </is>
      </c>
      <c r="C1241" t="n">
        <v>1</v>
      </c>
      <c r="D1241" t="inlineStr">
        <is>
          <t>Pre-study calibration</t>
        </is>
      </c>
      <c r="E1241" t="n">
        <v>3.71</v>
      </c>
      <c r="F1241" t="n">
        <v>72</v>
      </c>
      <c r="G1241" t="n">
        <v>82.90000000000001</v>
      </c>
    </row>
    <row r="1242">
      <c r="A1242" t="inlineStr">
        <is>
          <t>RESP0260</t>
        </is>
      </c>
      <c r="B1242" t="inlineStr">
        <is>
          <t>Study flow 1</t>
        </is>
      </c>
      <c r="C1242" t="n">
        <v>2</v>
      </c>
      <c r="D1242" t="inlineStr">
        <is>
          <t>Instructions1</t>
        </is>
      </c>
      <c r="E1242" t="inlineStr">
        <is>
          <t>NA</t>
        </is>
      </c>
      <c r="F1242" t="n">
        <v>80.90000000000001</v>
      </c>
      <c r="G1242" t="n">
        <v>83.5</v>
      </c>
    </row>
    <row r="1243">
      <c r="A1243" t="inlineStr">
        <is>
          <t>RESP0260</t>
        </is>
      </c>
      <c r="B1243" t="inlineStr">
        <is>
          <t>Study flow 1</t>
        </is>
      </c>
      <c r="C1243" t="n">
        <v>3</v>
      </c>
      <c r="D1243" t="inlineStr">
        <is>
          <t>foodwaste_narrative</t>
        </is>
      </c>
      <c r="E1243" t="inlineStr">
        <is>
          <t>NA</t>
        </is>
      </c>
      <c r="F1243" t="n">
        <v>66.5</v>
      </c>
      <c r="G1243" t="n">
        <v>86.7</v>
      </c>
    </row>
    <row r="1244">
      <c r="A1244" t="inlineStr">
        <is>
          <t>RESP0260</t>
        </is>
      </c>
      <c r="B1244" t="inlineStr">
        <is>
          <t>Study flow 1</t>
        </is>
      </c>
      <c r="C1244" t="n">
        <v>4</v>
      </c>
      <c r="D1244" t="inlineStr">
        <is>
          <t>foodwaste_visual</t>
        </is>
      </c>
      <c r="E1244" t="inlineStr">
        <is>
          <t>NA</t>
        </is>
      </c>
      <c r="F1244" t="n">
        <v>67.3</v>
      </c>
      <c r="G1244" t="n">
        <v>65.90000000000001</v>
      </c>
    </row>
    <row r="1245">
      <c r="A1245" t="inlineStr">
        <is>
          <t>RESP0260</t>
        </is>
      </c>
      <c r="B1245" t="inlineStr">
        <is>
          <t>Study flow 1</t>
        </is>
      </c>
      <c r="C1245" t="n">
        <v>5</v>
      </c>
      <c r="D1245" t="inlineStr">
        <is>
          <t>infographic</t>
        </is>
      </c>
      <c r="E1245" t="inlineStr">
        <is>
          <t>NA</t>
        </is>
      </c>
      <c r="F1245" t="n">
        <v>72.2</v>
      </c>
      <c r="G1245" t="n">
        <v>83</v>
      </c>
    </row>
    <row r="1246">
      <c r="A1246" t="inlineStr">
        <is>
          <t>RESP0260</t>
        </is>
      </c>
      <c r="B1246" t="inlineStr">
        <is>
          <t>Study flow 1</t>
        </is>
      </c>
      <c r="C1246" t="n">
        <v>6</v>
      </c>
      <c r="D1246" t="inlineStr">
        <is>
          <t>Questionnaire</t>
        </is>
      </c>
      <c r="E1246" t="inlineStr">
        <is>
          <t>NA</t>
        </is>
      </c>
      <c r="F1246" t="n">
        <v>54.8</v>
      </c>
      <c r="G1246" t="n">
        <v>77.2</v>
      </c>
    </row>
    <row r="1247">
      <c r="A1247" t="inlineStr">
        <is>
          <t>RESP0260</t>
        </is>
      </c>
      <c r="B1247" t="inlineStr">
        <is>
          <t>Study flow 1</t>
        </is>
      </c>
      <c r="C1247" t="n">
        <v>7</v>
      </c>
      <c r="D1247" t="inlineStr">
        <is>
          <t>Post-study calibration</t>
        </is>
      </c>
      <c r="E1247" t="n">
        <v>5.48</v>
      </c>
      <c r="F1247" t="n">
        <v>70.8</v>
      </c>
      <c r="G1247" t="n">
        <v>82.5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7" customWidth="1" min="2" max="2"/>
    <col width="15" customWidth="1" min="3" max="3"/>
    <col width="21" customWidth="1" min="4" max="4"/>
    <col width="23" customWidth="1" min="5" max="5"/>
    <col width="18" customWidth="1" min="6" max="6"/>
    <col width="11" customWidth="1" min="7" max="7"/>
    <col width="25" customWidth="1" min="8" max="8"/>
    <col width="20" customWidth="1" min="9" max="9"/>
    <col width="24" customWidth="1" min="10" max="10"/>
    <col width="18" customWidth="1" min="11" max="11"/>
  </cols>
  <sheetData>
    <row r="1">
      <c r="A1" s="2" t="inlineStr">
        <is>
          <t>Study Name</t>
        </is>
      </c>
      <c r="B1" s="2" t="inlineStr">
        <is>
          <t>Respondent Name</t>
        </is>
      </c>
      <c r="C1" s="2" t="inlineStr">
        <is>
          <t>Interval type</t>
        </is>
      </c>
      <c r="D1" s="2" t="inlineStr">
        <is>
          <t>Interval label</t>
        </is>
      </c>
      <c r="E1" s="2" t="inlineStr">
        <is>
          <t>Interval duration (s)</t>
        </is>
      </c>
      <c r="F1" s="2" t="inlineStr">
        <is>
          <t>Expression</t>
        </is>
      </c>
      <c r="G1" s="2" t="inlineStr">
        <is>
          <t>Threshold</t>
        </is>
      </c>
      <c r="H1" s="2" t="inlineStr">
        <is>
          <t>Percent of time present</t>
        </is>
      </c>
      <c r="I1" s="2" t="inlineStr">
        <is>
          <t>Number of segments</t>
        </is>
      </c>
      <c r="J1" s="2" t="inlineStr">
        <is>
          <t>Mean raw score (0-100)</t>
        </is>
      </c>
      <c r="K1" s="2" t="inlineStr">
        <is>
          <t>Data quality (%)</t>
        </is>
      </c>
    </row>
    <row r="2">
      <c r="A2" t="inlineStr">
        <is>
          <t>SIMULATED Food Waste Remote Study</t>
        </is>
      </c>
      <c r="B2" t="inlineStr">
        <is>
          <t>RESP0001</t>
        </is>
      </c>
      <c r="C2" t="inlineStr">
        <is>
          <t>Stimulus</t>
        </is>
      </c>
      <c r="D2" t="inlineStr">
        <is>
          <t>foodwaste_narrative</t>
        </is>
      </c>
      <c r="E2" t="n">
        <v>60</v>
      </c>
      <c r="F2" t="inlineStr">
        <is>
          <t>Engagement</t>
        </is>
      </c>
      <c r="G2" t="n">
        <v>50</v>
      </c>
      <c r="H2" t="n">
        <v>32.56</v>
      </c>
      <c r="I2" t="n">
        <v>9</v>
      </c>
      <c r="J2" t="inlineStr">
        <is>
          <t>NA</t>
        </is>
      </c>
      <c r="K2" t="n">
        <v>98.8</v>
      </c>
    </row>
    <row r="3">
      <c r="A3" t="inlineStr">
        <is>
          <t>SIMULATED Food Waste Remote Study</t>
        </is>
      </c>
      <c r="B3" t="inlineStr">
        <is>
          <t>RESP0001</t>
        </is>
      </c>
      <c r="C3" t="inlineStr">
        <is>
          <t>Stimulus</t>
        </is>
      </c>
      <c r="D3" t="inlineStr">
        <is>
          <t>foodwaste_narrative</t>
        </is>
      </c>
      <c r="E3" t="n">
        <v>60</v>
      </c>
      <c r="F3" t="inlineStr">
        <is>
          <t>Joy</t>
        </is>
      </c>
      <c r="G3" t="n">
        <v>50</v>
      </c>
      <c r="H3" t="n">
        <v>0</v>
      </c>
      <c r="I3" t="n">
        <v>0</v>
      </c>
      <c r="J3" t="inlineStr">
        <is>
          <t>NA</t>
        </is>
      </c>
      <c r="K3" t="n">
        <v>98.8</v>
      </c>
    </row>
    <row r="4">
      <c r="A4" t="inlineStr">
        <is>
          <t>SIMULATED Food Waste Remote Study</t>
        </is>
      </c>
      <c r="B4" t="inlineStr">
        <is>
          <t>RESP0001</t>
        </is>
      </c>
      <c r="C4" t="inlineStr">
        <is>
          <t>Stimulus</t>
        </is>
      </c>
      <c r="D4" t="inlineStr">
        <is>
          <t>foodwaste_narrative</t>
        </is>
      </c>
      <c r="E4" t="n">
        <v>60</v>
      </c>
      <c r="F4" t="inlineStr">
        <is>
          <t>Brow Furrow</t>
        </is>
      </c>
      <c r="G4" t="n">
        <v>50</v>
      </c>
      <c r="H4" t="n">
        <v>3.22</v>
      </c>
      <c r="I4" t="n">
        <v>1</v>
      </c>
      <c r="J4" t="inlineStr">
        <is>
          <t>NA</t>
        </is>
      </c>
      <c r="K4" t="n">
        <v>98.8</v>
      </c>
    </row>
    <row r="5">
      <c r="A5" t="inlineStr">
        <is>
          <t>SIMULATED Food Waste Remote Study</t>
        </is>
      </c>
      <c r="B5" t="inlineStr">
        <is>
          <t>RESP0001</t>
        </is>
      </c>
      <c r="C5" t="inlineStr">
        <is>
          <t>Stimulus</t>
        </is>
      </c>
      <c r="D5" t="inlineStr">
        <is>
          <t>foodwaste_narrative</t>
        </is>
      </c>
      <c r="E5" t="n">
        <v>60</v>
      </c>
      <c r="F5" t="inlineStr">
        <is>
          <t>Positive Valence</t>
        </is>
      </c>
      <c r="G5" t="n">
        <v>50</v>
      </c>
      <c r="H5" t="n">
        <v>7.5</v>
      </c>
      <c r="I5" t="n">
        <v>2</v>
      </c>
      <c r="J5" t="inlineStr">
        <is>
          <t>NA</t>
        </is>
      </c>
      <c r="K5" t="n">
        <v>98.8</v>
      </c>
    </row>
    <row r="6">
      <c r="A6" t="inlineStr">
        <is>
          <t>SIMULATED Food Waste Remote Study</t>
        </is>
      </c>
      <c r="B6" t="inlineStr">
        <is>
          <t>RESP0001</t>
        </is>
      </c>
      <c r="C6" t="inlineStr">
        <is>
          <t>Stimulus</t>
        </is>
      </c>
      <c r="D6" t="inlineStr">
        <is>
          <t>foodwaste_narrative</t>
        </is>
      </c>
      <c r="E6" t="n">
        <v>60</v>
      </c>
      <c r="F6" t="inlineStr">
        <is>
          <t>Negative Valence</t>
        </is>
      </c>
      <c r="G6" t="n">
        <v>-50</v>
      </c>
      <c r="H6" t="n">
        <v>0</v>
      </c>
      <c r="I6" t="n">
        <v>0</v>
      </c>
      <c r="J6" t="inlineStr">
        <is>
          <t>NA</t>
        </is>
      </c>
      <c r="K6" t="n">
        <v>98.8</v>
      </c>
    </row>
    <row r="7">
      <c r="A7" t="inlineStr">
        <is>
          <t>SIMULATED Food Waste Remote Study</t>
        </is>
      </c>
      <c r="B7" t="inlineStr">
        <is>
          <t>RESP0001</t>
        </is>
      </c>
      <c r="C7" t="inlineStr">
        <is>
          <t>Stimulus</t>
        </is>
      </c>
      <c r="D7" t="inlineStr">
        <is>
          <t>foodwaste_visual</t>
        </is>
      </c>
      <c r="E7" t="n">
        <v>62</v>
      </c>
      <c r="F7" t="inlineStr">
        <is>
          <t>Engagement</t>
        </is>
      </c>
      <c r="G7" t="n">
        <v>50</v>
      </c>
      <c r="H7" t="n">
        <v>65.31999999999999</v>
      </c>
      <c r="I7" t="n">
        <v>17</v>
      </c>
      <c r="J7" t="inlineStr">
        <is>
          <t>NA</t>
        </is>
      </c>
      <c r="K7" t="n">
        <v>99</v>
      </c>
    </row>
    <row r="8">
      <c r="A8" t="inlineStr">
        <is>
          <t>SIMULATED Food Waste Remote Study</t>
        </is>
      </c>
      <c r="B8" t="inlineStr">
        <is>
          <t>RESP0001</t>
        </is>
      </c>
      <c r="C8" t="inlineStr">
        <is>
          <t>Stimulus</t>
        </is>
      </c>
      <c r="D8" t="inlineStr">
        <is>
          <t>foodwaste_visual</t>
        </is>
      </c>
      <c r="E8" t="n">
        <v>62</v>
      </c>
      <c r="F8" t="inlineStr">
        <is>
          <t>Joy</t>
        </is>
      </c>
      <c r="G8" t="n">
        <v>50</v>
      </c>
      <c r="H8" t="n">
        <v>0.48</v>
      </c>
      <c r="I8" t="n">
        <v>1</v>
      </c>
      <c r="J8" t="inlineStr">
        <is>
          <t>NA</t>
        </is>
      </c>
      <c r="K8" t="n">
        <v>99</v>
      </c>
    </row>
    <row r="9">
      <c r="A9" t="inlineStr">
        <is>
          <t>SIMULATED Food Waste Remote Study</t>
        </is>
      </c>
      <c r="B9" t="inlineStr">
        <is>
          <t>RESP0001</t>
        </is>
      </c>
      <c r="C9" t="inlineStr">
        <is>
          <t>Stimulus</t>
        </is>
      </c>
      <c r="D9" t="inlineStr">
        <is>
          <t>foodwaste_visual</t>
        </is>
      </c>
      <c r="E9" t="n">
        <v>62</v>
      </c>
      <c r="F9" t="inlineStr">
        <is>
          <t>Brow Furrow</t>
        </is>
      </c>
      <c r="G9" t="n">
        <v>50</v>
      </c>
      <c r="H9" t="n">
        <v>14.14</v>
      </c>
      <c r="I9" t="n">
        <v>3</v>
      </c>
      <c r="J9" t="inlineStr">
        <is>
          <t>NA</t>
        </is>
      </c>
      <c r="K9" t="n">
        <v>99</v>
      </c>
    </row>
    <row r="10">
      <c r="A10" t="inlineStr">
        <is>
          <t>SIMULATED Food Waste Remote Study</t>
        </is>
      </c>
      <c r="B10" t="inlineStr">
        <is>
          <t>RESP0001</t>
        </is>
      </c>
      <c r="C10" t="inlineStr">
        <is>
          <t>Stimulus</t>
        </is>
      </c>
      <c r="D10" t="inlineStr">
        <is>
          <t>foodwaste_visual</t>
        </is>
      </c>
      <c r="E10" t="n">
        <v>62</v>
      </c>
      <c r="F10" t="inlineStr">
        <is>
          <t>Positive Valence</t>
        </is>
      </c>
      <c r="G10" t="n">
        <v>50</v>
      </c>
      <c r="H10" t="n">
        <v>0</v>
      </c>
      <c r="I10" t="n">
        <v>0</v>
      </c>
      <c r="J10" t="inlineStr">
        <is>
          <t>NA</t>
        </is>
      </c>
      <c r="K10" t="n">
        <v>99</v>
      </c>
    </row>
    <row r="11">
      <c r="A11" t="inlineStr">
        <is>
          <t>SIMULATED Food Waste Remote Study</t>
        </is>
      </c>
      <c r="B11" t="inlineStr">
        <is>
          <t>RESP0001</t>
        </is>
      </c>
      <c r="C11" t="inlineStr">
        <is>
          <t>Stimulus</t>
        </is>
      </c>
      <c r="D11" t="inlineStr">
        <is>
          <t>foodwaste_visual</t>
        </is>
      </c>
      <c r="E11" t="n">
        <v>62</v>
      </c>
      <c r="F11" t="inlineStr">
        <is>
          <t>Negative Valence</t>
        </is>
      </c>
      <c r="G11" t="n">
        <v>-50</v>
      </c>
      <c r="H11" t="n">
        <v>5.81</v>
      </c>
      <c r="I11" t="n">
        <v>2</v>
      </c>
      <c r="J11" t="inlineStr">
        <is>
          <t>NA</t>
        </is>
      </c>
      <c r="K11" t="n">
        <v>99</v>
      </c>
    </row>
    <row r="12">
      <c r="A12" t="inlineStr">
        <is>
          <t>SIMULATED Food Waste Remote Study</t>
        </is>
      </c>
      <c r="B12" t="inlineStr">
        <is>
          <t>RESP0002</t>
        </is>
      </c>
      <c r="C12" t="inlineStr">
        <is>
          <t>Stimulus</t>
        </is>
      </c>
      <c r="D12" t="inlineStr">
        <is>
          <t>foodwaste_narrative</t>
        </is>
      </c>
      <c r="E12" t="n">
        <v>60</v>
      </c>
      <c r="F12" t="inlineStr">
        <is>
          <t>Engagement</t>
        </is>
      </c>
      <c r="G12" t="n">
        <v>50</v>
      </c>
      <c r="H12" t="n">
        <v>20.5</v>
      </c>
      <c r="I12" t="n">
        <v>5</v>
      </c>
      <c r="J12" t="inlineStr">
        <is>
          <t>NA</t>
        </is>
      </c>
      <c r="K12" t="n">
        <v>97.59999999999999</v>
      </c>
    </row>
    <row r="13">
      <c r="A13" t="inlineStr">
        <is>
          <t>SIMULATED Food Waste Remote Study</t>
        </is>
      </c>
      <c r="B13" t="inlineStr">
        <is>
          <t>RESP0002</t>
        </is>
      </c>
      <c r="C13" t="inlineStr">
        <is>
          <t>Stimulus</t>
        </is>
      </c>
      <c r="D13" t="inlineStr">
        <is>
          <t>foodwaste_narrative</t>
        </is>
      </c>
      <c r="E13" t="n">
        <v>60</v>
      </c>
      <c r="F13" t="inlineStr">
        <is>
          <t>Joy</t>
        </is>
      </c>
      <c r="G13" t="n">
        <v>50</v>
      </c>
      <c r="H13" t="n">
        <v>2.06</v>
      </c>
      <c r="I13" t="n">
        <v>1</v>
      </c>
      <c r="J13" t="inlineStr">
        <is>
          <t>NA</t>
        </is>
      </c>
      <c r="K13" t="n">
        <v>97.59999999999999</v>
      </c>
    </row>
    <row r="14">
      <c r="A14" t="inlineStr">
        <is>
          <t>SIMULATED Food Waste Remote Study</t>
        </is>
      </c>
      <c r="B14" t="inlineStr">
        <is>
          <t>RESP0002</t>
        </is>
      </c>
      <c r="C14" t="inlineStr">
        <is>
          <t>Stimulus</t>
        </is>
      </c>
      <c r="D14" t="inlineStr">
        <is>
          <t>foodwaste_narrative</t>
        </is>
      </c>
      <c r="E14" t="n">
        <v>60</v>
      </c>
      <c r="F14" t="inlineStr">
        <is>
          <t>Brow Furrow</t>
        </is>
      </c>
      <c r="G14" t="n">
        <v>50</v>
      </c>
      <c r="H14" t="n">
        <v>7.78</v>
      </c>
      <c r="I14" t="n">
        <v>2</v>
      </c>
      <c r="J14" t="inlineStr">
        <is>
          <t>NA</t>
        </is>
      </c>
      <c r="K14" t="n">
        <v>97.59999999999999</v>
      </c>
    </row>
    <row r="15">
      <c r="A15" t="inlineStr">
        <is>
          <t>SIMULATED Food Waste Remote Study</t>
        </is>
      </c>
      <c r="B15" t="inlineStr">
        <is>
          <t>RESP0002</t>
        </is>
      </c>
      <c r="C15" t="inlineStr">
        <is>
          <t>Stimulus</t>
        </is>
      </c>
      <c r="D15" t="inlineStr">
        <is>
          <t>foodwaste_narrative</t>
        </is>
      </c>
      <c r="E15" t="n">
        <v>60</v>
      </c>
      <c r="F15" t="inlineStr">
        <is>
          <t>Positive Valence</t>
        </is>
      </c>
      <c r="G15" t="n">
        <v>50</v>
      </c>
      <c r="H15" t="n">
        <v>24.94</v>
      </c>
      <c r="I15" t="n">
        <v>3</v>
      </c>
      <c r="J15" t="inlineStr">
        <is>
          <t>NA</t>
        </is>
      </c>
      <c r="K15" t="n">
        <v>97.59999999999999</v>
      </c>
    </row>
    <row r="16">
      <c r="A16" t="inlineStr">
        <is>
          <t>SIMULATED Food Waste Remote Study</t>
        </is>
      </c>
      <c r="B16" t="inlineStr">
        <is>
          <t>RESP0002</t>
        </is>
      </c>
      <c r="C16" t="inlineStr">
        <is>
          <t>Stimulus</t>
        </is>
      </c>
      <c r="D16" t="inlineStr">
        <is>
          <t>foodwaste_narrative</t>
        </is>
      </c>
      <c r="E16" t="n">
        <v>60</v>
      </c>
      <c r="F16" t="inlineStr">
        <is>
          <t>Negative Valence</t>
        </is>
      </c>
      <c r="G16" t="n">
        <v>-50</v>
      </c>
      <c r="H16" t="n">
        <v>0</v>
      </c>
      <c r="I16" t="n">
        <v>0</v>
      </c>
      <c r="J16" t="inlineStr">
        <is>
          <t>NA</t>
        </is>
      </c>
      <c r="K16" t="n">
        <v>97.59999999999999</v>
      </c>
    </row>
    <row r="17">
      <c r="A17" t="inlineStr">
        <is>
          <t>SIMULATED Food Waste Remote Study</t>
        </is>
      </c>
      <c r="B17" t="inlineStr">
        <is>
          <t>RESP0002</t>
        </is>
      </c>
      <c r="C17" t="inlineStr">
        <is>
          <t>Stimulus</t>
        </is>
      </c>
      <c r="D17" t="inlineStr">
        <is>
          <t>foodwaste_visual</t>
        </is>
      </c>
      <c r="E17" t="n">
        <v>62</v>
      </c>
      <c r="F17" t="inlineStr">
        <is>
          <t>Engagement</t>
        </is>
      </c>
      <c r="G17" t="n">
        <v>50</v>
      </c>
      <c r="H17" t="n">
        <v>66.98999999999999</v>
      </c>
      <c r="I17" t="n">
        <v>13</v>
      </c>
      <c r="J17" t="inlineStr">
        <is>
          <t>NA</t>
        </is>
      </c>
      <c r="K17" t="n">
        <v>98.8</v>
      </c>
    </row>
    <row r="18">
      <c r="A18" t="inlineStr">
        <is>
          <t>SIMULATED Food Waste Remote Study</t>
        </is>
      </c>
      <c r="B18" t="inlineStr">
        <is>
          <t>RESP0002</t>
        </is>
      </c>
      <c r="C18" t="inlineStr">
        <is>
          <t>Stimulus</t>
        </is>
      </c>
      <c r="D18" t="inlineStr">
        <is>
          <t>foodwaste_visual</t>
        </is>
      </c>
      <c r="E18" t="n">
        <v>62</v>
      </c>
      <c r="F18" t="inlineStr">
        <is>
          <t>Joy</t>
        </is>
      </c>
      <c r="G18" t="n">
        <v>50</v>
      </c>
      <c r="H18" t="n">
        <v>3.71</v>
      </c>
      <c r="I18" t="n">
        <v>4</v>
      </c>
      <c r="J18" t="inlineStr">
        <is>
          <t>NA</t>
        </is>
      </c>
      <c r="K18" t="n">
        <v>98.8</v>
      </c>
    </row>
    <row r="19">
      <c r="A19" t="inlineStr">
        <is>
          <t>SIMULATED Food Waste Remote Study</t>
        </is>
      </c>
      <c r="B19" t="inlineStr">
        <is>
          <t>RESP0002</t>
        </is>
      </c>
      <c r="C19" t="inlineStr">
        <is>
          <t>Stimulus</t>
        </is>
      </c>
      <c r="D19" t="inlineStr">
        <is>
          <t>foodwaste_visual</t>
        </is>
      </c>
      <c r="E19" t="n">
        <v>62</v>
      </c>
      <c r="F19" t="inlineStr">
        <is>
          <t>Brow Furrow</t>
        </is>
      </c>
      <c r="G19" t="n">
        <v>50</v>
      </c>
      <c r="H19" t="n">
        <v>4.14</v>
      </c>
      <c r="I19" t="n">
        <v>2</v>
      </c>
      <c r="J19" t="inlineStr">
        <is>
          <t>NA</t>
        </is>
      </c>
      <c r="K19" t="n">
        <v>98.8</v>
      </c>
    </row>
    <row r="20">
      <c r="A20" t="inlineStr">
        <is>
          <t>SIMULATED Food Waste Remote Study</t>
        </is>
      </c>
      <c r="B20" t="inlineStr">
        <is>
          <t>RESP0002</t>
        </is>
      </c>
      <c r="C20" t="inlineStr">
        <is>
          <t>Stimulus</t>
        </is>
      </c>
      <c r="D20" t="inlineStr">
        <is>
          <t>foodwaste_visual</t>
        </is>
      </c>
      <c r="E20" t="n">
        <v>62</v>
      </c>
      <c r="F20" t="inlineStr">
        <is>
          <t>Positive Valence</t>
        </is>
      </c>
      <c r="G20" t="n">
        <v>50</v>
      </c>
      <c r="H20" t="n">
        <v>32.63</v>
      </c>
      <c r="I20" t="n">
        <v>10</v>
      </c>
      <c r="J20" t="inlineStr">
        <is>
          <t>NA</t>
        </is>
      </c>
      <c r="K20" t="n">
        <v>98.8</v>
      </c>
    </row>
    <row r="21">
      <c r="A21" t="inlineStr">
        <is>
          <t>SIMULATED Food Waste Remote Study</t>
        </is>
      </c>
      <c r="B21" t="inlineStr">
        <is>
          <t>RESP0002</t>
        </is>
      </c>
      <c r="C21" t="inlineStr">
        <is>
          <t>Stimulus</t>
        </is>
      </c>
      <c r="D21" t="inlineStr">
        <is>
          <t>foodwaste_visual</t>
        </is>
      </c>
      <c r="E21" t="n">
        <v>62</v>
      </c>
      <c r="F21" t="inlineStr">
        <is>
          <t>Negative Valence</t>
        </is>
      </c>
      <c r="G21" t="n">
        <v>-50</v>
      </c>
      <c r="H21" t="n">
        <v>6.61</v>
      </c>
      <c r="I21" t="n">
        <v>3</v>
      </c>
      <c r="J21" t="inlineStr">
        <is>
          <t>NA</t>
        </is>
      </c>
      <c r="K21" t="n">
        <v>98.8</v>
      </c>
    </row>
    <row r="22">
      <c r="A22" t="inlineStr">
        <is>
          <t>SIMULATED Food Waste Remote Study</t>
        </is>
      </c>
      <c r="B22" t="inlineStr">
        <is>
          <t>RESP0003</t>
        </is>
      </c>
      <c r="C22" t="inlineStr">
        <is>
          <t>Stimulus</t>
        </is>
      </c>
      <c r="D22" t="inlineStr">
        <is>
          <t>foodwaste_narrative</t>
        </is>
      </c>
      <c r="E22" t="n">
        <v>60</v>
      </c>
      <c r="F22" t="inlineStr">
        <is>
          <t>Engagement</t>
        </is>
      </c>
      <c r="G22" t="n">
        <v>50</v>
      </c>
      <c r="H22" t="n">
        <v>14.72</v>
      </c>
      <c r="I22" t="n">
        <v>8</v>
      </c>
      <c r="J22" t="inlineStr">
        <is>
          <t>NA</t>
        </is>
      </c>
      <c r="K22" t="n">
        <v>79.7</v>
      </c>
    </row>
    <row r="23">
      <c r="A23" t="inlineStr">
        <is>
          <t>SIMULATED Food Waste Remote Study</t>
        </is>
      </c>
      <c r="B23" t="inlineStr">
        <is>
          <t>RESP0003</t>
        </is>
      </c>
      <c r="C23" t="inlineStr">
        <is>
          <t>Stimulus</t>
        </is>
      </c>
      <c r="D23" t="inlineStr">
        <is>
          <t>foodwaste_narrative</t>
        </is>
      </c>
      <c r="E23" t="n">
        <v>60</v>
      </c>
      <c r="F23" t="inlineStr">
        <is>
          <t>Joy</t>
        </is>
      </c>
      <c r="G23" t="n">
        <v>50</v>
      </c>
      <c r="H23" t="n">
        <v>0</v>
      </c>
      <c r="I23" t="n">
        <v>0</v>
      </c>
      <c r="J23" t="inlineStr">
        <is>
          <t>NA</t>
        </is>
      </c>
      <c r="K23" t="n">
        <v>79.7</v>
      </c>
    </row>
    <row r="24">
      <c r="A24" t="inlineStr">
        <is>
          <t>SIMULATED Food Waste Remote Study</t>
        </is>
      </c>
      <c r="B24" t="inlineStr">
        <is>
          <t>RESP0003</t>
        </is>
      </c>
      <c r="C24" t="inlineStr">
        <is>
          <t>Stimulus</t>
        </is>
      </c>
      <c r="D24" t="inlineStr">
        <is>
          <t>foodwaste_narrative</t>
        </is>
      </c>
      <c r="E24" t="n">
        <v>60</v>
      </c>
      <c r="F24" t="inlineStr">
        <is>
          <t>Brow Furrow</t>
        </is>
      </c>
      <c r="G24" t="n">
        <v>50</v>
      </c>
      <c r="H24" t="n">
        <v>1</v>
      </c>
      <c r="I24" t="n">
        <v>1</v>
      </c>
      <c r="J24" t="inlineStr">
        <is>
          <t>NA</t>
        </is>
      </c>
      <c r="K24" t="n">
        <v>79.7</v>
      </c>
    </row>
    <row r="25">
      <c r="A25" t="inlineStr">
        <is>
          <t>SIMULATED Food Waste Remote Study</t>
        </is>
      </c>
      <c r="B25" t="inlineStr">
        <is>
          <t>RESP0003</t>
        </is>
      </c>
      <c r="C25" t="inlineStr">
        <is>
          <t>Stimulus</t>
        </is>
      </c>
      <c r="D25" t="inlineStr">
        <is>
          <t>foodwaste_narrative</t>
        </is>
      </c>
      <c r="E25" t="n">
        <v>60</v>
      </c>
      <c r="F25" t="inlineStr">
        <is>
          <t>Positive Valence</t>
        </is>
      </c>
      <c r="G25" t="n">
        <v>50</v>
      </c>
      <c r="H25" t="n">
        <v>0</v>
      </c>
      <c r="I25" t="n">
        <v>0</v>
      </c>
      <c r="J25" t="inlineStr">
        <is>
          <t>NA</t>
        </is>
      </c>
      <c r="K25" t="n">
        <v>79.7</v>
      </c>
    </row>
    <row r="26">
      <c r="A26" t="inlineStr">
        <is>
          <t>SIMULATED Food Waste Remote Study</t>
        </is>
      </c>
      <c r="B26" t="inlineStr">
        <is>
          <t>RESP0003</t>
        </is>
      </c>
      <c r="C26" t="inlineStr">
        <is>
          <t>Stimulus</t>
        </is>
      </c>
      <c r="D26" t="inlineStr">
        <is>
          <t>foodwaste_narrative</t>
        </is>
      </c>
      <c r="E26" t="n">
        <v>60</v>
      </c>
      <c r="F26" t="inlineStr">
        <is>
          <t>Negative Valence</t>
        </is>
      </c>
      <c r="G26" t="n">
        <v>-50</v>
      </c>
      <c r="H26" t="n">
        <v>0.9399999999999999</v>
      </c>
      <c r="I26" t="n">
        <v>2</v>
      </c>
      <c r="J26" t="inlineStr">
        <is>
          <t>NA</t>
        </is>
      </c>
      <c r="K26" t="n">
        <v>79.7</v>
      </c>
    </row>
    <row r="27">
      <c r="A27" t="inlineStr">
        <is>
          <t>SIMULATED Food Waste Remote Study</t>
        </is>
      </c>
      <c r="B27" t="inlineStr">
        <is>
          <t>RESP0003</t>
        </is>
      </c>
      <c r="C27" t="inlineStr">
        <is>
          <t>Stimulus</t>
        </is>
      </c>
      <c r="D27" t="inlineStr">
        <is>
          <t>foodwaste_visual</t>
        </is>
      </c>
      <c r="E27" t="n">
        <v>62</v>
      </c>
      <c r="F27" t="inlineStr">
        <is>
          <t>Engagement</t>
        </is>
      </c>
      <c r="G27" t="n">
        <v>50</v>
      </c>
      <c r="H27" t="n">
        <v>61.72</v>
      </c>
      <c r="I27" t="n">
        <v>13</v>
      </c>
      <c r="J27" t="inlineStr">
        <is>
          <t>NA</t>
        </is>
      </c>
      <c r="K27" t="n">
        <v>87.40000000000001</v>
      </c>
    </row>
    <row r="28">
      <c r="A28" t="inlineStr">
        <is>
          <t>SIMULATED Food Waste Remote Study</t>
        </is>
      </c>
      <c r="B28" t="inlineStr">
        <is>
          <t>RESP0003</t>
        </is>
      </c>
      <c r="C28" t="inlineStr">
        <is>
          <t>Stimulus</t>
        </is>
      </c>
      <c r="D28" t="inlineStr">
        <is>
          <t>foodwaste_visual</t>
        </is>
      </c>
      <c r="E28" t="n">
        <v>62</v>
      </c>
      <c r="F28" t="inlineStr">
        <is>
          <t>Joy</t>
        </is>
      </c>
      <c r="G28" t="n">
        <v>50</v>
      </c>
      <c r="H28" t="n">
        <v>2.1</v>
      </c>
      <c r="I28" t="n">
        <v>1</v>
      </c>
      <c r="J28" t="inlineStr">
        <is>
          <t>NA</t>
        </is>
      </c>
      <c r="K28" t="n">
        <v>87.40000000000001</v>
      </c>
    </row>
    <row r="29">
      <c r="A29" t="inlineStr">
        <is>
          <t>SIMULATED Food Waste Remote Study</t>
        </is>
      </c>
      <c r="B29" t="inlineStr">
        <is>
          <t>RESP0003</t>
        </is>
      </c>
      <c r="C29" t="inlineStr">
        <is>
          <t>Stimulus</t>
        </is>
      </c>
      <c r="D29" t="inlineStr">
        <is>
          <t>foodwaste_visual</t>
        </is>
      </c>
      <c r="E29" t="n">
        <v>62</v>
      </c>
      <c r="F29" t="inlineStr">
        <is>
          <t>Brow Furrow</t>
        </is>
      </c>
      <c r="G29" t="n">
        <v>50</v>
      </c>
      <c r="H29" t="n">
        <v>9.41</v>
      </c>
      <c r="I29" t="n">
        <v>2</v>
      </c>
      <c r="J29" t="inlineStr">
        <is>
          <t>NA</t>
        </is>
      </c>
      <c r="K29" t="n">
        <v>87.40000000000001</v>
      </c>
    </row>
    <row r="30">
      <c r="A30" t="inlineStr">
        <is>
          <t>SIMULATED Food Waste Remote Study</t>
        </is>
      </c>
      <c r="B30" t="inlineStr">
        <is>
          <t>RESP0003</t>
        </is>
      </c>
      <c r="C30" t="inlineStr">
        <is>
          <t>Stimulus</t>
        </is>
      </c>
      <c r="D30" t="inlineStr">
        <is>
          <t>foodwaste_visual</t>
        </is>
      </c>
      <c r="E30" t="n">
        <v>62</v>
      </c>
      <c r="F30" t="inlineStr">
        <is>
          <t>Positive Valence</t>
        </is>
      </c>
      <c r="G30" t="n">
        <v>50</v>
      </c>
      <c r="H30" t="n">
        <v>4.46</v>
      </c>
      <c r="I30" t="n">
        <v>1</v>
      </c>
      <c r="J30" t="inlineStr">
        <is>
          <t>NA</t>
        </is>
      </c>
      <c r="K30" t="n">
        <v>87.40000000000001</v>
      </c>
    </row>
    <row r="31">
      <c r="A31" t="inlineStr">
        <is>
          <t>SIMULATED Food Waste Remote Study</t>
        </is>
      </c>
      <c r="B31" t="inlineStr">
        <is>
          <t>RESP0003</t>
        </is>
      </c>
      <c r="C31" t="inlineStr">
        <is>
          <t>Stimulus</t>
        </is>
      </c>
      <c r="D31" t="inlineStr">
        <is>
          <t>foodwaste_visual</t>
        </is>
      </c>
      <c r="E31" t="n">
        <v>62</v>
      </c>
      <c r="F31" t="inlineStr">
        <is>
          <t>Negative Valence</t>
        </is>
      </c>
      <c r="G31" t="n">
        <v>-50</v>
      </c>
      <c r="H31" t="n">
        <v>15.22</v>
      </c>
      <c r="I31" t="n">
        <v>2</v>
      </c>
      <c r="J31" t="inlineStr">
        <is>
          <t>NA</t>
        </is>
      </c>
      <c r="K31" t="n">
        <v>87.40000000000001</v>
      </c>
    </row>
    <row r="32">
      <c r="A32" t="inlineStr">
        <is>
          <t>SIMULATED Food Waste Remote Study</t>
        </is>
      </c>
      <c r="B32" t="inlineStr">
        <is>
          <t>RESP0004</t>
        </is>
      </c>
      <c r="C32" t="inlineStr">
        <is>
          <t>Stimulus</t>
        </is>
      </c>
      <c r="D32" t="inlineStr">
        <is>
          <t>foodwaste_narrative</t>
        </is>
      </c>
      <c r="E32" t="n">
        <v>60</v>
      </c>
      <c r="F32" t="inlineStr">
        <is>
          <t>Engagement</t>
        </is>
      </c>
      <c r="G32" t="n">
        <v>50</v>
      </c>
      <c r="H32" t="n">
        <v>0</v>
      </c>
      <c r="I32" t="n">
        <v>0</v>
      </c>
      <c r="J32" t="inlineStr">
        <is>
          <t>NA</t>
        </is>
      </c>
      <c r="K32" t="n">
        <v>96.59999999999999</v>
      </c>
    </row>
    <row r="33">
      <c r="A33" t="inlineStr">
        <is>
          <t>SIMULATED Food Waste Remote Study</t>
        </is>
      </c>
      <c r="B33" t="inlineStr">
        <is>
          <t>RESP0004</t>
        </is>
      </c>
      <c r="C33" t="inlineStr">
        <is>
          <t>Stimulus</t>
        </is>
      </c>
      <c r="D33" t="inlineStr">
        <is>
          <t>foodwaste_narrative</t>
        </is>
      </c>
      <c r="E33" t="n">
        <v>60</v>
      </c>
      <c r="F33" t="inlineStr">
        <is>
          <t>Joy</t>
        </is>
      </c>
      <c r="G33" t="n">
        <v>50</v>
      </c>
      <c r="H33" t="n">
        <v>0</v>
      </c>
      <c r="I33" t="n">
        <v>0</v>
      </c>
      <c r="J33" t="inlineStr">
        <is>
          <t>NA</t>
        </is>
      </c>
      <c r="K33" t="n">
        <v>96.59999999999999</v>
      </c>
    </row>
    <row r="34">
      <c r="A34" t="inlineStr">
        <is>
          <t>SIMULATED Food Waste Remote Study</t>
        </is>
      </c>
      <c r="B34" t="inlineStr">
        <is>
          <t>RESP0004</t>
        </is>
      </c>
      <c r="C34" t="inlineStr">
        <is>
          <t>Stimulus</t>
        </is>
      </c>
      <c r="D34" t="inlineStr">
        <is>
          <t>foodwaste_narrative</t>
        </is>
      </c>
      <c r="E34" t="n">
        <v>60</v>
      </c>
      <c r="F34" t="inlineStr">
        <is>
          <t>Brow Furrow</t>
        </is>
      </c>
      <c r="G34" t="n">
        <v>50</v>
      </c>
      <c r="H34" t="n">
        <v>0</v>
      </c>
      <c r="I34" t="n">
        <v>0</v>
      </c>
      <c r="J34" t="inlineStr">
        <is>
          <t>NA</t>
        </is>
      </c>
      <c r="K34" t="n">
        <v>96.59999999999999</v>
      </c>
    </row>
    <row r="35">
      <c r="A35" t="inlineStr">
        <is>
          <t>SIMULATED Food Waste Remote Study</t>
        </is>
      </c>
      <c r="B35" t="inlineStr">
        <is>
          <t>RESP0004</t>
        </is>
      </c>
      <c r="C35" t="inlineStr">
        <is>
          <t>Stimulus</t>
        </is>
      </c>
      <c r="D35" t="inlineStr">
        <is>
          <t>foodwaste_narrative</t>
        </is>
      </c>
      <c r="E35" t="n">
        <v>60</v>
      </c>
      <c r="F35" t="inlineStr">
        <is>
          <t>Positive Valence</t>
        </is>
      </c>
      <c r="G35" t="n">
        <v>50</v>
      </c>
      <c r="H35" t="n">
        <v>0</v>
      </c>
      <c r="I35" t="n">
        <v>0</v>
      </c>
      <c r="J35" t="inlineStr">
        <is>
          <t>NA</t>
        </is>
      </c>
      <c r="K35" t="n">
        <v>96.59999999999999</v>
      </c>
    </row>
    <row r="36">
      <c r="A36" t="inlineStr">
        <is>
          <t>SIMULATED Food Waste Remote Study</t>
        </is>
      </c>
      <c r="B36" t="inlineStr">
        <is>
          <t>RESP0004</t>
        </is>
      </c>
      <c r="C36" t="inlineStr">
        <is>
          <t>Stimulus</t>
        </is>
      </c>
      <c r="D36" t="inlineStr">
        <is>
          <t>foodwaste_narrative</t>
        </is>
      </c>
      <c r="E36" t="n">
        <v>60</v>
      </c>
      <c r="F36" t="inlineStr">
        <is>
          <t>Negative Valence</t>
        </is>
      </c>
      <c r="G36" t="n">
        <v>-50</v>
      </c>
      <c r="H36" t="n">
        <v>0</v>
      </c>
      <c r="I36" t="n">
        <v>0</v>
      </c>
      <c r="J36" t="inlineStr">
        <is>
          <t>NA</t>
        </is>
      </c>
      <c r="K36" t="n">
        <v>96.59999999999999</v>
      </c>
    </row>
    <row r="37">
      <c r="A37" t="inlineStr">
        <is>
          <t>SIMULATED Food Waste Remote Study</t>
        </is>
      </c>
      <c r="B37" t="inlineStr">
        <is>
          <t>RESP0004</t>
        </is>
      </c>
      <c r="C37" t="inlineStr">
        <is>
          <t>Stimulus</t>
        </is>
      </c>
      <c r="D37" t="inlineStr">
        <is>
          <t>foodwaste_visual</t>
        </is>
      </c>
      <c r="E37" t="n">
        <v>62</v>
      </c>
      <c r="F37" t="inlineStr">
        <is>
          <t>Engagement</t>
        </is>
      </c>
      <c r="G37" t="n">
        <v>50</v>
      </c>
      <c r="H37" t="n">
        <v>20.32</v>
      </c>
      <c r="I37" t="n">
        <v>2</v>
      </c>
      <c r="J37" t="inlineStr">
        <is>
          <t>NA</t>
        </is>
      </c>
      <c r="K37" t="n">
        <v>96.5</v>
      </c>
    </row>
    <row r="38">
      <c r="A38" t="inlineStr">
        <is>
          <t>SIMULATED Food Waste Remote Study</t>
        </is>
      </c>
      <c r="B38" t="inlineStr">
        <is>
          <t>RESP0004</t>
        </is>
      </c>
      <c r="C38" t="inlineStr">
        <is>
          <t>Stimulus</t>
        </is>
      </c>
      <c r="D38" t="inlineStr">
        <is>
          <t>foodwaste_visual</t>
        </is>
      </c>
      <c r="E38" t="n">
        <v>62</v>
      </c>
      <c r="F38" t="inlineStr">
        <is>
          <t>Joy</t>
        </is>
      </c>
      <c r="G38" t="n">
        <v>50</v>
      </c>
      <c r="H38" t="n">
        <v>0</v>
      </c>
      <c r="I38" t="n">
        <v>0</v>
      </c>
      <c r="J38" t="inlineStr">
        <is>
          <t>NA</t>
        </is>
      </c>
      <c r="K38" t="n">
        <v>96.5</v>
      </c>
    </row>
    <row r="39">
      <c r="A39" t="inlineStr">
        <is>
          <t>SIMULATED Food Waste Remote Study</t>
        </is>
      </c>
      <c r="B39" t="inlineStr">
        <is>
          <t>RESP0004</t>
        </is>
      </c>
      <c r="C39" t="inlineStr">
        <is>
          <t>Stimulus</t>
        </is>
      </c>
      <c r="D39" t="inlineStr">
        <is>
          <t>foodwaste_visual</t>
        </is>
      </c>
      <c r="E39" t="n">
        <v>62</v>
      </c>
      <c r="F39" t="inlineStr">
        <is>
          <t>Brow Furrow</t>
        </is>
      </c>
      <c r="G39" t="n">
        <v>50</v>
      </c>
      <c r="H39" t="n">
        <v>0.38</v>
      </c>
      <c r="I39" t="n">
        <v>1</v>
      </c>
      <c r="J39" t="inlineStr">
        <is>
          <t>NA</t>
        </is>
      </c>
      <c r="K39" t="n">
        <v>96.5</v>
      </c>
    </row>
    <row r="40">
      <c r="A40" t="inlineStr">
        <is>
          <t>SIMULATED Food Waste Remote Study</t>
        </is>
      </c>
      <c r="B40" t="inlineStr">
        <is>
          <t>RESP0004</t>
        </is>
      </c>
      <c r="C40" t="inlineStr">
        <is>
          <t>Stimulus</t>
        </is>
      </c>
      <c r="D40" t="inlineStr">
        <is>
          <t>foodwaste_visual</t>
        </is>
      </c>
      <c r="E40" t="n">
        <v>62</v>
      </c>
      <c r="F40" t="inlineStr">
        <is>
          <t>Positive Valence</t>
        </is>
      </c>
      <c r="G40" t="n">
        <v>50</v>
      </c>
      <c r="H40" t="n">
        <v>0</v>
      </c>
      <c r="I40" t="n">
        <v>0</v>
      </c>
      <c r="J40" t="inlineStr">
        <is>
          <t>NA</t>
        </is>
      </c>
      <c r="K40" t="n">
        <v>96.5</v>
      </c>
    </row>
    <row r="41">
      <c r="A41" t="inlineStr">
        <is>
          <t>SIMULATED Food Waste Remote Study</t>
        </is>
      </c>
      <c r="B41" t="inlineStr">
        <is>
          <t>RESP0004</t>
        </is>
      </c>
      <c r="C41" t="inlineStr">
        <is>
          <t>Stimulus</t>
        </is>
      </c>
      <c r="D41" t="inlineStr">
        <is>
          <t>foodwaste_visual</t>
        </is>
      </c>
      <c r="E41" t="n">
        <v>62</v>
      </c>
      <c r="F41" t="inlineStr">
        <is>
          <t>Negative Valence</t>
        </is>
      </c>
      <c r="G41" t="n">
        <v>-50</v>
      </c>
      <c r="H41" t="n">
        <v>5.38</v>
      </c>
      <c r="I41" t="n">
        <v>1</v>
      </c>
      <c r="J41" t="inlineStr">
        <is>
          <t>NA</t>
        </is>
      </c>
      <c r="K41" t="n">
        <v>96.5</v>
      </c>
    </row>
    <row r="42">
      <c r="A42" t="inlineStr">
        <is>
          <t>SIMULATED Food Waste Remote Study</t>
        </is>
      </c>
      <c r="B42" t="inlineStr">
        <is>
          <t>RESP0005</t>
        </is>
      </c>
      <c r="C42" t="inlineStr">
        <is>
          <t>Stimulus</t>
        </is>
      </c>
      <c r="D42" t="inlineStr">
        <is>
          <t>foodwaste_narrative</t>
        </is>
      </c>
      <c r="E42" t="n">
        <v>60</v>
      </c>
      <c r="F42" t="inlineStr">
        <is>
          <t>Engagement</t>
        </is>
      </c>
      <c r="G42" t="n">
        <v>50</v>
      </c>
      <c r="H42" t="n">
        <v>21.78</v>
      </c>
      <c r="I42" t="n">
        <v>6</v>
      </c>
      <c r="J42" t="inlineStr">
        <is>
          <t>NA</t>
        </is>
      </c>
      <c r="K42" t="n">
        <v>90.59999999999999</v>
      </c>
    </row>
    <row r="43">
      <c r="A43" t="inlineStr">
        <is>
          <t>SIMULATED Food Waste Remote Study</t>
        </is>
      </c>
      <c r="B43" t="inlineStr">
        <is>
          <t>RESP0005</t>
        </is>
      </c>
      <c r="C43" t="inlineStr">
        <is>
          <t>Stimulus</t>
        </is>
      </c>
      <c r="D43" t="inlineStr">
        <is>
          <t>foodwaste_narrative</t>
        </is>
      </c>
      <c r="E43" t="n">
        <v>60</v>
      </c>
      <c r="F43" t="inlineStr">
        <is>
          <t>Joy</t>
        </is>
      </c>
      <c r="G43" t="n">
        <v>50</v>
      </c>
      <c r="H43" t="n">
        <v>0</v>
      </c>
      <c r="I43" t="n">
        <v>0</v>
      </c>
      <c r="J43" t="inlineStr">
        <is>
          <t>NA</t>
        </is>
      </c>
      <c r="K43" t="n">
        <v>90.59999999999999</v>
      </c>
    </row>
    <row r="44">
      <c r="A44" t="inlineStr">
        <is>
          <t>SIMULATED Food Waste Remote Study</t>
        </is>
      </c>
      <c r="B44" t="inlineStr">
        <is>
          <t>RESP0005</t>
        </is>
      </c>
      <c r="C44" t="inlineStr">
        <is>
          <t>Stimulus</t>
        </is>
      </c>
      <c r="D44" t="inlineStr">
        <is>
          <t>foodwaste_narrative</t>
        </is>
      </c>
      <c r="E44" t="n">
        <v>60</v>
      </c>
      <c r="F44" t="inlineStr">
        <is>
          <t>Brow Furrow</t>
        </is>
      </c>
      <c r="G44" t="n">
        <v>50</v>
      </c>
      <c r="H44" t="n">
        <v>0</v>
      </c>
      <c r="I44" t="n">
        <v>0</v>
      </c>
      <c r="J44" t="inlineStr">
        <is>
          <t>NA</t>
        </is>
      </c>
      <c r="K44" t="n">
        <v>90.59999999999999</v>
      </c>
    </row>
    <row r="45">
      <c r="A45" t="inlineStr">
        <is>
          <t>SIMULATED Food Waste Remote Study</t>
        </is>
      </c>
      <c r="B45" t="inlineStr">
        <is>
          <t>RESP0005</t>
        </is>
      </c>
      <c r="C45" t="inlineStr">
        <is>
          <t>Stimulus</t>
        </is>
      </c>
      <c r="D45" t="inlineStr">
        <is>
          <t>foodwaste_narrative</t>
        </is>
      </c>
      <c r="E45" t="n">
        <v>60</v>
      </c>
      <c r="F45" t="inlineStr">
        <is>
          <t>Positive Valence</t>
        </is>
      </c>
      <c r="G45" t="n">
        <v>50</v>
      </c>
      <c r="H45" t="n">
        <v>0</v>
      </c>
      <c r="I45" t="n">
        <v>0</v>
      </c>
      <c r="J45" t="inlineStr">
        <is>
          <t>NA</t>
        </is>
      </c>
      <c r="K45" t="n">
        <v>90.59999999999999</v>
      </c>
    </row>
    <row r="46">
      <c r="A46" t="inlineStr">
        <is>
          <t>SIMULATED Food Waste Remote Study</t>
        </is>
      </c>
      <c r="B46" t="inlineStr">
        <is>
          <t>RESP0005</t>
        </is>
      </c>
      <c r="C46" t="inlineStr">
        <is>
          <t>Stimulus</t>
        </is>
      </c>
      <c r="D46" t="inlineStr">
        <is>
          <t>foodwaste_narrative</t>
        </is>
      </c>
      <c r="E46" t="n">
        <v>60</v>
      </c>
      <c r="F46" t="inlineStr">
        <is>
          <t>Negative Valence</t>
        </is>
      </c>
      <c r="G46" t="n">
        <v>-50</v>
      </c>
      <c r="H46" t="n">
        <v>0</v>
      </c>
      <c r="I46" t="n">
        <v>0</v>
      </c>
      <c r="J46" t="inlineStr">
        <is>
          <t>NA</t>
        </is>
      </c>
      <c r="K46" t="n">
        <v>90.59999999999999</v>
      </c>
    </row>
    <row r="47">
      <c r="A47" t="inlineStr">
        <is>
          <t>SIMULATED Food Waste Remote Study</t>
        </is>
      </c>
      <c r="B47" t="inlineStr">
        <is>
          <t>RESP0005</t>
        </is>
      </c>
      <c r="C47" t="inlineStr">
        <is>
          <t>Stimulus</t>
        </is>
      </c>
      <c r="D47" t="inlineStr">
        <is>
          <t>foodwaste_visual</t>
        </is>
      </c>
      <c r="E47" t="n">
        <v>62</v>
      </c>
      <c r="F47" t="inlineStr">
        <is>
          <t>Engagement</t>
        </is>
      </c>
      <c r="G47" t="n">
        <v>50</v>
      </c>
      <c r="H47" t="n">
        <v>24.25</v>
      </c>
      <c r="I47" t="n">
        <v>6</v>
      </c>
      <c r="J47" t="inlineStr">
        <is>
          <t>NA</t>
        </is>
      </c>
      <c r="K47" t="n">
        <v>93</v>
      </c>
    </row>
    <row r="48">
      <c r="A48" t="inlineStr">
        <is>
          <t>SIMULATED Food Waste Remote Study</t>
        </is>
      </c>
      <c r="B48" t="inlineStr">
        <is>
          <t>RESP0005</t>
        </is>
      </c>
      <c r="C48" t="inlineStr">
        <is>
          <t>Stimulus</t>
        </is>
      </c>
      <c r="D48" t="inlineStr">
        <is>
          <t>foodwaste_visual</t>
        </is>
      </c>
      <c r="E48" t="n">
        <v>62</v>
      </c>
      <c r="F48" t="inlineStr">
        <is>
          <t>Joy</t>
        </is>
      </c>
      <c r="G48" t="n">
        <v>50</v>
      </c>
      <c r="H48" t="n">
        <v>11.72</v>
      </c>
      <c r="I48" t="n">
        <v>3</v>
      </c>
      <c r="J48" t="inlineStr">
        <is>
          <t>NA</t>
        </is>
      </c>
      <c r="K48" t="n">
        <v>93</v>
      </c>
    </row>
    <row r="49">
      <c r="A49" t="inlineStr">
        <is>
          <t>SIMULATED Food Waste Remote Study</t>
        </is>
      </c>
      <c r="B49" t="inlineStr">
        <is>
          <t>RESP0005</t>
        </is>
      </c>
      <c r="C49" t="inlineStr">
        <is>
          <t>Stimulus</t>
        </is>
      </c>
      <c r="D49" t="inlineStr">
        <is>
          <t>foodwaste_visual</t>
        </is>
      </c>
      <c r="E49" t="n">
        <v>62</v>
      </c>
      <c r="F49" t="inlineStr">
        <is>
          <t>Brow Furrow</t>
        </is>
      </c>
      <c r="G49" t="n">
        <v>50</v>
      </c>
      <c r="H49" t="n">
        <v>13.71</v>
      </c>
      <c r="I49" t="n">
        <v>5</v>
      </c>
      <c r="J49" t="inlineStr">
        <is>
          <t>NA</t>
        </is>
      </c>
      <c r="K49" t="n">
        <v>93</v>
      </c>
    </row>
    <row r="50">
      <c r="A50" t="inlineStr">
        <is>
          <t>SIMULATED Food Waste Remote Study</t>
        </is>
      </c>
      <c r="B50" t="inlineStr">
        <is>
          <t>RESP0005</t>
        </is>
      </c>
      <c r="C50" t="inlineStr">
        <is>
          <t>Stimulus</t>
        </is>
      </c>
      <c r="D50" t="inlineStr">
        <is>
          <t>foodwaste_visual</t>
        </is>
      </c>
      <c r="E50" t="n">
        <v>62</v>
      </c>
      <c r="F50" t="inlineStr">
        <is>
          <t>Positive Valence</t>
        </is>
      </c>
      <c r="G50" t="n">
        <v>50</v>
      </c>
      <c r="H50" t="n">
        <v>4.14</v>
      </c>
      <c r="I50" t="n">
        <v>3</v>
      </c>
      <c r="J50" t="inlineStr">
        <is>
          <t>NA</t>
        </is>
      </c>
      <c r="K50" t="n">
        <v>93</v>
      </c>
    </row>
    <row r="51">
      <c r="A51" t="inlineStr">
        <is>
          <t>SIMULATED Food Waste Remote Study</t>
        </is>
      </c>
      <c r="B51" t="inlineStr">
        <is>
          <t>RESP0005</t>
        </is>
      </c>
      <c r="C51" t="inlineStr">
        <is>
          <t>Stimulus</t>
        </is>
      </c>
      <c r="D51" t="inlineStr">
        <is>
          <t>foodwaste_visual</t>
        </is>
      </c>
      <c r="E51" t="n">
        <v>62</v>
      </c>
      <c r="F51" t="inlineStr">
        <is>
          <t>Negative Valence</t>
        </is>
      </c>
      <c r="G51" t="n">
        <v>-50</v>
      </c>
      <c r="H51" t="n">
        <v>8.17</v>
      </c>
      <c r="I51" t="n">
        <v>5</v>
      </c>
      <c r="J51" t="inlineStr">
        <is>
          <t>NA</t>
        </is>
      </c>
      <c r="K51" t="n">
        <v>93</v>
      </c>
    </row>
    <row r="52">
      <c r="A52" t="inlineStr">
        <is>
          <t>SIMULATED Food Waste Remote Study</t>
        </is>
      </c>
      <c r="B52" t="inlineStr">
        <is>
          <t>RESP0006</t>
        </is>
      </c>
      <c r="C52" t="inlineStr">
        <is>
          <t>Stimulus</t>
        </is>
      </c>
      <c r="D52" t="inlineStr">
        <is>
          <t>foodwaste_narrative</t>
        </is>
      </c>
      <c r="E52" t="n">
        <v>60</v>
      </c>
      <c r="F52" t="inlineStr">
        <is>
          <t>Engagement</t>
        </is>
      </c>
      <c r="G52" t="n">
        <v>50</v>
      </c>
      <c r="H52" t="n">
        <v>7.06</v>
      </c>
      <c r="I52" t="n">
        <v>4</v>
      </c>
      <c r="J52" t="inlineStr">
        <is>
          <t>NA</t>
        </is>
      </c>
      <c r="K52" t="n">
        <v>99.3</v>
      </c>
    </row>
    <row r="53">
      <c r="A53" t="inlineStr">
        <is>
          <t>SIMULATED Food Waste Remote Study</t>
        </is>
      </c>
      <c r="B53" t="inlineStr">
        <is>
          <t>RESP0006</t>
        </is>
      </c>
      <c r="C53" t="inlineStr">
        <is>
          <t>Stimulus</t>
        </is>
      </c>
      <c r="D53" t="inlineStr">
        <is>
          <t>foodwaste_narrative</t>
        </is>
      </c>
      <c r="E53" t="n">
        <v>60</v>
      </c>
      <c r="F53" t="inlineStr">
        <is>
          <t>Joy</t>
        </is>
      </c>
      <c r="G53" t="n">
        <v>50</v>
      </c>
      <c r="H53" t="n">
        <v>0.78</v>
      </c>
      <c r="I53" t="n">
        <v>1</v>
      </c>
      <c r="J53" t="inlineStr">
        <is>
          <t>NA</t>
        </is>
      </c>
      <c r="K53" t="n">
        <v>99.3</v>
      </c>
    </row>
    <row r="54">
      <c r="A54" t="inlineStr">
        <is>
          <t>SIMULATED Food Waste Remote Study</t>
        </is>
      </c>
      <c r="B54" t="inlineStr">
        <is>
          <t>RESP0006</t>
        </is>
      </c>
      <c r="C54" t="inlineStr">
        <is>
          <t>Stimulus</t>
        </is>
      </c>
      <c r="D54" t="inlineStr">
        <is>
          <t>foodwaste_narrative</t>
        </is>
      </c>
      <c r="E54" t="n">
        <v>60</v>
      </c>
      <c r="F54" t="inlineStr">
        <is>
          <t>Brow Furrow</t>
        </is>
      </c>
      <c r="G54" t="n">
        <v>50</v>
      </c>
      <c r="H54" t="n">
        <v>19.22</v>
      </c>
      <c r="I54" t="n">
        <v>6</v>
      </c>
      <c r="J54" t="inlineStr">
        <is>
          <t>NA</t>
        </is>
      </c>
      <c r="K54" t="n">
        <v>99.3</v>
      </c>
    </row>
    <row r="55">
      <c r="A55" t="inlineStr">
        <is>
          <t>SIMULATED Food Waste Remote Study</t>
        </is>
      </c>
      <c r="B55" t="inlineStr">
        <is>
          <t>RESP0006</t>
        </is>
      </c>
      <c r="C55" t="inlineStr">
        <is>
          <t>Stimulus</t>
        </is>
      </c>
      <c r="D55" t="inlineStr">
        <is>
          <t>foodwaste_narrative</t>
        </is>
      </c>
      <c r="E55" t="n">
        <v>60</v>
      </c>
      <c r="F55" t="inlineStr">
        <is>
          <t>Positive Valence</t>
        </is>
      </c>
      <c r="G55" t="n">
        <v>50</v>
      </c>
      <c r="H55" t="n">
        <v>0</v>
      </c>
      <c r="I55" t="n">
        <v>0</v>
      </c>
      <c r="J55" t="inlineStr">
        <is>
          <t>NA</t>
        </is>
      </c>
      <c r="K55" t="n">
        <v>99.3</v>
      </c>
    </row>
    <row r="56">
      <c r="A56" t="inlineStr">
        <is>
          <t>SIMULATED Food Waste Remote Study</t>
        </is>
      </c>
      <c r="B56" t="inlineStr">
        <is>
          <t>RESP0006</t>
        </is>
      </c>
      <c r="C56" t="inlineStr">
        <is>
          <t>Stimulus</t>
        </is>
      </c>
      <c r="D56" t="inlineStr">
        <is>
          <t>foodwaste_narrative</t>
        </is>
      </c>
      <c r="E56" t="n">
        <v>60</v>
      </c>
      <c r="F56" t="inlineStr">
        <is>
          <t>Negative Valence</t>
        </is>
      </c>
      <c r="G56" t="n">
        <v>-50</v>
      </c>
      <c r="H56" t="n">
        <v>2.28</v>
      </c>
      <c r="I56" t="n">
        <v>1</v>
      </c>
      <c r="J56" t="inlineStr">
        <is>
          <t>NA</t>
        </is>
      </c>
      <c r="K56" t="n">
        <v>99.3</v>
      </c>
    </row>
    <row r="57">
      <c r="A57" t="inlineStr">
        <is>
          <t>SIMULATED Food Waste Remote Study</t>
        </is>
      </c>
      <c r="B57" t="inlineStr">
        <is>
          <t>RESP0006</t>
        </is>
      </c>
      <c r="C57" t="inlineStr">
        <is>
          <t>Stimulus</t>
        </is>
      </c>
      <c r="D57" t="inlineStr">
        <is>
          <t>foodwaste_visual</t>
        </is>
      </c>
      <c r="E57" t="n">
        <v>62</v>
      </c>
      <c r="F57" t="inlineStr">
        <is>
          <t>Engagement</t>
        </is>
      </c>
      <c r="G57" t="n">
        <v>50</v>
      </c>
      <c r="H57" t="n">
        <v>12.2</v>
      </c>
      <c r="I57" t="n">
        <v>4</v>
      </c>
      <c r="J57" t="inlineStr">
        <is>
          <t>NA</t>
        </is>
      </c>
      <c r="K57" t="n">
        <v>99</v>
      </c>
    </row>
    <row r="58">
      <c r="A58" t="inlineStr">
        <is>
          <t>SIMULATED Food Waste Remote Study</t>
        </is>
      </c>
      <c r="B58" t="inlineStr">
        <is>
          <t>RESP0006</t>
        </is>
      </c>
      <c r="C58" t="inlineStr">
        <is>
          <t>Stimulus</t>
        </is>
      </c>
      <c r="D58" t="inlineStr">
        <is>
          <t>foodwaste_visual</t>
        </is>
      </c>
      <c r="E58" t="n">
        <v>62</v>
      </c>
      <c r="F58" t="inlineStr">
        <is>
          <t>Joy</t>
        </is>
      </c>
      <c r="G58" t="n">
        <v>50</v>
      </c>
      <c r="H58" t="n">
        <v>0</v>
      </c>
      <c r="I58" t="n">
        <v>0</v>
      </c>
      <c r="J58" t="inlineStr">
        <is>
          <t>NA</t>
        </is>
      </c>
      <c r="K58" t="n">
        <v>99</v>
      </c>
    </row>
    <row r="59">
      <c r="A59" t="inlineStr">
        <is>
          <t>SIMULATED Food Waste Remote Study</t>
        </is>
      </c>
      <c r="B59" t="inlineStr">
        <is>
          <t>RESP0006</t>
        </is>
      </c>
      <c r="C59" t="inlineStr">
        <is>
          <t>Stimulus</t>
        </is>
      </c>
      <c r="D59" t="inlineStr">
        <is>
          <t>foodwaste_visual</t>
        </is>
      </c>
      <c r="E59" t="n">
        <v>62</v>
      </c>
      <c r="F59" t="inlineStr">
        <is>
          <t>Brow Furrow</t>
        </is>
      </c>
      <c r="G59" t="n">
        <v>50</v>
      </c>
      <c r="H59" t="n">
        <v>3.17</v>
      </c>
      <c r="I59" t="n">
        <v>1</v>
      </c>
      <c r="J59" t="inlineStr">
        <is>
          <t>NA</t>
        </is>
      </c>
      <c r="K59" t="n">
        <v>99</v>
      </c>
    </row>
    <row r="60">
      <c r="A60" t="inlineStr">
        <is>
          <t>SIMULATED Food Waste Remote Study</t>
        </is>
      </c>
      <c r="B60" t="inlineStr">
        <is>
          <t>RESP0006</t>
        </is>
      </c>
      <c r="C60" t="inlineStr">
        <is>
          <t>Stimulus</t>
        </is>
      </c>
      <c r="D60" t="inlineStr">
        <is>
          <t>foodwaste_visual</t>
        </is>
      </c>
      <c r="E60" t="n">
        <v>62</v>
      </c>
      <c r="F60" t="inlineStr">
        <is>
          <t>Positive Valence</t>
        </is>
      </c>
      <c r="G60" t="n">
        <v>50</v>
      </c>
      <c r="H60" t="n">
        <v>2.9</v>
      </c>
      <c r="I60" t="n">
        <v>2</v>
      </c>
      <c r="J60" t="inlineStr">
        <is>
          <t>NA</t>
        </is>
      </c>
      <c r="K60" t="n">
        <v>99</v>
      </c>
    </row>
    <row r="61">
      <c r="A61" t="inlineStr">
        <is>
          <t>SIMULATED Food Waste Remote Study</t>
        </is>
      </c>
      <c r="B61" t="inlineStr">
        <is>
          <t>RESP0006</t>
        </is>
      </c>
      <c r="C61" t="inlineStr">
        <is>
          <t>Stimulus</t>
        </is>
      </c>
      <c r="D61" t="inlineStr">
        <is>
          <t>foodwaste_visual</t>
        </is>
      </c>
      <c r="E61" t="n">
        <v>62</v>
      </c>
      <c r="F61" t="inlineStr">
        <is>
          <t>Negative Valence</t>
        </is>
      </c>
      <c r="G61" t="n">
        <v>-50</v>
      </c>
      <c r="H61" t="n">
        <v>3.71</v>
      </c>
      <c r="I61" t="n">
        <v>2</v>
      </c>
      <c r="J61" t="inlineStr">
        <is>
          <t>NA</t>
        </is>
      </c>
      <c r="K61" t="n">
        <v>99</v>
      </c>
    </row>
    <row r="62">
      <c r="A62" t="inlineStr">
        <is>
          <t>SIMULATED Food Waste Remote Study</t>
        </is>
      </c>
      <c r="B62" t="inlineStr">
        <is>
          <t>RESP0007</t>
        </is>
      </c>
      <c r="C62" t="inlineStr">
        <is>
          <t>Stimulus</t>
        </is>
      </c>
      <c r="D62" t="inlineStr">
        <is>
          <t>foodwaste_narrative</t>
        </is>
      </c>
      <c r="E62" t="n">
        <v>60</v>
      </c>
      <c r="F62" t="inlineStr">
        <is>
          <t>Engagement</t>
        </is>
      </c>
      <c r="G62" t="n">
        <v>50</v>
      </c>
      <c r="H62" t="n">
        <v>31.17</v>
      </c>
      <c r="I62" t="n">
        <v>9</v>
      </c>
      <c r="J62" t="inlineStr">
        <is>
          <t>NA</t>
        </is>
      </c>
      <c r="K62" t="n">
        <v>94.90000000000001</v>
      </c>
    </row>
    <row r="63">
      <c r="A63" t="inlineStr">
        <is>
          <t>SIMULATED Food Waste Remote Study</t>
        </is>
      </c>
      <c r="B63" t="inlineStr">
        <is>
          <t>RESP0007</t>
        </is>
      </c>
      <c r="C63" t="inlineStr">
        <is>
          <t>Stimulus</t>
        </is>
      </c>
      <c r="D63" t="inlineStr">
        <is>
          <t>foodwaste_narrative</t>
        </is>
      </c>
      <c r="E63" t="n">
        <v>60</v>
      </c>
      <c r="F63" t="inlineStr">
        <is>
          <t>Joy</t>
        </is>
      </c>
      <c r="G63" t="n">
        <v>50</v>
      </c>
      <c r="H63" t="n">
        <v>0</v>
      </c>
      <c r="I63" t="n">
        <v>0</v>
      </c>
      <c r="J63" t="inlineStr">
        <is>
          <t>NA</t>
        </is>
      </c>
      <c r="K63" t="n">
        <v>94.90000000000001</v>
      </c>
    </row>
    <row r="64">
      <c r="A64" t="inlineStr">
        <is>
          <t>SIMULATED Food Waste Remote Study</t>
        </is>
      </c>
      <c r="B64" t="inlineStr">
        <is>
          <t>RESP0007</t>
        </is>
      </c>
      <c r="C64" t="inlineStr">
        <is>
          <t>Stimulus</t>
        </is>
      </c>
      <c r="D64" t="inlineStr">
        <is>
          <t>foodwaste_narrative</t>
        </is>
      </c>
      <c r="E64" t="n">
        <v>60</v>
      </c>
      <c r="F64" t="inlineStr">
        <is>
          <t>Brow Furrow</t>
        </is>
      </c>
      <c r="G64" t="n">
        <v>50</v>
      </c>
      <c r="H64" t="n">
        <v>0</v>
      </c>
      <c r="I64" t="n">
        <v>0</v>
      </c>
      <c r="J64" t="inlineStr">
        <is>
          <t>NA</t>
        </is>
      </c>
      <c r="K64" t="n">
        <v>94.90000000000001</v>
      </c>
    </row>
    <row r="65">
      <c r="A65" t="inlineStr">
        <is>
          <t>SIMULATED Food Waste Remote Study</t>
        </is>
      </c>
      <c r="B65" t="inlineStr">
        <is>
          <t>RESP0007</t>
        </is>
      </c>
      <c r="C65" t="inlineStr">
        <is>
          <t>Stimulus</t>
        </is>
      </c>
      <c r="D65" t="inlineStr">
        <is>
          <t>foodwaste_narrative</t>
        </is>
      </c>
      <c r="E65" t="n">
        <v>60</v>
      </c>
      <c r="F65" t="inlineStr">
        <is>
          <t>Positive Valence</t>
        </is>
      </c>
      <c r="G65" t="n">
        <v>50</v>
      </c>
      <c r="H65" t="n">
        <v>13.22</v>
      </c>
      <c r="I65" t="n">
        <v>3</v>
      </c>
      <c r="J65" t="inlineStr">
        <is>
          <t>NA</t>
        </is>
      </c>
      <c r="K65" t="n">
        <v>94.90000000000001</v>
      </c>
    </row>
    <row r="66">
      <c r="A66" t="inlineStr">
        <is>
          <t>SIMULATED Food Waste Remote Study</t>
        </is>
      </c>
      <c r="B66" t="inlineStr">
        <is>
          <t>RESP0007</t>
        </is>
      </c>
      <c r="C66" t="inlineStr">
        <is>
          <t>Stimulus</t>
        </is>
      </c>
      <c r="D66" t="inlineStr">
        <is>
          <t>foodwaste_narrative</t>
        </is>
      </c>
      <c r="E66" t="n">
        <v>60</v>
      </c>
      <c r="F66" t="inlineStr">
        <is>
          <t>Negative Valence</t>
        </is>
      </c>
      <c r="G66" t="n">
        <v>-50</v>
      </c>
      <c r="H66" t="n">
        <v>0.72</v>
      </c>
      <c r="I66" t="n">
        <v>1</v>
      </c>
      <c r="J66" t="inlineStr">
        <is>
          <t>NA</t>
        </is>
      </c>
      <c r="K66" t="n">
        <v>94.90000000000001</v>
      </c>
    </row>
    <row r="67">
      <c r="A67" t="inlineStr">
        <is>
          <t>SIMULATED Food Waste Remote Study</t>
        </is>
      </c>
      <c r="B67" t="inlineStr">
        <is>
          <t>RESP0007</t>
        </is>
      </c>
      <c r="C67" t="inlineStr">
        <is>
          <t>Stimulus</t>
        </is>
      </c>
      <c r="D67" t="inlineStr">
        <is>
          <t>foodwaste_visual</t>
        </is>
      </c>
      <c r="E67" t="n">
        <v>62</v>
      </c>
      <c r="F67" t="inlineStr">
        <is>
          <t>Engagement</t>
        </is>
      </c>
      <c r="G67" t="n">
        <v>50</v>
      </c>
      <c r="H67" t="n">
        <v>61.4</v>
      </c>
      <c r="I67" t="n">
        <v>13</v>
      </c>
      <c r="J67" t="inlineStr">
        <is>
          <t>NA</t>
        </is>
      </c>
      <c r="K67" t="n">
        <v>97.2</v>
      </c>
    </row>
    <row r="68">
      <c r="A68" t="inlineStr">
        <is>
          <t>SIMULATED Food Waste Remote Study</t>
        </is>
      </c>
      <c r="B68" t="inlineStr">
        <is>
          <t>RESP0007</t>
        </is>
      </c>
      <c r="C68" t="inlineStr">
        <is>
          <t>Stimulus</t>
        </is>
      </c>
      <c r="D68" t="inlineStr">
        <is>
          <t>foodwaste_visual</t>
        </is>
      </c>
      <c r="E68" t="n">
        <v>62</v>
      </c>
      <c r="F68" t="inlineStr">
        <is>
          <t>Joy</t>
        </is>
      </c>
      <c r="G68" t="n">
        <v>50</v>
      </c>
      <c r="H68" t="n">
        <v>0</v>
      </c>
      <c r="I68" t="n">
        <v>0</v>
      </c>
      <c r="J68" t="inlineStr">
        <is>
          <t>NA</t>
        </is>
      </c>
      <c r="K68" t="n">
        <v>97.2</v>
      </c>
    </row>
    <row r="69">
      <c r="A69" t="inlineStr">
        <is>
          <t>SIMULATED Food Waste Remote Study</t>
        </is>
      </c>
      <c r="B69" t="inlineStr">
        <is>
          <t>RESP0007</t>
        </is>
      </c>
      <c r="C69" t="inlineStr">
        <is>
          <t>Stimulus</t>
        </is>
      </c>
      <c r="D69" t="inlineStr">
        <is>
          <t>foodwaste_visual</t>
        </is>
      </c>
      <c r="E69" t="n">
        <v>62</v>
      </c>
      <c r="F69" t="inlineStr">
        <is>
          <t>Brow Furrow</t>
        </is>
      </c>
      <c r="G69" t="n">
        <v>50</v>
      </c>
      <c r="H69" t="n">
        <v>7.53</v>
      </c>
      <c r="I69" t="n">
        <v>2</v>
      </c>
      <c r="J69" t="inlineStr">
        <is>
          <t>NA</t>
        </is>
      </c>
      <c r="K69" t="n">
        <v>97.2</v>
      </c>
    </row>
    <row r="70">
      <c r="A70" t="inlineStr">
        <is>
          <t>SIMULATED Food Waste Remote Study</t>
        </is>
      </c>
      <c r="B70" t="inlineStr">
        <is>
          <t>RESP0007</t>
        </is>
      </c>
      <c r="C70" t="inlineStr">
        <is>
          <t>Stimulus</t>
        </is>
      </c>
      <c r="D70" t="inlineStr">
        <is>
          <t>foodwaste_visual</t>
        </is>
      </c>
      <c r="E70" t="n">
        <v>62</v>
      </c>
      <c r="F70" t="inlineStr">
        <is>
          <t>Positive Valence</t>
        </is>
      </c>
      <c r="G70" t="n">
        <v>50</v>
      </c>
      <c r="H70" t="n">
        <v>0</v>
      </c>
      <c r="I70" t="n">
        <v>0</v>
      </c>
      <c r="J70" t="inlineStr">
        <is>
          <t>NA</t>
        </is>
      </c>
      <c r="K70" t="n">
        <v>97.2</v>
      </c>
    </row>
    <row r="71">
      <c r="A71" t="inlineStr">
        <is>
          <t>SIMULATED Food Waste Remote Study</t>
        </is>
      </c>
      <c r="B71" t="inlineStr">
        <is>
          <t>RESP0007</t>
        </is>
      </c>
      <c r="C71" t="inlineStr">
        <is>
          <t>Stimulus</t>
        </is>
      </c>
      <c r="D71" t="inlineStr">
        <is>
          <t>foodwaste_visual</t>
        </is>
      </c>
      <c r="E71" t="n">
        <v>62</v>
      </c>
      <c r="F71" t="inlineStr">
        <is>
          <t>Negative Valence</t>
        </is>
      </c>
      <c r="G71" t="n">
        <v>-50</v>
      </c>
      <c r="H71" t="n">
        <v>0.11</v>
      </c>
      <c r="I71" t="n">
        <v>1</v>
      </c>
      <c r="J71" t="inlineStr">
        <is>
          <t>NA</t>
        </is>
      </c>
      <c r="K71" t="n">
        <v>97.2</v>
      </c>
    </row>
    <row r="72">
      <c r="A72" t="inlineStr">
        <is>
          <t>SIMULATED Food Waste Remote Study</t>
        </is>
      </c>
      <c r="B72" t="inlineStr">
        <is>
          <t>RESP0009</t>
        </is>
      </c>
      <c r="C72" t="inlineStr">
        <is>
          <t>Stimulus</t>
        </is>
      </c>
      <c r="D72" t="inlineStr">
        <is>
          <t>foodwaste_narrative</t>
        </is>
      </c>
      <c r="E72" t="n">
        <v>60</v>
      </c>
      <c r="F72" t="inlineStr">
        <is>
          <t>Engagement</t>
        </is>
      </c>
      <c r="G72" t="n">
        <v>50</v>
      </c>
      <c r="H72" t="n">
        <v>43.17</v>
      </c>
      <c r="I72" t="n">
        <v>8</v>
      </c>
      <c r="J72" t="inlineStr">
        <is>
          <t>NA</t>
        </is>
      </c>
      <c r="K72" t="n">
        <v>96.59999999999999</v>
      </c>
    </row>
    <row r="73">
      <c r="A73" t="inlineStr">
        <is>
          <t>SIMULATED Food Waste Remote Study</t>
        </is>
      </c>
      <c r="B73" t="inlineStr">
        <is>
          <t>RESP0009</t>
        </is>
      </c>
      <c r="C73" t="inlineStr">
        <is>
          <t>Stimulus</t>
        </is>
      </c>
      <c r="D73" t="inlineStr">
        <is>
          <t>foodwaste_narrative</t>
        </is>
      </c>
      <c r="E73" t="n">
        <v>60</v>
      </c>
      <c r="F73" t="inlineStr">
        <is>
          <t>Joy</t>
        </is>
      </c>
      <c r="G73" t="n">
        <v>50</v>
      </c>
      <c r="H73" t="n">
        <v>0</v>
      </c>
      <c r="I73" t="n">
        <v>0</v>
      </c>
      <c r="J73" t="inlineStr">
        <is>
          <t>NA</t>
        </is>
      </c>
      <c r="K73" t="n">
        <v>96.59999999999999</v>
      </c>
    </row>
    <row r="74">
      <c r="A74" t="inlineStr">
        <is>
          <t>SIMULATED Food Waste Remote Study</t>
        </is>
      </c>
      <c r="B74" t="inlineStr">
        <is>
          <t>RESP0009</t>
        </is>
      </c>
      <c r="C74" t="inlineStr">
        <is>
          <t>Stimulus</t>
        </is>
      </c>
      <c r="D74" t="inlineStr">
        <is>
          <t>foodwaste_narrative</t>
        </is>
      </c>
      <c r="E74" t="n">
        <v>60</v>
      </c>
      <c r="F74" t="inlineStr">
        <is>
          <t>Brow Furrow</t>
        </is>
      </c>
      <c r="G74" t="n">
        <v>50</v>
      </c>
      <c r="H74" t="n">
        <v>0</v>
      </c>
      <c r="I74" t="n">
        <v>0</v>
      </c>
      <c r="J74" t="inlineStr">
        <is>
          <t>NA</t>
        </is>
      </c>
      <c r="K74" t="n">
        <v>96.59999999999999</v>
      </c>
    </row>
    <row r="75">
      <c r="A75" t="inlineStr">
        <is>
          <t>SIMULATED Food Waste Remote Study</t>
        </is>
      </c>
      <c r="B75" t="inlineStr">
        <is>
          <t>RESP0009</t>
        </is>
      </c>
      <c r="C75" t="inlineStr">
        <is>
          <t>Stimulus</t>
        </is>
      </c>
      <c r="D75" t="inlineStr">
        <is>
          <t>foodwaste_narrative</t>
        </is>
      </c>
      <c r="E75" t="n">
        <v>60</v>
      </c>
      <c r="F75" t="inlineStr">
        <is>
          <t>Positive Valence</t>
        </is>
      </c>
      <c r="G75" t="n">
        <v>50</v>
      </c>
      <c r="H75" t="n">
        <v>0</v>
      </c>
      <c r="I75" t="n">
        <v>0</v>
      </c>
      <c r="J75" t="inlineStr">
        <is>
          <t>NA</t>
        </is>
      </c>
      <c r="K75" t="n">
        <v>96.59999999999999</v>
      </c>
    </row>
    <row r="76">
      <c r="A76" t="inlineStr">
        <is>
          <t>SIMULATED Food Waste Remote Study</t>
        </is>
      </c>
      <c r="B76" t="inlineStr">
        <is>
          <t>RESP0009</t>
        </is>
      </c>
      <c r="C76" t="inlineStr">
        <is>
          <t>Stimulus</t>
        </is>
      </c>
      <c r="D76" t="inlineStr">
        <is>
          <t>foodwaste_narrative</t>
        </is>
      </c>
      <c r="E76" t="n">
        <v>60</v>
      </c>
      <c r="F76" t="inlineStr">
        <is>
          <t>Negative Valence</t>
        </is>
      </c>
      <c r="G76" t="n">
        <v>-50</v>
      </c>
      <c r="H76" t="n">
        <v>2.17</v>
      </c>
      <c r="I76" t="n">
        <v>2</v>
      </c>
      <c r="J76" t="inlineStr">
        <is>
          <t>NA</t>
        </is>
      </c>
      <c r="K76" t="n">
        <v>96.59999999999999</v>
      </c>
    </row>
    <row r="77">
      <c r="A77" t="inlineStr">
        <is>
          <t>SIMULATED Food Waste Remote Study</t>
        </is>
      </c>
      <c r="B77" t="inlineStr">
        <is>
          <t>RESP0009</t>
        </is>
      </c>
      <c r="C77" t="inlineStr">
        <is>
          <t>Stimulus</t>
        </is>
      </c>
      <c r="D77" t="inlineStr">
        <is>
          <t>foodwaste_visual</t>
        </is>
      </c>
      <c r="E77" t="n">
        <v>62</v>
      </c>
      <c r="F77" t="inlineStr">
        <is>
          <t>Engagement</t>
        </is>
      </c>
      <c r="G77" t="n">
        <v>50</v>
      </c>
      <c r="H77" t="n">
        <v>56.83</v>
      </c>
      <c r="I77" t="n">
        <v>14</v>
      </c>
      <c r="J77" t="inlineStr">
        <is>
          <t>NA</t>
        </is>
      </c>
      <c r="K77" t="n">
        <v>96.90000000000001</v>
      </c>
    </row>
    <row r="78">
      <c r="A78" t="inlineStr">
        <is>
          <t>SIMULATED Food Waste Remote Study</t>
        </is>
      </c>
      <c r="B78" t="inlineStr">
        <is>
          <t>RESP0009</t>
        </is>
      </c>
      <c r="C78" t="inlineStr">
        <is>
          <t>Stimulus</t>
        </is>
      </c>
      <c r="D78" t="inlineStr">
        <is>
          <t>foodwaste_visual</t>
        </is>
      </c>
      <c r="E78" t="n">
        <v>62</v>
      </c>
      <c r="F78" t="inlineStr">
        <is>
          <t>Joy</t>
        </is>
      </c>
      <c r="G78" t="n">
        <v>50</v>
      </c>
      <c r="H78" t="n">
        <v>0</v>
      </c>
      <c r="I78" t="n">
        <v>0</v>
      </c>
      <c r="J78" t="inlineStr">
        <is>
          <t>NA</t>
        </is>
      </c>
      <c r="K78" t="n">
        <v>96.90000000000001</v>
      </c>
    </row>
    <row r="79">
      <c r="A79" t="inlineStr">
        <is>
          <t>SIMULATED Food Waste Remote Study</t>
        </is>
      </c>
      <c r="B79" t="inlineStr">
        <is>
          <t>RESP0009</t>
        </is>
      </c>
      <c r="C79" t="inlineStr">
        <is>
          <t>Stimulus</t>
        </is>
      </c>
      <c r="D79" t="inlineStr">
        <is>
          <t>foodwaste_visual</t>
        </is>
      </c>
      <c r="E79" t="n">
        <v>62</v>
      </c>
      <c r="F79" t="inlineStr">
        <is>
          <t>Brow Furrow</t>
        </is>
      </c>
      <c r="G79" t="n">
        <v>50</v>
      </c>
      <c r="H79" t="n">
        <v>12.26</v>
      </c>
      <c r="I79" t="n">
        <v>3</v>
      </c>
      <c r="J79" t="inlineStr">
        <is>
          <t>NA</t>
        </is>
      </c>
      <c r="K79" t="n">
        <v>96.90000000000001</v>
      </c>
    </row>
    <row r="80">
      <c r="A80" t="inlineStr">
        <is>
          <t>SIMULATED Food Waste Remote Study</t>
        </is>
      </c>
      <c r="B80" t="inlineStr">
        <is>
          <t>RESP0009</t>
        </is>
      </c>
      <c r="C80" t="inlineStr">
        <is>
          <t>Stimulus</t>
        </is>
      </c>
      <c r="D80" t="inlineStr">
        <is>
          <t>foodwaste_visual</t>
        </is>
      </c>
      <c r="E80" t="n">
        <v>62</v>
      </c>
      <c r="F80" t="inlineStr">
        <is>
          <t>Positive Valence</t>
        </is>
      </c>
      <c r="G80" t="n">
        <v>50</v>
      </c>
      <c r="H80" t="n">
        <v>0</v>
      </c>
      <c r="I80" t="n">
        <v>0</v>
      </c>
      <c r="J80" t="inlineStr">
        <is>
          <t>NA</t>
        </is>
      </c>
      <c r="K80" t="n">
        <v>96.90000000000001</v>
      </c>
    </row>
    <row r="81">
      <c r="A81" t="inlineStr">
        <is>
          <t>SIMULATED Food Waste Remote Study</t>
        </is>
      </c>
      <c r="B81" t="inlineStr">
        <is>
          <t>RESP0009</t>
        </is>
      </c>
      <c r="C81" t="inlineStr">
        <is>
          <t>Stimulus</t>
        </is>
      </c>
      <c r="D81" t="inlineStr">
        <is>
          <t>foodwaste_visual</t>
        </is>
      </c>
      <c r="E81" t="n">
        <v>62</v>
      </c>
      <c r="F81" t="inlineStr">
        <is>
          <t>Negative Valence</t>
        </is>
      </c>
      <c r="G81" t="n">
        <v>-50</v>
      </c>
      <c r="H81" t="n">
        <v>1.13</v>
      </c>
      <c r="I81" t="n">
        <v>1</v>
      </c>
      <c r="J81" t="inlineStr">
        <is>
          <t>NA</t>
        </is>
      </c>
      <c r="K81" t="n">
        <v>96.90000000000001</v>
      </c>
    </row>
    <row r="82">
      <c r="A82" t="inlineStr">
        <is>
          <t>SIMULATED Food Waste Remote Study</t>
        </is>
      </c>
      <c r="B82" t="inlineStr">
        <is>
          <t>RESP0010</t>
        </is>
      </c>
      <c r="C82" t="inlineStr">
        <is>
          <t>Stimulus</t>
        </is>
      </c>
      <c r="D82" t="inlineStr">
        <is>
          <t>foodwaste_narrative</t>
        </is>
      </c>
      <c r="E82" t="n">
        <v>60</v>
      </c>
      <c r="F82" t="inlineStr">
        <is>
          <t>Engagement</t>
        </is>
      </c>
      <c r="G82" t="n">
        <v>50</v>
      </c>
      <c r="H82" t="n">
        <v>5.78</v>
      </c>
      <c r="I82" t="n">
        <v>2</v>
      </c>
      <c r="J82" t="inlineStr">
        <is>
          <t>NA</t>
        </is>
      </c>
      <c r="K82" t="n">
        <v>98.5</v>
      </c>
    </row>
    <row r="83">
      <c r="A83" t="inlineStr">
        <is>
          <t>SIMULATED Food Waste Remote Study</t>
        </is>
      </c>
      <c r="B83" t="inlineStr">
        <is>
          <t>RESP0010</t>
        </is>
      </c>
      <c r="C83" t="inlineStr">
        <is>
          <t>Stimulus</t>
        </is>
      </c>
      <c r="D83" t="inlineStr">
        <is>
          <t>foodwaste_narrative</t>
        </is>
      </c>
      <c r="E83" t="n">
        <v>60</v>
      </c>
      <c r="F83" t="inlineStr">
        <is>
          <t>Joy</t>
        </is>
      </c>
      <c r="G83" t="n">
        <v>50</v>
      </c>
      <c r="H83" t="n">
        <v>0</v>
      </c>
      <c r="I83" t="n">
        <v>0</v>
      </c>
      <c r="J83" t="inlineStr">
        <is>
          <t>NA</t>
        </is>
      </c>
      <c r="K83" t="n">
        <v>98.5</v>
      </c>
    </row>
    <row r="84">
      <c r="A84" t="inlineStr">
        <is>
          <t>SIMULATED Food Waste Remote Study</t>
        </is>
      </c>
      <c r="B84" t="inlineStr">
        <is>
          <t>RESP0010</t>
        </is>
      </c>
      <c r="C84" t="inlineStr">
        <is>
          <t>Stimulus</t>
        </is>
      </c>
      <c r="D84" t="inlineStr">
        <is>
          <t>foodwaste_narrative</t>
        </is>
      </c>
      <c r="E84" t="n">
        <v>60</v>
      </c>
      <c r="F84" t="inlineStr">
        <is>
          <t>Brow Furrow</t>
        </is>
      </c>
      <c r="G84" t="n">
        <v>50</v>
      </c>
      <c r="H84" t="n">
        <v>0</v>
      </c>
      <c r="I84" t="n">
        <v>0</v>
      </c>
      <c r="J84" t="inlineStr">
        <is>
          <t>NA</t>
        </is>
      </c>
      <c r="K84" t="n">
        <v>98.5</v>
      </c>
    </row>
    <row r="85">
      <c r="A85" t="inlineStr">
        <is>
          <t>SIMULATED Food Waste Remote Study</t>
        </is>
      </c>
      <c r="B85" t="inlineStr">
        <is>
          <t>RESP0010</t>
        </is>
      </c>
      <c r="C85" t="inlineStr">
        <is>
          <t>Stimulus</t>
        </is>
      </c>
      <c r="D85" t="inlineStr">
        <is>
          <t>foodwaste_narrative</t>
        </is>
      </c>
      <c r="E85" t="n">
        <v>60</v>
      </c>
      <c r="F85" t="inlineStr">
        <is>
          <t>Positive Valence</t>
        </is>
      </c>
      <c r="G85" t="n">
        <v>50</v>
      </c>
      <c r="H85" t="n">
        <v>0</v>
      </c>
      <c r="I85" t="n">
        <v>0</v>
      </c>
      <c r="J85" t="inlineStr">
        <is>
          <t>NA</t>
        </is>
      </c>
      <c r="K85" t="n">
        <v>98.5</v>
      </c>
    </row>
    <row r="86">
      <c r="A86" t="inlineStr">
        <is>
          <t>SIMULATED Food Waste Remote Study</t>
        </is>
      </c>
      <c r="B86" t="inlineStr">
        <is>
          <t>RESP0010</t>
        </is>
      </c>
      <c r="C86" t="inlineStr">
        <is>
          <t>Stimulus</t>
        </is>
      </c>
      <c r="D86" t="inlineStr">
        <is>
          <t>foodwaste_narrative</t>
        </is>
      </c>
      <c r="E86" t="n">
        <v>60</v>
      </c>
      <c r="F86" t="inlineStr">
        <is>
          <t>Negative Valence</t>
        </is>
      </c>
      <c r="G86" t="n">
        <v>-50</v>
      </c>
      <c r="H86" t="n">
        <v>0</v>
      </c>
      <c r="I86" t="n">
        <v>0</v>
      </c>
      <c r="J86" t="inlineStr">
        <is>
          <t>NA</t>
        </is>
      </c>
      <c r="K86" t="n">
        <v>98.5</v>
      </c>
    </row>
    <row r="87">
      <c r="A87" t="inlineStr">
        <is>
          <t>SIMULATED Food Waste Remote Study</t>
        </is>
      </c>
      <c r="B87" t="inlineStr">
        <is>
          <t>RESP0010</t>
        </is>
      </c>
      <c r="C87" t="inlineStr">
        <is>
          <t>Stimulus</t>
        </is>
      </c>
      <c r="D87" t="inlineStr">
        <is>
          <t>foodwaste_visual</t>
        </is>
      </c>
      <c r="E87" t="n">
        <v>62</v>
      </c>
      <c r="F87" t="inlineStr">
        <is>
          <t>Engagement</t>
        </is>
      </c>
      <c r="G87" t="n">
        <v>50</v>
      </c>
      <c r="H87" t="n">
        <v>66.56</v>
      </c>
      <c r="I87" t="n">
        <v>19</v>
      </c>
      <c r="J87" t="inlineStr">
        <is>
          <t>NA</t>
        </is>
      </c>
      <c r="K87" t="n">
        <v>99.09999999999999</v>
      </c>
    </row>
    <row r="88">
      <c r="A88" t="inlineStr">
        <is>
          <t>SIMULATED Food Waste Remote Study</t>
        </is>
      </c>
      <c r="B88" t="inlineStr">
        <is>
          <t>RESP0010</t>
        </is>
      </c>
      <c r="C88" t="inlineStr">
        <is>
          <t>Stimulus</t>
        </is>
      </c>
      <c r="D88" t="inlineStr">
        <is>
          <t>foodwaste_visual</t>
        </is>
      </c>
      <c r="E88" t="n">
        <v>62</v>
      </c>
      <c r="F88" t="inlineStr">
        <is>
          <t>Joy</t>
        </is>
      </c>
      <c r="G88" t="n">
        <v>50</v>
      </c>
      <c r="H88" t="n">
        <v>0</v>
      </c>
      <c r="I88" t="n">
        <v>0</v>
      </c>
      <c r="J88" t="inlineStr">
        <is>
          <t>NA</t>
        </is>
      </c>
      <c r="K88" t="n">
        <v>99.09999999999999</v>
      </c>
    </row>
    <row r="89">
      <c r="A89" t="inlineStr">
        <is>
          <t>SIMULATED Food Waste Remote Study</t>
        </is>
      </c>
      <c r="B89" t="inlineStr">
        <is>
          <t>RESP0010</t>
        </is>
      </c>
      <c r="C89" t="inlineStr">
        <is>
          <t>Stimulus</t>
        </is>
      </c>
      <c r="D89" t="inlineStr">
        <is>
          <t>foodwaste_visual</t>
        </is>
      </c>
      <c r="E89" t="n">
        <v>62</v>
      </c>
      <c r="F89" t="inlineStr">
        <is>
          <t>Brow Furrow</t>
        </is>
      </c>
      <c r="G89" t="n">
        <v>50</v>
      </c>
      <c r="H89" t="n">
        <v>0.43</v>
      </c>
      <c r="I89" t="n">
        <v>1</v>
      </c>
      <c r="J89" t="inlineStr">
        <is>
          <t>NA</t>
        </is>
      </c>
      <c r="K89" t="n">
        <v>99.09999999999999</v>
      </c>
    </row>
    <row r="90">
      <c r="A90" t="inlineStr">
        <is>
          <t>SIMULATED Food Waste Remote Study</t>
        </is>
      </c>
      <c r="B90" t="inlineStr">
        <is>
          <t>RESP0010</t>
        </is>
      </c>
      <c r="C90" t="inlineStr">
        <is>
          <t>Stimulus</t>
        </is>
      </c>
      <c r="D90" t="inlineStr">
        <is>
          <t>foodwaste_visual</t>
        </is>
      </c>
      <c r="E90" t="n">
        <v>62</v>
      </c>
      <c r="F90" t="inlineStr">
        <is>
          <t>Positive Valence</t>
        </is>
      </c>
      <c r="G90" t="n">
        <v>50</v>
      </c>
      <c r="H90" t="n">
        <v>0</v>
      </c>
      <c r="I90" t="n">
        <v>0</v>
      </c>
      <c r="J90" t="inlineStr">
        <is>
          <t>NA</t>
        </is>
      </c>
      <c r="K90" t="n">
        <v>99.09999999999999</v>
      </c>
    </row>
    <row r="91">
      <c r="A91" t="inlineStr">
        <is>
          <t>SIMULATED Food Waste Remote Study</t>
        </is>
      </c>
      <c r="B91" t="inlineStr">
        <is>
          <t>RESP0010</t>
        </is>
      </c>
      <c r="C91" t="inlineStr">
        <is>
          <t>Stimulus</t>
        </is>
      </c>
      <c r="D91" t="inlineStr">
        <is>
          <t>foodwaste_visual</t>
        </is>
      </c>
      <c r="E91" t="n">
        <v>62</v>
      </c>
      <c r="F91" t="inlineStr">
        <is>
          <t>Negative Valence</t>
        </is>
      </c>
      <c r="G91" t="n">
        <v>-50</v>
      </c>
      <c r="H91" t="n">
        <v>0</v>
      </c>
      <c r="I91" t="n">
        <v>0</v>
      </c>
      <c r="J91" t="inlineStr">
        <is>
          <t>NA</t>
        </is>
      </c>
      <c r="K91" t="n">
        <v>99.09999999999999</v>
      </c>
    </row>
    <row r="92">
      <c r="A92" t="inlineStr">
        <is>
          <t>SIMULATED Food Waste Remote Study</t>
        </is>
      </c>
      <c r="B92" t="inlineStr">
        <is>
          <t>RESP0012</t>
        </is>
      </c>
      <c r="C92" t="inlineStr">
        <is>
          <t>Stimulus</t>
        </is>
      </c>
      <c r="D92" t="inlineStr">
        <is>
          <t>foodwaste_narrative</t>
        </is>
      </c>
      <c r="E92" t="n">
        <v>60</v>
      </c>
      <c r="F92" t="inlineStr">
        <is>
          <t>Engagement</t>
        </is>
      </c>
      <c r="G92" t="n">
        <v>50</v>
      </c>
      <c r="H92" t="n">
        <v>77.11</v>
      </c>
      <c r="I92" t="n">
        <v>14</v>
      </c>
      <c r="J92" t="inlineStr">
        <is>
          <t>NA</t>
        </is>
      </c>
      <c r="K92" t="n">
        <v>99.5</v>
      </c>
    </row>
    <row r="93">
      <c r="A93" t="inlineStr">
        <is>
          <t>SIMULATED Food Waste Remote Study</t>
        </is>
      </c>
      <c r="B93" t="inlineStr">
        <is>
          <t>RESP0012</t>
        </is>
      </c>
      <c r="C93" t="inlineStr">
        <is>
          <t>Stimulus</t>
        </is>
      </c>
      <c r="D93" t="inlineStr">
        <is>
          <t>foodwaste_narrative</t>
        </is>
      </c>
      <c r="E93" t="n">
        <v>60</v>
      </c>
      <c r="F93" t="inlineStr">
        <is>
          <t>Joy</t>
        </is>
      </c>
      <c r="G93" t="n">
        <v>50</v>
      </c>
      <c r="H93" t="n">
        <v>0</v>
      </c>
      <c r="I93" t="n">
        <v>0</v>
      </c>
      <c r="J93" t="inlineStr">
        <is>
          <t>NA</t>
        </is>
      </c>
      <c r="K93" t="n">
        <v>99.5</v>
      </c>
    </row>
    <row r="94">
      <c r="A94" t="inlineStr">
        <is>
          <t>SIMULATED Food Waste Remote Study</t>
        </is>
      </c>
      <c r="B94" t="inlineStr">
        <is>
          <t>RESP0012</t>
        </is>
      </c>
      <c r="C94" t="inlineStr">
        <is>
          <t>Stimulus</t>
        </is>
      </c>
      <c r="D94" t="inlineStr">
        <is>
          <t>foodwaste_narrative</t>
        </is>
      </c>
      <c r="E94" t="n">
        <v>60</v>
      </c>
      <c r="F94" t="inlineStr">
        <is>
          <t>Brow Furrow</t>
        </is>
      </c>
      <c r="G94" t="n">
        <v>50</v>
      </c>
      <c r="H94" t="n">
        <v>10.39</v>
      </c>
      <c r="I94" t="n">
        <v>3</v>
      </c>
      <c r="J94" t="inlineStr">
        <is>
          <t>NA</t>
        </is>
      </c>
      <c r="K94" t="n">
        <v>99.5</v>
      </c>
    </row>
    <row r="95">
      <c r="A95" t="inlineStr">
        <is>
          <t>SIMULATED Food Waste Remote Study</t>
        </is>
      </c>
      <c r="B95" t="inlineStr">
        <is>
          <t>RESP0012</t>
        </is>
      </c>
      <c r="C95" t="inlineStr">
        <is>
          <t>Stimulus</t>
        </is>
      </c>
      <c r="D95" t="inlineStr">
        <is>
          <t>foodwaste_narrative</t>
        </is>
      </c>
      <c r="E95" t="n">
        <v>60</v>
      </c>
      <c r="F95" t="inlineStr">
        <is>
          <t>Positive Valence</t>
        </is>
      </c>
      <c r="G95" t="n">
        <v>50</v>
      </c>
      <c r="H95" t="n">
        <v>0</v>
      </c>
      <c r="I95" t="n">
        <v>0</v>
      </c>
      <c r="J95" t="inlineStr">
        <is>
          <t>NA</t>
        </is>
      </c>
      <c r="K95" t="n">
        <v>99.5</v>
      </c>
    </row>
    <row r="96">
      <c r="A96" t="inlineStr">
        <is>
          <t>SIMULATED Food Waste Remote Study</t>
        </is>
      </c>
      <c r="B96" t="inlineStr">
        <is>
          <t>RESP0012</t>
        </is>
      </c>
      <c r="C96" t="inlineStr">
        <is>
          <t>Stimulus</t>
        </is>
      </c>
      <c r="D96" t="inlineStr">
        <is>
          <t>foodwaste_narrative</t>
        </is>
      </c>
      <c r="E96" t="n">
        <v>60</v>
      </c>
      <c r="F96" t="inlineStr">
        <is>
          <t>Negative Valence</t>
        </is>
      </c>
      <c r="G96" t="n">
        <v>-50</v>
      </c>
      <c r="H96" t="n">
        <v>0</v>
      </c>
      <c r="I96" t="n">
        <v>0</v>
      </c>
      <c r="J96" t="inlineStr">
        <is>
          <t>NA</t>
        </is>
      </c>
      <c r="K96" t="n">
        <v>99.5</v>
      </c>
    </row>
    <row r="97">
      <c r="A97" t="inlineStr">
        <is>
          <t>SIMULATED Food Waste Remote Study</t>
        </is>
      </c>
      <c r="B97" t="inlineStr">
        <is>
          <t>RESP0012</t>
        </is>
      </c>
      <c r="C97" t="inlineStr">
        <is>
          <t>Stimulus</t>
        </is>
      </c>
      <c r="D97" t="inlineStr">
        <is>
          <t>foodwaste_visual</t>
        </is>
      </c>
      <c r="E97" t="n">
        <v>62</v>
      </c>
      <c r="F97" t="inlineStr">
        <is>
          <t>Engagement</t>
        </is>
      </c>
      <c r="G97" t="n">
        <v>50</v>
      </c>
      <c r="H97" t="n">
        <v>45.7</v>
      </c>
      <c r="I97" t="n">
        <v>11</v>
      </c>
      <c r="J97" t="inlineStr">
        <is>
          <t>NA</t>
        </is>
      </c>
      <c r="K97" t="n">
        <v>99.5</v>
      </c>
    </row>
    <row r="98">
      <c r="A98" t="inlineStr">
        <is>
          <t>SIMULATED Food Waste Remote Study</t>
        </is>
      </c>
      <c r="B98" t="inlineStr">
        <is>
          <t>RESP0012</t>
        </is>
      </c>
      <c r="C98" t="inlineStr">
        <is>
          <t>Stimulus</t>
        </is>
      </c>
      <c r="D98" t="inlineStr">
        <is>
          <t>foodwaste_visual</t>
        </is>
      </c>
      <c r="E98" t="n">
        <v>62</v>
      </c>
      <c r="F98" t="inlineStr">
        <is>
          <t>Joy</t>
        </is>
      </c>
      <c r="G98" t="n">
        <v>50</v>
      </c>
      <c r="H98" t="n">
        <v>16.24</v>
      </c>
      <c r="I98" t="n">
        <v>4</v>
      </c>
      <c r="J98" t="inlineStr">
        <is>
          <t>NA</t>
        </is>
      </c>
      <c r="K98" t="n">
        <v>99.5</v>
      </c>
    </row>
    <row r="99">
      <c r="A99" t="inlineStr">
        <is>
          <t>SIMULATED Food Waste Remote Study</t>
        </is>
      </c>
      <c r="B99" t="inlineStr">
        <is>
          <t>RESP0012</t>
        </is>
      </c>
      <c r="C99" t="inlineStr">
        <is>
          <t>Stimulus</t>
        </is>
      </c>
      <c r="D99" t="inlineStr">
        <is>
          <t>foodwaste_visual</t>
        </is>
      </c>
      <c r="E99" t="n">
        <v>62</v>
      </c>
      <c r="F99" t="inlineStr">
        <is>
          <t>Brow Furrow</t>
        </is>
      </c>
      <c r="G99" t="n">
        <v>50</v>
      </c>
      <c r="H99" t="n">
        <v>2.96</v>
      </c>
      <c r="I99" t="n">
        <v>3</v>
      </c>
      <c r="J99" t="inlineStr">
        <is>
          <t>NA</t>
        </is>
      </c>
      <c r="K99" t="n">
        <v>99.5</v>
      </c>
    </row>
    <row r="100">
      <c r="A100" t="inlineStr">
        <is>
          <t>SIMULATED Food Waste Remote Study</t>
        </is>
      </c>
      <c r="B100" t="inlineStr">
        <is>
          <t>RESP0012</t>
        </is>
      </c>
      <c r="C100" t="inlineStr">
        <is>
          <t>Stimulus</t>
        </is>
      </c>
      <c r="D100" t="inlineStr">
        <is>
          <t>foodwaste_visual</t>
        </is>
      </c>
      <c r="E100" t="n">
        <v>62</v>
      </c>
      <c r="F100" t="inlineStr">
        <is>
          <t>Positive Valence</t>
        </is>
      </c>
      <c r="G100" t="n">
        <v>50</v>
      </c>
      <c r="H100" t="n">
        <v>46.51</v>
      </c>
      <c r="I100" t="n">
        <v>20</v>
      </c>
      <c r="J100" t="inlineStr">
        <is>
          <t>NA</t>
        </is>
      </c>
      <c r="K100" t="n">
        <v>99.5</v>
      </c>
    </row>
    <row r="101">
      <c r="A101" t="inlineStr">
        <is>
          <t>SIMULATED Food Waste Remote Study</t>
        </is>
      </c>
      <c r="B101" t="inlineStr">
        <is>
          <t>RESP0012</t>
        </is>
      </c>
      <c r="C101" t="inlineStr">
        <is>
          <t>Stimulus</t>
        </is>
      </c>
      <c r="D101" t="inlineStr">
        <is>
          <t>foodwaste_visual</t>
        </is>
      </c>
      <c r="E101" t="n">
        <v>62</v>
      </c>
      <c r="F101" t="inlineStr">
        <is>
          <t>Negative Valence</t>
        </is>
      </c>
      <c r="G101" t="n">
        <v>-50</v>
      </c>
      <c r="H101" t="n">
        <v>2.58</v>
      </c>
      <c r="I101" t="n">
        <v>3</v>
      </c>
      <c r="J101" t="inlineStr">
        <is>
          <t>NA</t>
        </is>
      </c>
      <c r="K101" t="n">
        <v>99.5</v>
      </c>
    </row>
    <row r="102">
      <c r="A102" t="inlineStr">
        <is>
          <t>SIMULATED Food Waste Remote Study</t>
        </is>
      </c>
      <c r="B102" t="inlineStr">
        <is>
          <t>RESP0013</t>
        </is>
      </c>
      <c r="C102" t="inlineStr">
        <is>
          <t>Stimulus</t>
        </is>
      </c>
      <c r="D102" t="inlineStr">
        <is>
          <t>foodwaste_narrative</t>
        </is>
      </c>
      <c r="E102" t="n">
        <v>60</v>
      </c>
      <c r="F102" t="inlineStr">
        <is>
          <t>Engagement</t>
        </is>
      </c>
      <c r="G102" t="n">
        <v>50</v>
      </c>
      <c r="H102" t="n">
        <v>5.56</v>
      </c>
      <c r="I102" t="n">
        <v>3</v>
      </c>
      <c r="J102" t="inlineStr">
        <is>
          <t>NA</t>
        </is>
      </c>
      <c r="K102" t="n">
        <v>94.5</v>
      </c>
    </row>
    <row r="103">
      <c r="A103" t="inlineStr">
        <is>
          <t>SIMULATED Food Waste Remote Study</t>
        </is>
      </c>
      <c r="B103" t="inlineStr">
        <is>
          <t>RESP0013</t>
        </is>
      </c>
      <c r="C103" t="inlineStr">
        <is>
          <t>Stimulus</t>
        </is>
      </c>
      <c r="D103" t="inlineStr">
        <is>
          <t>foodwaste_narrative</t>
        </is>
      </c>
      <c r="E103" t="n">
        <v>60</v>
      </c>
      <c r="F103" t="inlineStr">
        <is>
          <t>Joy</t>
        </is>
      </c>
      <c r="G103" t="n">
        <v>50</v>
      </c>
      <c r="H103" t="n">
        <v>2.89</v>
      </c>
      <c r="I103" t="n">
        <v>1</v>
      </c>
      <c r="J103" t="inlineStr">
        <is>
          <t>NA</t>
        </is>
      </c>
      <c r="K103" t="n">
        <v>94.5</v>
      </c>
    </row>
    <row r="104">
      <c r="A104" t="inlineStr">
        <is>
          <t>SIMULATED Food Waste Remote Study</t>
        </is>
      </c>
      <c r="B104" t="inlineStr">
        <is>
          <t>RESP0013</t>
        </is>
      </c>
      <c r="C104" t="inlineStr">
        <is>
          <t>Stimulus</t>
        </is>
      </c>
      <c r="D104" t="inlineStr">
        <is>
          <t>foodwaste_narrative</t>
        </is>
      </c>
      <c r="E104" t="n">
        <v>60</v>
      </c>
      <c r="F104" t="inlineStr">
        <is>
          <t>Brow Furrow</t>
        </is>
      </c>
      <c r="G104" t="n">
        <v>50</v>
      </c>
      <c r="H104" t="n">
        <v>0</v>
      </c>
      <c r="I104" t="n">
        <v>0</v>
      </c>
      <c r="J104" t="inlineStr">
        <is>
          <t>NA</t>
        </is>
      </c>
      <c r="K104" t="n">
        <v>94.5</v>
      </c>
    </row>
    <row r="105">
      <c r="A105" t="inlineStr">
        <is>
          <t>SIMULATED Food Waste Remote Study</t>
        </is>
      </c>
      <c r="B105" t="inlineStr">
        <is>
          <t>RESP0013</t>
        </is>
      </c>
      <c r="C105" t="inlineStr">
        <is>
          <t>Stimulus</t>
        </is>
      </c>
      <c r="D105" t="inlineStr">
        <is>
          <t>foodwaste_narrative</t>
        </is>
      </c>
      <c r="E105" t="n">
        <v>60</v>
      </c>
      <c r="F105" t="inlineStr">
        <is>
          <t>Positive Valence</t>
        </is>
      </c>
      <c r="G105" t="n">
        <v>50</v>
      </c>
      <c r="H105" t="n">
        <v>0</v>
      </c>
      <c r="I105" t="n">
        <v>0</v>
      </c>
      <c r="J105" t="inlineStr">
        <is>
          <t>NA</t>
        </is>
      </c>
      <c r="K105" t="n">
        <v>94.5</v>
      </c>
    </row>
    <row r="106">
      <c r="A106" t="inlineStr">
        <is>
          <t>SIMULATED Food Waste Remote Study</t>
        </is>
      </c>
      <c r="B106" t="inlineStr">
        <is>
          <t>RESP0013</t>
        </is>
      </c>
      <c r="C106" t="inlineStr">
        <is>
          <t>Stimulus</t>
        </is>
      </c>
      <c r="D106" t="inlineStr">
        <is>
          <t>foodwaste_narrative</t>
        </is>
      </c>
      <c r="E106" t="n">
        <v>60</v>
      </c>
      <c r="F106" t="inlineStr">
        <is>
          <t>Negative Valence</t>
        </is>
      </c>
      <c r="G106" t="n">
        <v>-50</v>
      </c>
      <c r="H106" t="n">
        <v>2.11</v>
      </c>
      <c r="I106" t="n">
        <v>2</v>
      </c>
      <c r="J106" t="inlineStr">
        <is>
          <t>NA</t>
        </is>
      </c>
      <c r="K106" t="n">
        <v>94.5</v>
      </c>
    </row>
    <row r="107">
      <c r="A107" t="inlineStr">
        <is>
          <t>SIMULATED Food Waste Remote Study</t>
        </is>
      </c>
      <c r="B107" t="inlineStr">
        <is>
          <t>RESP0013</t>
        </is>
      </c>
      <c r="C107" t="inlineStr">
        <is>
          <t>Stimulus</t>
        </is>
      </c>
      <c r="D107" t="inlineStr">
        <is>
          <t>foodwaste_visual</t>
        </is>
      </c>
      <c r="E107" t="n">
        <v>62</v>
      </c>
      <c r="F107" t="inlineStr">
        <is>
          <t>Engagement</t>
        </is>
      </c>
      <c r="G107" t="n">
        <v>50</v>
      </c>
      <c r="H107" t="n">
        <v>62.15</v>
      </c>
      <c r="I107" t="n">
        <v>16</v>
      </c>
      <c r="J107" t="inlineStr">
        <is>
          <t>NA</t>
        </is>
      </c>
      <c r="K107" t="n">
        <v>96</v>
      </c>
    </row>
    <row r="108">
      <c r="A108" t="inlineStr">
        <is>
          <t>SIMULATED Food Waste Remote Study</t>
        </is>
      </c>
      <c r="B108" t="inlineStr">
        <is>
          <t>RESP0013</t>
        </is>
      </c>
      <c r="C108" t="inlineStr">
        <is>
          <t>Stimulus</t>
        </is>
      </c>
      <c r="D108" t="inlineStr">
        <is>
          <t>foodwaste_visual</t>
        </is>
      </c>
      <c r="E108" t="n">
        <v>62</v>
      </c>
      <c r="F108" t="inlineStr">
        <is>
          <t>Joy</t>
        </is>
      </c>
      <c r="G108" t="n">
        <v>50</v>
      </c>
      <c r="H108" t="n">
        <v>14.35</v>
      </c>
      <c r="I108" t="n">
        <v>7</v>
      </c>
      <c r="J108" t="inlineStr">
        <is>
          <t>NA</t>
        </is>
      </c>
      <c r="K108" t="n">
        <v>96</v>
      </c>
    </row>
    <row r="109">
      <c r="A109" t="inlineStr">
        <is>
          <t>SIMULATED Food Waste Remote Study</t>
        </is>
      </c>
      <c r="B109" t="inlineStr">
        <is>
          <t>RESP0013</t>
        </is>
      </c>
      <c r="C109" t="inlineStr">
        <is>
          <t>Stimulus</t>
        </is>
      </c>
      <c r="D109" t="inlineStr">
        <is>
          <t>foodwaste_visual</t>
        </is>
      </c>
      <c r="E109" t="n">
        <v>62</v>
      </c>
      <c r="F109" t="inlineStr">
        <is>
          <t>Brow Furrow</t>
        </is>
      </c>
      <c r="G109" t="n">
        <v>50</v>
      </c>
      <c r="H109" t="n">
        <v>10.27</v>
      </c>
      <c r="I109" t="n">
        <v>4</v>
      </c>
      <c r="J109" t="inlineStr">
        <is>
          <t>NA</t>
        </is>
      </c>
      <c r="K109" t="n">
        <v>96</v>
      </c>
    </row>
    <row r="110">
      <c r="A110" t="inlineStr">
        <is>
          <t>SIMULATED Food Waste Remote Study</t>
        </is>
      </c>
      <c r="B110" t="inlineStr">
        <is>
          <t>RESP0013</t>
        </is>
      </c>
      <c r="C110" t="inlineStr">
        <is>
          <t>Stimulus</t>
        </is>
      </c>
      <c r="D110" t="inlineStr">
        <is>
          <t>foodwaste_visual</t>
        </is>
      </c>
      <c r="E110" t="n">
        <v>62</v>
      </c>
      <c r="F110" t="inlineStr">
        <is>
          <t>Positive Valence</t>
        </is>
      </c>
      <c r="G110" t="n">
        <v>50</v>
      </c>
      <c r="H110" t="n">
        <v>27.96</v>
      </c>
      <c r="I110" t="n">
        <v>8</v>
      </c>
      <c r="J110" t="inlineStr">
        <is>
          <t>NA</t>
        </is>
      </c>
      <c r="K110" t="n">
        <v>96</v>
      </c>
    </row>
    <row r="111">
      <c r="A111" t="inlineStr">
        <is>
          <t>SIMULATED Food Waste Remote Study</t>
        </is>
      </c>
      <c r="B111" t="inlineStr">
        <is>
          <t>RESP0013</t>
        </is>
      </c>
      <c r="C111" t="inlineStr">
        <is>
          <t>Stimulus</t>
        </is>
      </c>
      <c r="D111" t="inlineStr">
        <is>
          <t>foodwaste_visual</t>
        </is>
      </c>
      <c r="E111" t="n">
        <v>62</v>
      </c>
      <c r="F111" t="inlineStr">
        <is>
          <t>Negative Valence</t>
        </is>
      </c>
      <c r="G111" t="n">
        <v>-50</v>
      </c>
      <c r="H111" t="n">
        <v>10.65</v>
      </c>
      <c r="I111" t="n">
        <v>5</v>
      </c>
      <c r="J111" t="inlineStr">
        <is>
          <t>NA</t>
        </is>
      </c>
      <c r="K111" t="n">
        <v>96</v>
      </c>
    </row>
    <row r="112">
      <c r="A112" t="inlineStr">
        <is>
          <t>SIMULATED Food Waste Remote Study</t>
        </is>
      </c>
      <c r="B112" t="inlineStr">
        <is>
          <t>RESP0014</t>
        </is>
      </c>
      <c r="C112" t="inlineStr">
        <is>
          <t>Stimulus</t>
        </is>
      </c>
      <c r="D112" t="inlineStr">
        <is>
          <t>foodwaste_narrative</t>
        </is>
      </c>
      <c r="E112" t="n">
        <v>60</v>
      </c>
      <c r="F112" t="inlineStr">
        <is>
          <t>Engagement</t>
        </is>
      </c>
      <c r="G112" t="n">
        <v>50</v>
      </c>
      <c r="H112" t="n">
        <v>10.83</v>
      </c>
      <c r="I112" t="n">
        <v>3</v>
      </c>
      <c r="J112" t="inlineStr">
        <is>
          <t>NA</t>
        </is>
      </c>
      <c r="K112" t="n">
        <v>99.2</v>
      </c>
    </row>
    <row r="113">
      <c r="A113" t="inlineStr">
        <is>
          <t>SIMULATED Food Waste Remote Study</t>
        </is>
      </c>
      <c r="B113" t="inlineStr">
        <is>
          <t>RESP0014</t>
        </is>
      </c>
      <c r="C113" t="inlineStr">
        <is>
          <t>Stimulus</t>
        </is>
      </c>
      <c r="D113" t="inlineStr">
        <is>
          <t>foodwaste_narrative</t>
        </is>
      </c>
      <c r="E113" t="n">
        <v>60</v>
      </c>
      <c r="F113" t="inlineStr">
        <is>
          <t>Joy</t>
        </is>
      </c>
      <c r="G113" t="n">
        <v>50</v>
      </c>
      <c r="H113" t="n">
        <v>0</v>
      </c>
      <c r="I113" t="n">
        <v>0</v>
      </c>
      <c r="J113" t="inlineStr">
        <is>
          <t>NA</t>
        </is>
      </c>
      <c r="K113" t="n">
        <v>99.2</v>
      </c>
    </row>
    <row r="114">
      <c r="A114" t="inlineStr">
        <is>
          <t>SIMULATED Food Waste Remote Study</t>
        </is>
      </c>
      <c r="B114" t="inlineStr">
        <is>
          <t>RESP0014</t>
        </is>
      </c>
      <c r="C114" t="inlineStr">
        <is>
          <t>Stimulus</t>
        </is>
      </c>
      <c r="D114" t="inlineStr">
        <is>
          <t>foodwaste_narrative</t>
        </is>
      </c>
      <c r="E114" t="n">
        <v>60</v>
      </c>
      <c r="F114" t="inlineStr">
        <is>
          <t>Brow Furrow</t>
        </is>
      </c>
      <c r="G114" t="n">
        <v>50</v>
      </c>
      <c r="H114" t="n">
        <v>0</v>
      </c>
      <c r="I114" t="n">
        <v>0</v>
      </c>
      <c r="J114" t="inlineStr">
        <is>
          <t>NA</t>
        </is>
      </c>
      <c r="K114" t="n">
        <v>99.2</v>
      </c>
    </row>
    <row r="115">
      <c r="A115" t="inlineStr">
        <is>
          <t>SIMULATED Food Waste Remote Study</t>
        </is>
      </c>
      <c r="B115" t="inlineStr">
        <is>
          <t>RESP0014</t>
        </is>
      </c>
      <c r="C115" t="inlineStr">
        <is>
          <t>Stimulus</t>
        </is>
      </c>
      <c r="D115" t="inlineStr">
        <is>
          <t>foodwaste_narrative</t>
        </is>
      </c>
      <c r="E115" t="n">
        <v>60</v>
      </c>
      <c r="F115" t="inlineStr">
        <is>
          <t>Positive Valence</t>
        </is>
      </c>
      <c r="G115" t="n">
        <v>50</v>
      </c>
      <c r="H115" t="n">
        <v>0</v>
      </c>
      <c r="I115" t="n">
        <v>0</v>
      </c>
      <c r="J115" t="inlineStr">
        <is>
          <t>NA</t>
        </is>
      </c>
      <c r="K115" t="n">
        <v>99.2</v>
      </c>
    </row>
    <row r="116">
      <c r="A116" t="inlineStr">
        <is>
          <t>SIMULATED Food Waste Remote Study</t>
        </is>
      </c>
      <c r="B116" t="inlineStr">
        <is>
          <t>RESP0014</t>
        </is>
      </c>
      <c r="C116" t="inlineStr">
        <is>
          <t>Stimulus</t>
        </is>
      </c>
      <c r="D116" t="inlineStr">
        <is>
          <t>foodwaste_narrative</t>
        </is>
      </c>
      <c r="E116" t="n">
        <v>60</v>
      </c>
      <c r="F116" t="inlineStr">
        <is>
          <t>Negative Valence</t>
        </is>
      </c>
      <c r="G116" t="n">
        <v>-50</v>
      </c>
      <c r="H116" t="n">
        <v>0</v>
      </c>
      <c r="I116" t="n">
        <v>0</v>
      </c>
      <c r="J116" t="inlineStr">
        <is>
          <t>NA</t>
        </is>
      </c>
      <c r="K116" t="n">
        <v>99.2</v>
      </c>
    </row>
    <row r="117">
      <c r="A117" t="inlineStr">
        <is>
          <t>SIMULATED Food Waste Remote Study</t>
        </is>
      </c>
      <c r="B117" t="inlineStr">
        <is>
          <t>RESP0014</t>
        </is>
      </c>
      <c r="C117" t="inlineStr">
        <is>
          <t>Stimulus</t>
        </is>
      </c>
      <c r="D117" t="inlineStr">
        <is>
          <t>foodwaste_visual</t>
        </is>
      </c>
      <c r="E117" t="n">
        <v>62</v>
      </c>
      <c r="F117" t="inlineStr">
        <is>
          <t>Engagement</t>
        </is>
      </c>
      <c r="G117" t="n">
        <v>50</v>
      </c>
      <c r="H117" t="n">
        <v>0</v>
      </c>
      <c r="I117" t="n">
        <v>0</v>
      </c>
      <c r="J117" t="inlineStr">
        <is>
          <t>NA</t>
        </is>
      </c>
      <c r="K117" t="n">
        <v>99.59999999999999</v>
      </c>
    </row>
    <row r="118">
      <c r="A118" t="inlineStr">
        <is>
          <t>SIMULATED Food Waste Remote Study</t>
        </is>
      </c>
      <c r="B118" t="inlineStr">
        <is>
          <t>RESP0014</t>
        </is>
      </c>
      <c r="C118" t="inlineStr">
        <is>
          <t>Stimulus</t>
        </is>
      </c>
      <c r="D118" t="inlineStr">
        <is>
          <t>foodwaste_visual</t>
        </is>
      </c>
      <c r="E118" t="n">
        <v>62</v>
      </c>
      <c r="F118" t="inlineStr">
        <is>
          <t>Joy</t>
        </is>
      </c>
      <c r="G118" t="n">
        <v>50</v>
      </c>
      <c r="H118" t="n">
        <v>0</v>
      </c>
      <c r="I118" t="n">
        <v>0</v>
      </c>
      <c r="J118" t="inlineStr">
        <is>
          <t>NA</t>
        </is>
      </c>
      <c r="K118" t="n">
        <v>99.59999999999999</v>
      </c>
    </row>
    <row r="119">
      <c r="A119" t="inlineStr">
        <is>
          <t>SIMULATED Food Waste Remote Study</t>
        </is>
      </c>
      <c r="B119" t="inlineStr">
        <is>
          <t>RESP0014</t>
        </is>
      </c>
      <c r="C119" t="inlineStr">
        <is>
          <t>Stimulus</t>
        </is>
      </c>
      <c r="D119" t="inlineStr">
        <is>
          <t>foodwaste_visual</t>
        </is>
      </c>
      <c r="E119" t="n">
        <v>62</v>
      </c>
      <c r="F119" t="inlineStr">
        <is>
          <t>Brow Furrow</t>
        </is>
      </c>
      <c r="G119" t="n">
        <v>50</v>
      </c>
      <c r="H119" t="n">
        <v>0</v>
      </c>
      <c r="I119" t="n">
        <v>0</v>
      </c>
      <c r="J119" t="inlineStr">
        <is>
          <t>NA</t>
        </is>
      </c>
      <c r="K119" t="n">
        <v>99.59999999999999</v>
      </c>
    </row>
    <row r="120">
      <c r="A120" t="inlineStr">
        <is>
          <t>SIMULATED Food Waste Remote Study</t>
        </is>
      </c>
      <c r="B120" t="inlineStr">
        <is>
          <t>RESP0014</t>
        </is>
      </c>
      <c r="C120" t="inlineStr">
        <is>
          <t>Stimulus</t>
        </is>
      </c>
      <c r="D120" t="inlineStr">
        <is>
          <t>foodwaste_visual</t>
        </is>
      </c>
      <c r="E120" t="n">
        <v>62</v>
      </c>
      <c r="F120" t="inlineStr">
        <is>
          <t>Positive Valence</t>
        </is>
      </c>
      <c r="G120" t="n">
        <v>50</v>
      </c>
      <c r="H120" t="n">
        <v>0</v>
      </c>
      <c r="I120" t="n">
        <v>0</v>
      </c>
      <c r="J120" t="inlineStr">
        <is>
          <t>NA</t>
        </is>
      </c>
      <c r="K120" t="n">
        <v>99.59999999999999</v>
      </c>
    </row>
    <row r="121">
      <c r="A121" t="inlineStr">
        <is>
          <t>SIMULATED Food Waste Remote Study</t>
        </is>
      </c>
      <c r="B121" t="inlineStr">
        <is>
          <t>RESP0014</t>
        </is>
      </c>
      <c r="C121" t="inlineStr">
        <is>
          <t>Stimulus</t>
        </is>
      </c>
      <c r="D121" t="inlineStr">
        <is>
          <t>foodwaste_visual</t>
        </is>
      </c>
      <c r="E121" t="n">
        <v>62</v>
      </c>
      <c r="F121" t="inlineStr">
        <is>
          <t>Negative Valence</t>
        </is>
      </c>
      <c r="G121" t="n">
        <v>-50</v>
      </c>
      <c r="H121" t="n">
        <v>1.67</v>
      </c>
      <c r="I121" t="n">
        <v>1</v>
      </c>
      <c r="J121" t="inlineStr">
        <is>
          <t>NA</t>
        </is>
      </c>
      <c r="K121" t="n">
        <v>99.59999999999999</v>
      </c>
    </row>
    <row r="122">
      <c r="A122" t="inlineStr">
        <is>
          <t>SIMULATED Food Waste Remote Study</t>
        </is>
      </c>
      <c r="B122" t="inlineStr">
        <is>
          <t>RESP0015</t>
        </is>
      </c>
      <c r="C122" t="inlineStr">
        <is>
          <t>Stimulus</t>
        </is>
      </c>
      <c r="D122" t="inlineStr">
        <is>
          <t>foodwaste_narrative</t>
        </is>
      </c>
      <c r="E122" t="n">
        <v>60</v>
      </c>
      <c r="F122" t="inlineStr">
        <is>
          <t>Engagement</t>
        </is>
      </c>
      <c r="G122" t="n">
        <v>50</v>
      </c>
      <c r="H122" t="n">
        <v>7</v>
      </c>
      <c r="I122" t="n">
        <v>1</v>
      </c>
      <c r="J122" t="inlineStr">
        <is>
          <t>NA</t>
        </is>
      </c>
      <c r="K122" t="n">
        <v>90.8</v>
      </c>
    </row>
    <row r="123">
      <c r="A123" t="inlineStr">
        <is>
          <t>SIMULATED Food Waste Remote Study</t>
        </is>
      </c>
      <c r="B123" t="inlineStr">
        <is>
          <t>RESP0015</t>
        </is>
      </c>
      <c r="C123" t="inlineStr">
        <is>
          <t>Stimulus</t>
        </is>
      </c>
      <c r="D123" t="inlineStr">
        <is>
          <t>foodwaste_narrative</t>
        </is>
      </c>
      <c r="E123" t="n">
        <v>60</v>
      </c>
      <c r="F123" t="inlineStr">
        <is>
          <t>Joy</t>
        </is>
      </c>
      <c r="G123" t="n">
        <v>50</v>
      </c>
      <c r="H123" t="n">
        <v>0</v>
      </c>
      <c r="I123" t="n">
        <v>0</v>
      </c>
      <c r="J123" t="inlineStr">
        <is>
          <t>NA</t>
        </is>
      </c>
      <c r="K123" t="n">
        <v>90.8</v>
      </c>
    </row>
    <row r="124">
      <c r="A124" t="inlineStr">
        <is>
          <t>SIMULATED Food Waste Remote Study</t>
        </is>
      </c>
      <c r="B124" t="inlineStr">
        <is>
          <t>RESP0015</t>
        </is>
      </c>
      <c r="C124" t="inlineStr">
        <is>
          <t>Stimulus</t>
        </is>
      </c>
      <c r="D124" t="inlineStr">
        <is>
          <t>foodwaste_narrative</t>
        </is>
      </c>
      <c r="E124" t="n">
        <v>60</v>
      </c>
      <c r="F124" t="inlineStr">
        <is>
          <t>Brow Furrow</t>
        </is>
      </c>
      <c r="G124" t="n">
        <v>50</v>
      </c>
      <c r="H124" t="n">
        <v>7.94</v>
      </c>
      <c r="I124" t="n">
        <v>2</v>
      </c>
      <c r="J124" t="inlineStr">
        <is>
          <t>NA</t>
        </is>
      </c>
      <c r="K124" t="n">
        <v>90.8</v>
      </c>
    </row>
    <row r="125">
      <c r="A125" t="inlineStr">
        <is>
          <t>SIMULATED Food Waste Remote Study</t>
        </is>
      </c>
      <c r="B125" t="inlineStr">
        <is>
          <t>RESP0015</t>
        </is>
      </c>
      <c r="C125" t="inlineStr">
        <is>
          <t>Stimulus</t>
        </is>
      </c>
      <c r="D125" t="inlineStr">
        <is>
          <t>foodwaste_narrative</t>
        </is>
      </c>
      <c r="E125" t="n">
        <v>60</v>
      </c>
      <c r="F125" t="inlineStr">
        <is>
          <t>Positive Valence</t>
        </is>
      </c>
      <c r="G125" t="n">
        <v>50</v>
      </c>
      <c r="H125" t="n">
        <v>0</v>
      </c>
      <c r="I125" t="n">
        <v>0</v>
      </c>
      <c r="J125" t="inlineStr">
        <is>
          <t>NA</t>
        </is>
      </c>
      <c r="K125" t="n">
        <v>90.8</v>
      </c>
    </row>
    <row r="126">
      <c r="A126" t="inlineStr">
        <is>
          <t>SIMULATED Food Waste Remote Study</t>
        </is>
      </c>
      <c r="B126" t="inlineStr">
        <is>
          <t>RESP0015</t>
        </is>
      </c>
      <c r="C126" t="inlineStr">
        <is>
          <t>Stimulus</t>
        </is>
      </c>
      <c r="D126" t="inlineStr">
        <is>
          <t>foodwaste_narrative</t>
        </is>
      </c>
      <c r="E126" t="n">
        <v>60</v>
      </c>
      <c r="F126" t="inlineStr">
        <is>
          <t>Negative Valence</t>
        </is>
      </c>
      <c r="G126" t="n">
        <v>-50</v>
      </c>
      <c r="H126" t="n">
        <v>6.67</v>
      </c>
      <c r="I126" t="n">
        <v>1</v>
      </c>
      <c r="J126" t="inlineStr">
        <is>
          <t>NA</t>
        </is>
      </c>
      <c r="K126" t="n">
        <v>90.8</v>
      </c>
    </row>
    <row r="127">
      <c r="A127" t="inlineStr">
        <is>
          <t>SIMULATED Food Waste Remote Study</t>
        </is>
      </c>
      <c r="B127" t="inlineStr">
        <is>
          <t>RESP0015</t>
        </is>
      </c>
      <c r="C127" t="inlineStr">
        <is>
          <t>Stimulus</t>
        </is>
      </c>
      <c r="D127" t="inlineStr">
        <is>
          <t>foodwaste_visual</t>
        </is>
      </c>
      <c r="E127" t="n">
        <v>62</v>
      </c>
      <c r="F127" t="inlineStr">
        <is>
          <t>Engagement</t>
        </is>
      </c>
      <c r="G127" t="n">
        <v>50</v>
      </c>
      <c r="H127" t="n">
        <v>0</v>
      </c>
      <c r="I127" t="n">
        <v>0</v>
      </c>
      <c r="J127" t="inlineStr">
        <is>
          <t>NA</t>
        </is>
      </c>
      <c r="K127" t="n">
        <v>93.5</v>
      </c>
    </row>
    <row r="128">
      <c r="A128" t="inlineStr">
        <is>
          <t>SIMULATED Food Waste Remote Study</t>
        </is>
      </c>
      <c r="B128" t="inlineStr">
        <is>
          <t>RESP0015</t>
        </is>
      </c>
      <c r="C128" t="inlineStr">
        <is>
          <t>Stimulus</t>
        </is>
      </c>
      <c r="D128" t="inlineStr">
        <is>
          <t>foodwaste_visual</t>
        </is>
      </c>
      <c r="E128" t="n">
        <v>62</v>
      </c>
      <c r="F128" t="inlineStr">
        <is>
          <t>Joy</t>
        </is>
      </c>
      <c r="G128" t="n">
        <v>50</v>
      </c>
      <c r="H128" t="n">
        <v>2.53</v>
      </c>
      <c r="I128" t="n">
        <v>2</v>
      </c>
      <c r="J128" t="inlineStr">
        <is>
          <t>NA</t>
        </is>
      </c>
      <c r="K128" t="n">
        <v>93.5</v>
      </c>
    </row>
    <row r="129">
      <c r="A129" t="inlineStr">
        <is>
          <t>SIMULATED Food Waste Remote Study</t>
        </is>
      </c>
      <c r="B129" t="inlineStr">
        <is>
          <t>RESP0015</t>
        </is>
      </c>
      <c r="C129" t="inlineStr">
        <is>
          <t>Stimulus</t>
        </is>
      </c>
      <c r="D129" t="inlineStr">
        <is>
          <t>foodwaste_visual</t>
        </is>
      </c>
      <c r="E129" t="n">
        <v>62</v>
      </c>
      <c r="F129" t="inlineStr">
        <is>
          <t>Brow Furrow</t>
        </is>
      </c>
      <c r="G129" t="n">
        <v>50</v>
      </c>
      <c r="H129" t="n">
        <v>0</v>
      </c>
      <c r="I129" t="n">
        <v>0</v>
      </c>
      <c r="J129" t="inlineStr">
        <is>
          <t>NA</t>
        </is>
      </c>
      <c r="K129" t="n">
        <v>93.5</v>
      </c>
    </row>
    <row r="130">
      <c r="A130" t="inlineStr">
        <is>
          <t>SIMULATED Food Waste Remote Study</t>
        </is>
      </c>
      <c r="B130" t="inlineStr">
        <is>
          <t>RESP0015</t>
        </is>
      </c>
      <c r="C130" t="inlineStr">
        <is>
          <t>Stimulus</t>
        </is>
      </c>
      <c r="D130" t="inlineStr">
        <is>
          <t>foodwaste_visual</t>
        </is>
      </c>
      <c r="E130" t="n">
        <v>62</v>
      </c>
      <c r="F130" t="inlineStr">
        <is>
          <t>Positive Valence</t>
        </is>
      </c>
      <c r="G130" t="n">
        <v>50</v>
      </c>
      <c r="H130" t="n">
        <v>8.119999999999999</v>
      </c>
      <c r="I130" t="n">
        <v>2</v>
      </c>
      <c r="J130" t="inlineStr">
        <is>
          <t>NA</t>
        </is>
      </c>
      <c r="K130" t="n">
        <v>93.5</v>
      </c>
    </row>
    <row r="131">
      <c r="A131" t="inlineStr">
        <is>
          <t>SIMULATED Food Waste Remote Study</t>
        </is>
      </c>
      <c r="B131" t="inlineStr">
        <is>
          <t>RESP0015</t>
        </is>
      </c>
      <c r="C131" t="inlineStr">
        <is>
          <t>Stimulus</t>
        </is>
      </c>
      <c r="D131" t="inlineStr">
        <is>
          <t>foodwaste_visual</t>
        </is>
      </c>
      <c r="E131" t="n">
        <v>62</v>
      </c>
      <c r="F131" t="inlineStr">
        <is>
          <t>Negative Valence</t>
        </is>
      </c>
      <c r="G131" t="n">
        <v>-50</v>
      </c>
      <c r="H131" t="n">
        <v>7.8</v>
      </c>
      <c r="I131" t="n">
        <v>5</v>
      </c>
      <c r="J131" t="inlineStr">
        <is>
          <t>NA</t>
        </is>
      </c>
      <c r="K131" t="n">
        <v>93.5</v>
      </c>
    </row>
    <row r="132">
      <c r="A132" t="inlineStr">
        <is>
          <t>SIMULATED Food Waste Remote Study</t>
        </is>
      </c>
      <c r="B132" t="inlineStr">
        <is>
          <t>RESP0016</t>
        </is>
      </c>
      <c r="C132" t="inlineStr">
        <is>
          <t>Stimulus</t>
        </is>
      </c>
      <c r="D132" t="inlineStr">
        <is>
          <t>foodwaste_narrative</t>
        </is>
      </c>
      <c r="E132" t="n">
        <v>60</v>
      </c>
      <c r="F132" t="inlineStr">
        <is>
          <t>Engagement</t>
        </is>
      </c>
      <c r="G132" t="n">
        <v>50</v>
      </c>
      <c r="H132" t="n">
        <v>15.28</v>
      </c>
      <c r="I132" t="n">
        <v>3</v>
      </c>
      <c r="J132" t="inlineStr">
        <is>
          <t>NA</t>
        </is>
      </c>
      <c r="K132" t="n">
        <v>99</v>
      </c>
    </row>
    <row r="133">
      <c r="A133" t="inlineStr">
        <is>
          <t>SIMULATED Food Waste Remote Study</t>
        </is>
      </c>
      <c r="B133" t="inlineStr">
        <is>
          <t>RESP0016</t>
        </is>
      </c>
      <c r="C133" t="inlineStr">
        <is>
          <t>Stimulus</t>
        </is>
      </c>
      <c r="D133" t="inlineStr">
        <is>
          <t>foodwaste_narrative</t>
        </is>
      </c>
      <c r="E133" t="n">
        <v>60</v>
      </c>
      <c r="F133" t="inlineStr">
        <is>
          <t>Joy</t>
        </is>
      </c>
      <c r="G133" t="n">
        <v>50</v>
      </c>
      <c r="H133" t="n">
        <v>0</v>
      </c>
      <c r="I133" t="n">
        <v>0</v>
      </c>
      <c r="J133" t="inlineStr">
        <is>
          <t>NA</t>
        </is>
      </c>
      <c r="K133" t="n">
        <v>99</v>
      </c>
    </row>
    <row r="134">
      <c r="A134" t="inlineStr">
        <is>
          <t>SIMULATED Food Waste Remote Study</t>
        </is>
      </c>
      <c r="B134" t="inlineStr">
        <is>
          <t>RESP0016</t>
        </is>
      </c>
      <c r="C134" t="inlineStr">
        <is>
          <t>Stimulus</t>
        </is>
      </c>
      <c r="D134" t="inlineStr">
        <is>
          <t>foodwaste_narrative</t>
        </is>
      </c>
      <c r="E134" t="n">
        <v>60</v>
      </c>
      <c r="F134" t="inlineStr">
        <is>
          <t>Brow Furrow</t>
        </is>
      </c>
      <c r="G134" t="n">
        <v>50</v>
      </c>
      <c r="H134" t="n">
        <v>2.44</v>
      </c>
      <c r="I134" t="n">
        <v>3</v>
      </c>
      <c r="J134" t="inlineStr">
        <is>
          <t>NA</t>
        </is>
      </c>
      <c r="K134" t="n">
        <v>99</v>
      </c>
    </row>
    <row r="135">
      <c r="A135" t="inlineStr">
        <is>
          <t>SIMULATED Food Waste Remote Study</t>
        </is>
      </c>
      <c r="B135" t="inlineStr">
        <is>
          <t>RESP0016</t>
        </is>
      </c>
      <c r="C135" t="inlineStr">
        <is>
          <t>Stimulus</t>
        </is>
      </c>
      <c r="D135" t="inlineStr">
        <is>
          <t>foodwaste_narrative</t>
        </is>
      </c>
      <c r="E135" t="n">
        <v>60</v>
      </c>
      <c r="F135" t="inlineStr">
        <is>
          <t>Positive Valence</t>
        </is>
      </c>
      <c r="G135" t="n">
        <v>50</v>
      </c>
      <c r="H135" t="n">
        <v>0</v>
      </c>
      <c r="I135" t="n">
        <v>0</v>
      </c>
      <c r="J135" t="inlineStr">
        <is>
          <t>NA</t>
        </is>
      </c>
      <c r="K135" t="n">
        <v>99</v>
      </c>
    </row>
    <row r="136">
      <c r="A136" t="inlineStr">
        <is>
          <t>SIMULATED Food Waste Remote Study</t>
        </is>
      </c>
      <c r="B136" t="inlineStr">
        <is>
          <t>RESP0016</t>
        </is>
      </c>
      <c r="C136" t="inlineStr">
        <is>
          <t>Stimulus</t>
        </is>
      </c>
      <c r="D136" t="inlineStr">
        <is>
          <t>foodwaste_narrative</t>
        </is>
      </c>
      <c r="E136" t="n">
        <v>60</v>
      </c>
      <c r="F136" t="inlineStr">
        <is>
          <t>Negative Valence</t>
        </is>
      </c>
      <c r="G136" t="n">
        <v>-50</v>
      </c>
      <c r="H136" t="n">
        <v>0</v>
      </c>
      <c r="I136" t="n">
        <v>0</v>
      </c>
      <c r="J136" t="inlineStr">
        <is>
          <t>NA</t>
        </is>
      </c>
      <c r="K136" t="n">
        <v>99</v>
      </c>
    </row>
    <row r="137">
      <c r="A137" t="inlineStr">
        <is>
          <t>SIMULATED Food Waste Remote Study</t>
        </is>
      </c>
      <c r="B137" t="inlineStr">
        <is>
          <t>RESP0016</t>
        </is>
      </c>
      <c r="C137" t="inlineStr">
        <is>
          <t>Stimulus</t>
        </is>
      </c>
      <c r="D137" t="inlineStr">
        <is>
          <t>foodwaste_visual</t>
        </is>
      </c>
      <c r="E137" t="n">
        <v>62</v>
      </c>
      <c r="F137" t="inlineStr">
        <is>
          <t>Engagement</t>
        </is>
      </c>
      <c r="G137" t="n">
        <v>50</v>
      </c>
      <c r="H137" t="n">
        <v>57.04</v>
      </c>
      <c r="I137" t="n">
        <v>12</v>
      </c>
      <c r="J137" t="inlineStr">
        <is>
          <t>NA</t>
        </is>
      </c>
      <c r="K137" t="n">
        <v>99.09999999999999</v>
      </c>
    </row>
    <row r="138">
      <c r="A138" t="inlineStr">
        <is>
          <t>SIMULATED Food Waste Remote Study</t>
        </is>
      </c>
      <c r="B138" t="inlineStr">
        <is>
          <t>RESP0016</t>
        </is>
      </c>
      <c r="C138" t="inlineStr">
        <is>
          <t>Stimulus</t>
        </is>
      </c>
      <c r="D138" t="inlineStr">
        <is>
          <t>foodwaste_visual</t>
        </is>
      </c>
      <c r="E138" t="n">
        <v>62</v>
      </c>
      <c r="F138" t="inlineStr">
        <is>
          <t>Joy</t>
        </is>
      </c>
      <c r="G138" t="n">
        <v>50</v>
      </c>
      <c r="H138" t="n">
        <v>2.37</v>
      </c>
      <c r="I138" t="n">
        <v>1</v>
      </c>
      <c r="J138" t="inlineStr">
        <is>
          <t>NA</t>
        </is>
      </c>
      <c r="K138" t="n">
        <v>99.09999999999999</v>
      </c>
    </row>
    <row r="139">
      <c r="A139" t="inlineStr">
        <is>
          <t>SIMULATED Food Waste Remote Study</t>
        </is>
      </c>
      <c r="B139" t="inlineStr">
        <is>
          <t>RESP0016</t>
        </is>
      </c>
      <c r="C139" t="inlineStr">
        <is>
          <t>Stimulus</t>
        </is>
      </c>
      <c r="D139" t="inlineStr">
        <is>
          <t>foodwaste_visual</t>
        </is>
      </c>
      <c r="E139" t="n">
        <v>62</v>
      </c>
      <c r="F139" t="inlineStr">
        <is>
          <t>Brow Furrow</t>
        </is>
      </c>
      <c r="G139" t="n">
        <v>50</v>
      </c>
      <c r="H139" t="n">
        <v>10.43</v>
      </c>
      <c r="I139" t="n">
        <v>2</v>
      </c>
      <c r="J139" t="inlineStr">
        <is>
          <t>NA</t>
        </is>
      </c>
      <c r="K139" t="n">
        <v>99.09999999999999</v>
      </c>
    </row>
    <row r="140">
      <c r="A140" t="inlineStr">
        <is>
          <t>SIMULATED Food Waste Remote Study</t>
        </is>
      </c>
      <c r="B140" t="inlineStr">
        <is>
          <t>RESP0016</t>
        </is>
      </c>
      <c r="C140" t="inlineStr">
        <is>
          <t>Stimulus</t>
        </is>
      </c>
      <c r="D140" t="inlineStr">
        <is>
          <t>foodwaste_visual</t>
        </is>
      </c>
      <c r="E140" t="n">
        <v>62</v>
      </c>
      <c r="F140" t="inlineStr">
        <is>
          <t>Positive Valence</t>
        </is>
      </c>
      <c r="G140" t="n">
        <v>50</v>
      </c>
      <c r="H140" t="n">
        <v>8.33</v>
      </c>
      <c r="I140" t="n">
        <v>3</v>
      </c>
      <c r="J140" t="inlineStr">
        <is>
          <t>NA</t>
        </is>
      </c>
      <c r="K140" t="n">
        <v>99.09999999999999</v>
      </c>
    </row>
    <row r="141">
      <c r="A141" t="inlineStr">
        <is>
          <t>SIMULATED Food Waste Remote Study</t>
        </is>
      </c>
      <c r="B141" t="inlineStr">
        <is>
          <t>RESP0016</t>
        </is>
      </c>
      <c r="C141" t="inlineStr">
        <is>
          <t>Stimulus</t>
        </is>
      </c>
      <c r="D141" t="inlineStr">
        <is>
          <t>foodwaste_visual</t>
        </is>
      </c>
      <c r="E141" t="n">
        <v>62</v>
      </c>
      <c r="F141" t="inlineStr">
        <is>
          <t>Negative Valence</t>
        </is>
      </c>
      <c r="G141" t="n">
        <v>-50</v>
      </c>
      <c r="H141" t="n">
        <v>0</v>
      </c>
      <c r="I141" t="n">
        <v>0</v>
      </c>
      <c r="J141" t="inlineStr">
        <is>
          <t>NA</t>
        </is>
      </c>
      <c r="K141" t="n">
        <v>99.09999999999999</v>
      </c>
    </row>
    <row r="142">
      <c r="A142" t="inlineStr">
        <is>
          <t>SIMULATED Food Waste Remote Study</t>
        </is>
      </c>
      <c r="B142" t="inlineStr">
        <is>
          <t>RESP0019</t>
        </is>
      </c>
      <c r="C142" t="inlineStr">
        <is>
          <t>Stimulus</t>
        </is>
      </c>
      <c r="D142" t="inlineStr">
        <is>
          <t>foodwaste_narrative</t>
        </is>
      </c>
      <c r="E142" t="n">
        <v>60</v>
      </c>
      <c r="F142" t="inlineStr">
        <is>
          <t>Engagement</t>
        </is>
      </c>
      <c r="G142" t="n">
        <v>50</v>
      </c>
      <c r="H142" t="n">
        <v>77.94</v>
      </c>
      <c r="I142" t="n">
        <v>16</v>
      </c>
      <c r="J142" t="inlineStr">
        <is>
          <t>NA</t>
        </is>
      </c>
      <c r="K142" t="n">
        <v>99.59999999999999</v>
      </c>
    </row>
    <row r="143">
      <c r="A143" t="inlineStr">
        <is>
          <t>SIMULATED Food Waste Remote Study</t>
        </is>
      </c>
      <c r="B143" t="inlineStr">
        <is>
          <t>RESP0019</t>
        </is>
      </c>
      <c r="C143" t="inlineStr">
        <is>
          <t>Stimulus</t>
        </is>
      </c>
      <c r="D143" t="inlineStr">
        <is>
          <t>foodwaste_narrative</t>
        </is>
      </c>
      <c r="E143" t="n">
        <v>60</v>
      </c>
      <c r="F143" t="inlineStr">
        <is>
          <t>Joy</t>
        </is>
      </c>
      <c r="G143" t="n">
        <v>50</v>
      </c>
      <c r="H143" t="n">
        <v>0</v>
      </c>
      <c r="I143" t="n">
        <v>0</v>
      </c>
      <c r="J143" t="inlineStr">
        <is>
          <t>NA</t>
        </is>
      </c>
      <c r="K143" t="n">
        <v>99.59999999999999</v>
      </c>
    </row>
    <row r="144">
      <c r="A144" t="inlineStr">
        <is>
          <t>SIMULATED Food Waste Remote Study</t>
        </is>
      </c>
      <c r="B144" t="inlineStr">
        <is>
          <t>RESP0019</t>
        </is>
      </c>
      <c r="C144" t="inlineStr">
        <is>
          <t>Stimulus</t>
        </is>
      </c>
      <c r="D144" t="inlineStr">
        <is>
          <t>foodwaste_narrative</t>
        </is>
      </c>
      <c r="E144" t="n">
        <v>60</v>
      </c>
      <c r="F144" t="inlineStr">
        <is>
          <t>Brow Furrow</t>
        </is>
      </c>
      <c r="G144" t="n">
        <v>50</v>
      </c>
      <c r="H144" t="n">
        <v>0</v>
      </c>
      <c r="I144" t="n">
        <v>0</v>
      </c>
      <c r="J144" t="inlineStr">
        <is>
          <t>NA</t>
        </is>
      </c>
      <c r="K144" t="n">
        <v>99.59999999999999</v>
      </c>
    </row>
    <row r="145">
      <c r="A145" t="inlineStr">
        <is>
          <t>SIMULATED Food Waste Remote Study</t>
        </is>
      </c>
      <c r="B145" t="inlineStr">
        <is>
          <t>RESP0019</t>
        </is>
      </c>
      <c r="C145" t="inlineStr">
        <is>
          <t>Stimulus</t>
        </is>
      </c>
      <c r="D145" t="inlineStr">
        <is>
          <t>foodwaste_narrative</t>
        </is>
      </c>
      <c r="E145" t="n">
        <v>60</v>
      </c>
      <c r="F145" t="inlineStr">
        <is>
          <t>Positive Valence</t>
        </is>
      </c>
      <c r="G145" t="n">
        <v>50</v>
      </c>
      <c r="H145" t="n">
        <v>18.5</v>
      </c>
      <c r="I145" t="n">
        <v>5</v>
      </c>
      <c r="J145" t="inlineStr">
        <is>
          <t>NA</t>
        </is>
      </c>
      <c r="K145" t="n">
        <v>99.59999999999999</v>
      </c>
    </row>
    <row r="146">
      <c r="A146" t="inlineStr">
        <is>
          <t>SIMULATED Food Waste Remote Study</t>
        </is>
      </c>
      <c r="B146" t="inlineStr">
        <is>
          <t>RESP0019</t>
        </is>
      </c>
      <c r="C146" t="inlineStr">
        <is>
          <t>Stimulus</t>
        </is>
      </c>
      <c r="D146" t="inlineStr">
        <is>
          <t>foodwaste_narrative</t>
        </is>
      </c>
      <c r="E146" t="n">
        <v>60</v>
      </c>
      <c r="F146" t="inlineStr">
        <is>
          <t>Negative Valence</t>
        </is>
      </c>
      <c r="G146" t="n">
        <v>-50</v>
      </c>
      <c r="H146" t="n">
        <v>0</v>
      </c>
      <c r="I146" t="n">
        <v>0</v>
      </c>
      <c r="J146" t="inlineStr">
        <is>
          <t>NA</t>
        </is>
      </c>
      <c r="K146" t="n">
        <v>99.59999999999999</v>
      </c>
    </row>
    <row r="147">
      <c r="A147" t="inlineStr">
        <is>
          <t>SIMULATED Food Waste Remote Study</t>
        </is>
      </c>
      <c r="B147" t="inlineStr">
        <is>
          <t>RESP0019</t>
        </is>
      </c>
      <c r="C147" t="inlineStr">
        <is>
          <t>Stimulus</t>
        </is>
      </c>
      <c r="D147" t="inlineStr">
        <is>
          <t>foodwaste_visual</t>
        </is>
      </c>
      <c r="E147" t="n">
        <v>62</v>
      </c>
      <c r="F147" t="inlineStr">
        <is>
          <t>Engagement</t>
        </is>
      </c>
      <c r="G147" t="n">
        <v>50</v>
      </c>
      <c r="H147" t="n">
        <v>7.8</v>
      </c>
      <c r="I147" t="n">
        <v>3</v>
      </c>
      <c r="J147" t="inlineStr">
        <is>
          <t>NA</t>
        </is>
      </c>
      <c r="K147" t="n">
        <v>99.3</v>
      </c>
    </row>
    <row r="148">
      <c r="A148" t="inlineStr">
        <is>
          <t>SIMULATED Food Waste Remote Study</t>
        </is>
      </c>
      <c r="B148" t="inlineStr">
        <is>
          <t>RESP0019</t>
        </is>
      </c>
      <c r="C148" t="inlineStr">
        <is>
          <t>Stimulus</t>
        </is>
      </c>
      <c r="D148" t="inlineStr">
        <is>
          <t>foodwaste_visual</t>
        </is>
      </c>
      <c r="E148" t="n">
        <v>62</v>
      </c>
      <c r="F148" t="inlineStr">
        <is>
          <t>Joy</t>
        </is>
      </c>
      <c r="G148" t="n">
        <v>50</v>
      </c>
      <c r="H148" t="n">
        <v>12.2</v>
      </c>
      <c r="I148" t="n">
        <v>7</v>
      </c>
      <c r="J148" t="inlineStr">
        <is>
          <t>NA</t>
        </is>
      </c>
      <c r="K148" t="n">
        <v>99.3</v>
      </c>
    </row>
    <row r="149">
      <c r="A149" t="inlineStr">
        <is>
          <t>SIMULATED Food Waste Remote Study</t>
        </is>
      </c>
      <c r="B149" t="inlineStr">
        <is>
          <t>RESP0019</t>
        </is>
      </c>
      <c r="C149" t="inlineStr">
        <is>
          <t>Stimulus</t>
        </is>
      </c>
      <c r="D149" t="inlineStr">
        <is>
          <t>foodwaste_visual</t>
        </is>
      </c>
      <c r="E149" t="n">
        <v>62</v>
      </c>
      <c r="F149" t="inlineStr">
        <is>
          <t>Brow Furrow</t>
        </is>
      </c>
      <c r="G149" t="n">
        <v>50</v>
      </c>
      <c r="H149" t="n">
        <v>8.17</v>
      </c>
      <c r="I149" t="n">
        <v>1</v>
      </c>
      <c r="J149" t="inlineStr">
        <is>
          <t>NA</t>
        </is>
      </c>
      <c r="K149" t="n">
        <v>99.3</v>
      </c>
    </row>
    <row r="150">
      <c r="A150" t="inlineStr">
        <is>
          <t>SIMULATED Food Waste Remote Study</t>
        </is>
      </c>
      <c r="B150" t="inlineStr">
        <is>
          <t>RESP0019</t>
        </is>
      </c>
      <c r="C150" t="inlineStr">
        <is>
          <t>Stimulus</t>
        </is>
      </c>
      <c r="D150" t="inlineStr">
        <is>
          <t>foodwaste_visual</t>
        </is>
      </c>
      <c r="E150" t="n">
        <v>62</v>
      </c>
      <c r="F150" t="inlineStr">
        <is>
          <t>Positive Valence</t>
        </is>
      </c>
      <c r="G150" t="n">
        <v>50</v>
      </c>
      <c r="H150" t="n">
        <v>0.65</v>
      </c>
      <c r="I150" t="n">
        <v>1</v>
      </c>
      <c r="J150" t="inlineStr">
        <is>
          <t>NA</t>
        </is>
      </c>
      <c r="K150" t="n">
        <v>99.3</v>
      </c>
    </row>
    <row r="151">
      <c r="A151" t="inlineStr">
        <is>
          <t>SIMULATED Food Waste Remote Study</t>
        </is>
      </c>
      <c r="B151" t="inlineStr">
        <is>
          <t>RESP0019</t>
        </is>
      </c>
      <c r="C151" t="inlineStr">
        <is>
          <t>Stimulus</t>
        </is>
      </c>
      <c r="D151" t="inlineStr">
        <is>
          <t>foodwaste_visual</t>
        </is>
      </c>
      <c r="E151" t="n">
        <v>62</v>
      </c>
      <c r="F151" t="inlineStr">
        <is>
          <t>Negative Valence</t>
        </is>
      </c>
      <c r="G151" t="n">
        <v>-50</v>
      </c>
      <c r="H151" t="n">
        <v>10.86</v>
      </c>
      <c r="I151" t="n">
        <v>6</v>
      </c>
      <c r="J151" t="inlineStr">
        <is>
          <t>NA</t>
        </is>
      </c>
      <c r="K151" t="n">
        <v>99.3</v>
      </c>
    </row>
    <row r="152">
      <c r="A152" t="inlineStr">
        <is>
          <t>SIMULATED Food Waste Remote Study</t>
        </is>
      </c>
      <c r="B152" t="inlineStr">
        <is>
          <t>RESP0020</t>
        </is>
      </c>
      <c r="C152" t="inlineStr">
        <is>
          <t>Stimulus</t>
        </is>
      </c>
      <c r="D152" t="inlineStr">
        <is>
          <t>foodwaste_narrative</t>
        </is>
      </c>
      <c r="E152" t="n">
        <v>60</v>
      </c>
      <c r="F152" t="inlineStr">
        <is>
          <t>Engagement</t>
        </is>
      </c>
      <c r="G152" t="n">
        <v>50</v>
      </c>
      <c r="H152" t="n">
        <v>60.89</v>
      </c>
      <c r="I152" t="n">
        <v>17</v>
      </c>
      <c r="J152" t="inlineStr">
        <is>
          <t>NA</t>
        </is>
      </c>
      <c r="K152" t="n">
        <v>98.5</v>
      </c>
    </row>
    <row r="153">
      <c r="A153" t="inlineStr">
        <is>
          <t>SIMULATED Food Waste Remote Study</t>
        </is>
      </c>
      <c r="B153" t="inlineStr">
        <is>
          <t>RESP0020</t>
        </is>
      </c>
      <c r="C153" t="inlineStr">
        <is>
          <t>Stimulus</t>
        </is>
      </c>
      <c r="D153" t="inlineStr">
        <is>
          <t>foodwaste_narrative</t>
        </is>
      </c>
      <c r="E153" t="n">
        <v>60</v>
      </c>
      <c r="F153" t="inlineStr">
        <is>
          <t>Joy</t>
        </is>
      </c>
      <c r="G153" t="n">
        <v>50</v>
      </c>
      <c r="H153" t="n">
        <v>0</v>
      </c>
      <c r="I153" t="n">
        <v>0</v>
      </c>
      <c r="J153" t="inlineStr">
        <is>
          <t>NA</t>
        </is>
      </c>
      <c r="K153" t="n">
        <v>98.5</v>
      </c>
    </row>
    <row r="154">
      <c r="A154" t="inlineStr">
        <is>
          <t>SIMULATED Food Waste Remote Study</t>
        </is>
      </c>
      <c r="B154" t="inlineStr">
        <is>
          <t>RESP0020</t>
        </is>
      </c>
      <c r="C154" t="inlineStr">
        <is>
          <t>Stimulus</t>
        </is>
      </c>
      <c r="D154" t="inlineStr">
        <is>
          <t>foodwaste_narrative</t>
        </is>
      </c>
      <c r="E154" t="n">
        <v>60</v>
      </c>
      <c r="F154" t="inlineStr">
        <is>
          <t>Brow Furrow</t>
        </is>
      </c>
      <c r="G154" t="n">
        <v>50</v>
      </c>
      <c r="H154" t="n">
        <v>0</v>
      </c>
      <c r="I154" t="n">
        <v>0</v>
      </c>
      <c r="J154" t="inlineStr">
        <is>
          <t>NA</t>
        </is>
      </c>
      <c r="K154" t="n">
        <v>98.5</v>
      </c>
    </row>
    <row r="155">
      <c r="A155" t="inlineStr">
        <is>
          <t>SIMULATED Food Waste Remote Study</t>
        </is>
      </c>
      <c r="B155" t="inlineStr">
        <is>
          <t>RESP0020</t>
        </is>
      </c>
      <c r="C155" t="inlineStr">
        <is>
          <t>Stimulus</t>
        </is>
      </c>
      <c r="D155" t="inlineStr">
        <is>
          <t>foodwaste_narrative</t>
        </is>
      </c>
      <c r="E155" t="n">
        <v>60</v>
      </c>
      <c r="F155" t="inlineStr">
        <is>
          <t>Positive Valence</t>
        </is>
      </c>
      <c r="G155" t="n">
        <v>50</v>
      </c>
      <c r="H155" t="n">
        <v>0</v>
      </c>
      <c r="I155" t="n">
        <v>0</v>
      </c>
      <c r="J155" t="inlineStr">
        <is>
          <t>NA</t>
        </is>
      </c>
      <c r="K155" t="n">
        <v>98.5</v>
      </c>
    </row>
    <row r="156">
      <c r="A156" t="inlineStr">
        <is>
          <t>SIMULATED Food Waste Remote Study</t>
        </is>
      </c>
      <c r="B156" t="inlineStr">
        <is>
          <t>RESP0020</t>
        </is>
      </c>
      <c r="C156" t="inlineStr">
        <is>
          <t>Stimulus</t>
        </is>
      </c>
      <c r="D156" t="inlineStr">
        <is>
          <t>foodwaste_narrative</t>
        </is>
      </c>
      <c r="E156" t="n">
        <v>60</v>
      </c>
      <c r="F156" t="inlineStr">
        <is>
          <t>Negative Valence</t>
        </is>
      </c>
      <c r="G156" t="n">
        <v>-50</v>
      </c>
      <c r="H156" t="n">
        <v>11.28</v>
      </c>
      <c r="I156" t="n">
        <v>4</v>
      </c>
      <c r="J156" t="inlineStr">
        <is>
          <t>NA</t>
        </is>
      </c>
      <c r="K156" t="n">
        <v>98.5</v>
      </c>
    </row>
    <row r="157">
      <c r="A157" t="inlineStr">
        <is>
          <t>SIMULATED Food Waste Remote Study</t>
        </is>
      </c>
      <c r="B157" t="inlineStr">
        <is>
          <t>RESP0020</t>
        </is>
      </c>
      <c r="C157" t="inlineStr">
        <is>
          <t>Stimulus</t>
        </is>
      </c>
      <c r="D157" t="inlineStr">
        <is>
          <t>foodwaste_visual</t>
        </is>
      </c>
      <c r="E157" t="n">
        <v>62</v>
      </c>
      <c r="F157" t="inlineStr">
        <is>
          <t>Engagement</t>
        </is>
      </c>
      <c r="G157" t="n">
        <v>50</v>
      </c>
      <c r="H157" t="n">
        <v>69.25</v>
      </c>
      <c r="I157" t="n">
        <v>16</v>
      </c>
      <c r="J157" t="inlineStr">
        <is>
          <t>NA</t>
        </is>
      </c>
      <c r="K157" t="n">
        <v>98.5</v>
      </c>
    </row>
    <row r="158">
      <c r="A158" t="inlineStr">
        <is>
          <t>SIMULATED Food Waste Remote Study</t>
        </is>
      </c>
      <c r="B158" t="inlineStr">
        <is>
          <t>RESP0020</t>
        </is>
      </c>
      <c r="C158" t="inlineStr">
        <is>
          <t>Stimulus</t>
        </is>
      </c>
      <c r="D158" t="inlineStr">
        <is>
          <t>foodwaste_visual</t>
        </is>
      </c>
      <c r="E158" t="n">
        <v>62</v>
      </c>
      <c r="F158" t="inlineStr">
        <is>
          <t>Joy</t>
        </is>
      </c>
      <c r="G158" t="n">
        <v>50</v>
      </c>
      <c r="H158" t="n">
        <v>0.54</v>
      </c>
      <c r="I158" t="n">
        <v>1</v>
      </c>
      <c r="J158" t="inlineStr">
        <is>
          <t>NA</t>
        </is>
      </c>
      <c r="K158" t="n">
        <v>98.5</v>
      </c>
    </row>
    <row r="159">
      <c r="A159" t="inlineStr">
        <is>
          <t>SIMULATED Food Waste Remote Study</t>
        </is>
      </c>
      <c r="B159" t="inlineStr">
        <is>
          <t>RESP0020</t>
        </is>
      </c>
      <c r="C159" t="inlineStr">
        <is>
          <t>Stimulus</t>
        </is>
      </c>
      <c r="D159" t="inlineStr">
        <is>
          <t>foodwaste_visual</t>
        </is>
      </c>
      <c r="E159" t="n">
        <v>62</v>
      </c>
      <c r="F159" t="inlineStr">
        <is>
          <t>Brow Furrow</t>
        </is>
      </c>
      <c r="G159" t="n">
        <v>50</v>
      </c>
      <c r="H159" t="n">
        <v>14.3</v>
      </c>
      <c r="I159" t="n">
        <v>2</v>
      </c>
      <c r="J159" t="inlineStr">
        <is>
          <t>NA</t>
        </is>
      </c>
      <c r="K159" t="n">
        <v>98.5</v>
      </c>
    </row>
    <row r="160">
      <c r="A160" t="inlineStr">
        <is>
          <t>SIMULATED Food Waste Remote Study</t>
        </is>
      </c>
      <c r="B160" t="inlineStr">
        <is>
          <t>RESP0020</t>
        </is>
      </c>
      <c r="C160" t="inlineStr">
        <is>
          <t>Stimulus</t>
        </is>
      </c>
      <c r="D160" t="inlineStr">
        <is>
          <t>foodwaste_visual</t>
        </is>
      </c>
      <c r="E160" t="n">
        <v>62</v>
      </c>
      <c r="F160" t="inlineStr">
        <is>
          <t>Positive Valence</t>
        </is>
      </c>
      <c r="G160" t="n">
        <v>50</v>
      </c>
      <c r="H160" t="n">
        <v>0</v>
      </c>
      <c r="I160" t="n">
        <v>0</v>
      </c>
      <c r="J160" t="inlineStr">
        <is>
          <t>NA</t>
        </is>
      </c>
      <c r="K160" t="n">
        <v>98.5</v>
      </c>
    </row>
    <row r="161">
      <c r="A161" t="inlineStr">
        <is>
          <t>SIMULATED Food Waste Remote Study</t>
        </is>
      </c>
      <c r="B161" t="inlineStr">
        <is>
          <t>RESP0020</t>
        </is>
      </c>
      <c r="C161" t="inlineStr">
        <is>
          <t>Stimulus</t>
        </is>
      </c>
      <c r="D161" t="inlineStr">
        <is>
          <t>foodwaste_visual</t>
        </is>
      </c>
      <c r="E161" t="n">
        <v>62</v>
      </c>
      <c r="F161" t="inlineStr">
        <is>
          <t>Negative Valence</t>
        </is>
      </c>
      <c r="G161" t="n">
        <v>-50</v>
      </c>
      <c r="H161" t="n">
        <v>0</v>
      </c>
      <c r="I161" t="n">
        <v>0</v>
      </c>
      <c r="J161" t="inlineStr">
        <is>
          <t>NA</t>
        </is>
      </c>
      <c r="K161" t="n">
        <v>98.5</v>
      </c>
    </row>
    <row r="162">
      <c r="A162" t="inlineStr">
        <is>
          <t>SIMULATED Food Waste Remote Study</t>
        </is>
      </c>
      <c r="B162" t="inlineStr">
        <is>
          <t>RESP0022</t>
        </is>
      </c>
      <c r="C162" t="inlineStr">
        <is>
          <t>Stimulus</t>
        </is>
      </c>
      <c r="D162" t="inlineStr">
        <is>
          <t>foodwaste_narrative</t>
        </is>
      </c>
      <c r="E162" t="n">
        <v>60</v>
      </c>
      <c r="F162" t="inlineStr">
        <is>
          <t>Engagement</t>
        </is>
      </c>
      <c r="G162" t="n">
        <v>50</v>
      </c>
      <c r="H162" t="n">
        <v>9.83</v>
      </c>
      <c r="I162" t="n">
        <v>5</v>
      </c>
      <c r="J162" t="inlineStr">
        <is>
          <t>NA</t>
        </is>
      </c>
      <c r="K162" t="n">
        <v>99.40000000000001</v>
      </c>
    </row>
    <row r="163">
      <c r="A163" t="inlineStr">
        <is>
          <t>SIMULATED Food Waste Remote Study</t>
        </is>
      </c>
      <c r="B163" t="inlineStr">
        <is>
          <t>RESP0022</t>
        </is>
      </c>
      <c r="C163" t="inlineStr">
        <is>
          <t>Stimulus</t>
        </is>
      </c>
      <c r="D163" t="inlineStr">
        <is>
          <t>foodwaste_narrative</t>
        </is>
      </c>
      <c r="E163" t="n">
        <v>60</v>
      </c>
      <c r="F163" t="inlineStr">
        <is>
          <t>Joy</t>
        </is>
      </c>
      <c r="G163" t="n">
        <v>50</v>
      </c>
      <c r="H163" t="n">
        <v>0</v>
      </c>
      <c r="I163" t="n">
        <v>0</v>
      </c>
      <c r="J163" t="inlineStr">
        <is>
          <t>NA</t>
        </is>
      </c>
      <c r="K163" t="n">
        <v>99.40000000000001</v>
      </c>
    </row>
    <row r="164">
      <c r="A164" t="inlineStr">
        <is>
          <t>SIMULATED Food Waste Remote Study</t>
        </is>
      </c>
      <c r="B164" t="inlineStr">
        <is>
          <t>RESP0022</t>
        </is>
      </c>
      <c r="C164" t="inlineStr">
        <is>
          <t>Stimulus</t>
        </is>
      </c>
      <c r="D164" t="inlineStr">
        <is>
          <t>foodwaste_narrative</t>
        </is>
      </c>
      <c r="E164" t="n">
        <v>60</v>
      </c>
      <c r="F164" t="inlineStr">
        <is>
          <t>Brow Furrow</t>
        </is>
      </c>
      <c r="G164" t="n">
        <v>50</v>
      </c>
      <c r="H164" t="n">
        <v>0</v>
      </c>
      <c r="I164" t="n">
        <v>0</v>
      </c>
      <c r="J164" t="inlineStr">
        <is>
          <t>NA</t>
        </is>
      </c>
      <c r="K164" t="n">
        <v>99.40000000000001</v>
      </c>
    </row>
    <row r="165">
      <c r="A165" t="inlineStr">
        <is>
          <t>SIMULATED Food Waste Remote Study</t>
        </is>
      </c>
      <c r="B165" t="inlineStr">
        <is>
          <t>RESP0022</t>
        </is>
      </c>
      <c r="C165" t="inlineStr">
        <is>
          <t>Stimulus</t>
        </is>
      </c>
      <c r="D165" t="inlineStr">
        <is>
          <t>foodwaste_narrative</t>
        </is>
      </c>
      <c r="E165" t="n">
        <v>60</v>
      </c>
      <c r="F165" t="inlineStr">
        <is>
          <t>Positive Valence</t>
        </is>
      </c>
      <c r="G165" t="n">
        <v>50</v>
      </c>
      <c r="H165" t="n">
        <v>0</v>
      </c>
      <c r="I165" t="n">
        <v>0</v>
      </c>
      <c r="J165" t="inlineStr">
        <is>
          <t>NA</t>
        </is>
      </c>
      <c r="K165" t="n">
        <v>99.40000000000001</v>
      </c>
    </row>
    <row r="166">
      <c r="A166" t="inlineStr">
        <is>
          <t>SIMULATED Food Waste Remote Study</t>
        </is>
      </c>
      <c r="B166" t="inlineStr">
        <is>
          <t>RESP0022</t>
        </is>
      </c>
      <c r="C166" t="inlineStr">
        <is>
          <t>Stimulus</t>
        </is>
      </c>
      <c r="D166" t="inlineStr">
        <is>
          <t>foodwaste_narrative</t>
        </is>
      </c>
      <c r="E166" t="n">
        <v>60</v>
      </c>
      <c r="F166" t="inlineStr">
        <is>
          <t>Negative Valence</t>
        </is>
      </c>
      <c r="G166" t="n">
        <v>-50</v>
      </c>
      <c r="H166" t="n">
        <v>0</v>
      </c>
      <c r="I166" t="n">
        <v>0</v>
      </c>
      <c r="J166" t="inlineStr">
        <is>
          <t>NA</t>
        </is>
      </c>
      <c r="K166" t="n">
        <v>99.40000000000001</v>
      </c>
    </row>
    <row r="167">
      <c r="A167" t="inlineStr">
        <is>
          <t>SIMULATED Food Waste Remote Study</t>
        </is>
      </c>
      <c r="B167" t="inlineStr">
        <is>
          <t>RESP0022</t>
        </is>
      </c>
      <c r="C167" t="inlineStr">
        <is>
          <t>Stimulus</t>
        </is>
      </c>
      <c r="D167" t="inlineStr">
        <is>
          <t>foodwaste_visual</t>
        </is>
      </c>
      <c r="E167" t="n">
        <v>62</v>
      </c>
      <c r="F167" t="inlineStr">
        <is>
          <t>Engagement</t>
        </is>
      </c>
      <c r="G167" t="n">
        <v>50</v>
      </c>
      <c r="H167" t="n">
        <v>0.86</v>
      </c>
      <c r="I167" t="n">
        <v>2</v>
      </c>
      <c r="J167" t="inlineStr">
        <is>
          <t>NA</t>
        </is>
      </c>
      <c r="K167" t="n">
        <v>98.7</v>
      </c>
    </row>
    <row r="168">
      <c r="A168" t="inlineStr">
        <is>
          <t>SIMULATED Food Waste Remote Study</t>
        </is>
      </c>
      <c r="B168" t="inlineStr">
        <is>
          <t>RESP0022</t>
        </is>
      </c>
      <c r="C168" t="inlineStr">
        <is>
          <t>Stimulus</t>
        </is>
      </c>
      <c r="D168" t="inlineStr">
        <is>
          <t>foodwaste_visual</t>
        </is>
      </c>
      <c r="E168" t="n">
        <v>62</v>
      </c>
      <c r="F168" t="inlineStr">
        <is>
          <t>Joy</t>
        </is>
      </c>
      <c r="G168" t="n">
        <v>50</v>
      </c>
      <c r="H168" t="n">
        <v>2.2</v>
      </c>
      <c r="I168" t="n">
        <v>1</v>
      </c>
      <c r="J168" t="inlineStr">
        <is>
          <t>NA</t>
        </is>
      </c>
      <c r="K168" t="n">
        <v>98.7</v>
      </c>
    </row>
    <row r="169">
      <c r="A169" t="inlineStr">
        <is>
          <t>SIMULATED Food Waste Remote Study</t>
        </is>
      </c>
      <c r="B169" t="inlineStr">
        <is>
          <t>RESP0022</t>
        </is>
      </c>
      <c r="C169" t="inlineStr">
        <is>
          <t>Stimulus</t>
        </is>
      </c>
      <c r="D169" t="inlineStr">
        <is>
          <t>foodwaste_visual</t>
        </is>
      </c>
      <c r="E169" t="n">
        <v>62</v>
      </c>
      <c r="F169" t="inlineStr">
        <is>
          <t>Brow Furrow</t>
        </is>
      </c>
      <c r="G169" t="n">
        <v>50</v>
      </c>
      <c r="H169" t="n">
        <v>9.140000000000001</v>
      </c>
      <c r="I169" t="n">
        <v>5</v>
      </c>
      <c r="J169" t="inlineStr">
        <is>
          <t>NA</t>
        </is>
      </c>
      <c r="K169" t="n">
        <v>98.7</v>
      </c>
    </row>
    <row r="170">
      <c r="A170" t="inlineStr">
        <is>
          <t>SIMULATED Food Waste Remote Study</t>
        </is>
      </c>
      <c r="B170" t="inlineStr">
        <is>
          <t>RESP0022</t>
        </is>
      </c>
      <c r="C170" t="inlineStr">
        <is>
          <t>Stimulus</t>
        </is>
      </c>
      <c r="D170" t="inlineStr">
        <is>
          <t>foodwaste_visual</t>
        </is>
      </c>
      <c r="E170" t="n">
        <v>62</v>
      </c>
      <c r="F170" t="inlineStr">
        <is>
          <t>Positive Valence</t>
        </is>
      </c>
      <c r="G170" t="n">
        <v>50</v>
      </c>
      <c r="H170" t="n">
        <v>10.86</v>
      </c>
      <c r="I170" t="n">
        <v>1</v>
      </c>
      <c r="J170" t="inlineStr">
        <is>
          <t>NA</t>
        </is>
      </c>
      <c r="K170" t="n">
        <v>98.7</v>
      </c>
    </row>
    <row r="171">
      <c r="A171" t="inlineStr">
        <is>
          <t>SIMULATED Food Waste Remote Study</t>
        </is>
      </c>
      <c r="B171" t="inlineStr">
        <is>
          <t>RESP0022</t>
        </is>
      </c>
      <c r="C171" t="inlineStr">
        <is>
          <t>Stimulus</t>
        </is>
      </c>
      <c r="D171" t="inlineStr">
        <is>
          <t>foodwaste_visual</t>
        </is>
      </c>
      <c r="E171" t="n">
        <v>62</v>
      </c>
      <c r="F171" t="inlineStr">
        <is>
          <t>Negative Valence</t>
        </is>
      </c>
      <c r="G171" t="n">
        <v>-50</v>
      </c>
      <c r="H171" t="n">
        <v>4.89</v>
      </c>
      <c r="I171" t="n">
        <v>1</v>
      </c>
      <c r="J171" t="inlineStr">
        <is>
          <t>NA</t>
        </is>
      </c>
      <c r="K171" t="n">
        <v>98.7</v>
      </c>
    </row>
    <row r="172">
      <c r="A172" t="inlineStr">
        <is>
          <t>SIMULATED Food Waste Remote Study</t>
        </is>
      </c>
      <c r="B172" t="inlineStr">
        <is>
          <t>RESP0023</t>
        </is>
      </c>
      <c r="C172" t="inlineStr">
        <is>
          <t>Stimulus</t>
        </is>
      </c>
      <c r="D172" t="inlineStr">
        <is>
          <t>foodwaste_narrative</t>
        </is>
      </c>
      <c r="E172" t="n">
        <v>60</v>
      </c>
      <c r="F172" t="inlineStr">
        <is>
          <t>Engagement</t>
        </is>
      </c>
      <c r="G172" t="n">
        <v>50</v>
      </c>
      <c r="H172" t="n">
        <v>5.28</v>
      </c>
      <c r="I172" t="n">
        <v>1</v>
      </c>
      <c r="J172" t="inlineStr">
        <is>
          <t>NA</t>
        </is>
      </c>
      <c r="K172" t="n">
        <v>95</v>
      </c>
    </row>
    <row r="173">
      <c r="A173" t="inlineStr">
        <is>
          <t>SIMULATED Food Waste Remote Study</t>
        </is>
      </c>
      <c r="B173" t="inlineStr">
        <is>
          <t>RESP0023</t>
        </is>
      </c>
      <c r="C173" t="inlineStr">
        <is>
          <t>Stimulus</t>
        </is>
      </c>
      <c r="D173" t="inlineStr">
        <is>
          <t>foodwaste_narrative</t>
        </is>
      </c>
      <c r="E173" t="n">
        <v>60</v>
      </c>
      <c r="F173" t="inlineStr">
        <is>
          <t>Joy</t>
        </is>
      </c>
      <c r="G173" t="n">
        <v>50</v>
      </c>
      <c r="H173" t="n">
        <v>1.28</v>
      </c>
      <c r="I173" t="n">
        <v>1</v>
      </c>
      <c r="J173" t="inlineStr">
        <is>
          <t>NA</t>
        </is>
      </c>
      <c r="K173" t="n">
        <v>95</v>
      </c>
    </row>
    <row r="174">
      <c r="A174" t="inlineStr">
        <is>
          <t>SIMULATED Food Waste Remote Study</t>
        </is>
      </c>
      <c r="B174" t="inlineStr">
        <is>
          <t>RESP0023</t>
        </is>
      </c>
      <c r="C174" t="inlineStr">
        <is>
          <t>Stimulus</t>
        </is>
      </c>
      <c r="D174" t="inlineStr">
        <is>
          <t>foodwaste_narrative</t>
        </is>
      </c>
      <c r="E174" t="n">
        <v>60</v>
      </c>
      <c r="F174" t="inlineStr">
        <is>
          <t>Brow Furrow</t>
        </is>
      </c>
      <c r="G174" t="n">
        <v>50</v>
      </c>
      <c r="H174" t="n">
        <v>4.61</v>
      </c>
      <c r="I174" t="n">
        <v>1</v>
      </c>
      <c r="J174" t="inlineStr">
        <is>
          <t>NA</t>
        </is>
      </c>
      <c r="K174" t="n">
        <v>95</v>
      </c>
    </row>
    <row r="175">
      <c r="A175" t="inlineStr">
        <is>
          <t>SIMULATED Food Waste Remote Study</t>
        </is>
      </c>
      <c r="B175" t="inlineStr">
        <is>
          <t>RESP0023</t>
        </is>
      </c>
      <c r="C175" t="inlineStr">
        <is>
          <t>Stimulus</t>
        </is>
      </c>
      <c r="D175" t="inlineStr">
        <is>
          <t>foodwaste_narrative</t>
        </is>
      </c>
      <c r="E175" t="n">
        <v>60</v>
      </c>
      <c r="F175" t="inlineStr">
        <is>
          <t>Positive Valence</t>
        </is>
      </c>
      <c r="G175" t="n">
        <v>50</v>
      </c>
      <c r="H175" t="n">
        <v>0</v>
      </c>
      <c r="I175" t="n">
        <v>0</v>
      </c>
      <c r="J175" t="inlineStr">
        <is>
          <t>NA</t>
        </is>
      </c>
      <c r="K175" t="n">
        <v>95</v>
      </c>
    </row>
    <row r="176">
      <c r="A176" t="inlineStr">
        <is>
          <t>SIMULATED Food Waste Remote Study</t>
        </is>
      </c>
      <c r="B176" t="inlineStr">
        <is>
          <t>RESP0023</t>
        </is>
      </c>
      <c r="C176" t="inlineStr">
        <is>
          <t>Stimulus</t>
        </is>
      </c>
      <c r="D176" t="inlineStr">
        <is>
          <t>foodwaste_narrative</t>
        </is>
      </c>
      <c r="E176" t="n">
        <v>60</v>
      </c>
      <c r="F176" t="inlineStr">
        <is>
          <t>Negative Valence</t>
        </is>
      </c>
      <c r="G176" t="n">
        <v>-50</v>
      </c>
      <c r="H176" t="n">
        <v>0</v>
      </c>
      <c r="I176" t="n">
        <v>0</v>
      </c>
      <c r="J176" t="inlineStr">
        <is>
          <t>NA</t>
        </is>
      </c>
      <c r="K176" t="n">
        <v>95</v>
      </c>
    </row>
    <row r="177">
      <c r="A177" t="inlineStr">
        <is>
          <t>SIMULATED Food Waste Remote Study</t>
        </is>
      </c>
      <c r="B177" t="inlineStr">
        <is>
          <t>RESP0023</t>
        </is>
      </c>
      <c r="C177" t="inlineStr">
        <is>
          <t>Stimulus</t>
        </is>
      </c>
      <c r="D177" t="inlineStr">
        <is>
          <t>foodwaste_visual</t>
        </is>
      </c>
      <c r="E177" t="n">
        <v>62</v>
      </c>
      <c r="F177" t="inlineStr">
        <is>
          <t>Engagement</t>
        </is>
      </c>
      <c r="G177" t="n">
        <v>50</v>
      </c>
      <c r="H177" t="n">
        <v>67.2</v>
      </c>
      <c r="I177" t="n">
        <v>17</v>
      </c>
      <c r="J177" t="inlineStr">
        <is>
          <t>NA</t>
        </is>
      </c>
      <c r="K177" t="n">
        <v>94.2</v>
      </c>
    </row>
    <row r="178">
      <c r="A178" t="inlineStr">
        <is>
          <t>SIMULATED Food Waste Remote Study</t>
        </is>
      </c>
      <c r="B178" t="inlineStr">
        <is>
          <t>RESP0023</t>
        </is>
      </c>
      <c r="C178" t="inlineStr">
        <is>
          <t>Stimulus</t>
        </is>
      </c>
      <c r="D178" t="inlineStr">
        <is>
          <t>foodwaste_visual</t>
        </is>
      </c>
      <c r="E178" t="n">
        <v>62</v>
      </c>
      <c r="F178" t="inlineStr">
        <is>
          <t>Joy</t>
        </is>
      </c>
      <c r="G178" t="n">
        <v>50</v>
      </c>
      <c r="H178" t="n">
        <v>2.04</v>
      </c>
      <c r="I178" t="n">
        <v>2</v>
      </c>
      <c r="J178" t="inlineStr">
        <is>
          <t>NA</t>
        </is>
      </c>
      <c r="K178" t="n">
        <v>94.2</v>
      </c>
    </row>
    <row r="179">
      <c r="A179" t="inlineStr">
        <is>
          <t>SIMULATED Food Waste Remote Study</t>
        </is>
      </c>
      <c r="B179" t="inlineStr">
        <is>
          <t>RESP0023</t>
        </is>
      </c>
      <c r="C179" t="inlineStr">
        <is>
          <t>Stimulus</t>
        </is>
      </c>
      <c r="D179" t="inlineStr">
        <is>
          <t>foodwaste_visual</t>
        </is>
      </c>
      <c r="E179" t="n">
        <v>62</v>
      </c>
      <c r="F179" t="inlineStr">
        <is>
          <t>Brow Furrow</t>
        </is>
      </c>
      <c r="G179" t="n">
        <v>50</v>
      </c>
      <c r="H179" t="n">
        <v>4.73</v>
      </c>
      <c r="I179" t="n">
        <v>2</v>
      </c>
      <c r="J179" t="inlineStr">
        <is>
          <t>NA</t>
        </is>
      </c>
      <c r="K179" t="n">
        <v>94.2</v>
      </c>
    </row>
    <row r="180">
      <c r="A180" t="inlineStr">
        <is>
          <t>SIMULATED Food Waste Remote Study</t>
        </is>
      </c>
      <c r="B180" t="inlineStr">
        <is>
          <t>RESP0023</t>
        </is>
      </c>
      <c r="C180" t="inlineStr">
        <is>
          <t>Stimulus</t>
        </is>
      </c>
      <c r="D180" t="inlineStr">
        <is>
          <t>foodwaste_visual</t>
        </is>
      </c>
      <c r="E180" t="n">
        <v>62</v>
      </c>
      <c r="F180" t="inlineStr">
        <is>
          <t>Positive Valence</t>
        </is>
      </c>
      <c r="G180" t="n">
        <v>50</v>
      </c>
      <c r="H180" t="n">
        <v>0</v>
      </c>
      <c r="I180" t="n">
        <v>0</v>
      </c>
      <c r="J180" t="inlineStr">
        <is>
          <t>NA</t>
        </is>
      </c>
      <c r="K180" t="n">
        <v>94.2</v>
      </c>
    </row>
    <row r="181">
      <c r="A181" t="inlineStr">
        <is>
          <t>SIMULATED Food Waste Remote Study</t>
        </is>
      </c>
      <c r="B181" t="inlineStr">
        <is>
          <t>RESP0023</t>
        </is>
      </c>
      <c r="C181" t="inlineStr">
        <is>
          <t>Stimulus</t>
        </is>
      </c>
      <c r="D181" t="inlineStr">
        <is>
          <t>foodwaste_visual</t>
        </is>
      </c>
      <c r="E181" t="n">
        <v>62</v>
      </c>
      <c r="F181" t="inlineStr">
        <is>
          <t>Negative Valence</t>
        </is>
      </c>
      <c r="G181" t="n">
        <v>-50</v>
      </c>
      <c r="H181" t="n">
        <v>6.34</v>
      </c>
      <c r="I181" t="n">
        <v>3</v>
      </c>
      <c r="J181" t="inlineStr">
        <is>
          <t>NA</t>
        </is>
      </c>
      <c r="K181" t="n">
        <v>94.2</v>
      </c>
    </row>
    <row r="182">
      <c r="A182" t="inlineStr">
        <is>
          <t>SIMULATED Food Waste Remote Study</t>
        </is>
      </c>
      <c r="B182" t="inlineStr">
        <is>
          <t>RESP0024</t>
        </is>
      </c>
      <c r="C182" t="inlineStr">
        <is>
          <t>Stimulus</t>
        </is>
      </c>
      <c r="D182" t="inlineStr">
        <is>
          <t>foodwaste_narrative</t>
        </is>
      </c>
      <c r="E182" t="n">
        <v>60</v>
      </c>
      <c r="F182" t="inlineStr">
        <is>
          <t>Engagement</t>
        </is>
      </c>
      <c r="G182" t="n">
        <v>50</v>
      </c>
      <c r="H182" t="n">
        <v>1.44</v>
      </c>
      <c r="I182" t="n">
        <v>1</v>
      </c>
      <c r="J182" t="inlineStr">
        <is>
          <t>NA</t>
        </is>
      </c>
      <c r="K182" t="n">
        <v>99.59999999999999</v>
      </c>
    </row>
    <row r="183">
      <c r="A183" t="inlineStr">
        <is>
          <t>SIMULATED Food Waste Remote Study</t>
        </is>
      </c>
      <c r="B183" t="inlineStr">
        <is>
          <t>RESP0024</t>
        </is>
      </c>
      <c r="C183" t="inlineStr">
        <is>
          <t>Stimulus</t>
        </is>
      </c>
      <c r="D183" t="inlineStr">
        <is>
          <t>foodwaste_narrative</t>
        </is>
      </c>
      <c r="E183" t="n">
        <v>60</v>
      </c>
      <c r="F183" t="inlineStr">
        <is>
          <t>Joy</t>
        </is>
      </c>
      <c r="G183" t="n">
        <v>50</v>
      </c>
      <c r="H183" t="n">
        <v>0</v>
      </c>
      <c r="I183" t="n">
        <v>0</v>
      </c>
      <c r="J183" t="inlineStr">
        <is>
          <t>NA</t>
        </is>
      </c>
      <c r="K183" t="n">
        <v>99.59999999999999</v>
      </c>
    </row>
    <row r="184">
      <c r="A184" t="inlineStr">
        <is>
          <t>SIMULATED Food Waste Remote Study</t>
        </is>
      </c>
      <c r="B184" t="inlineStr">
        <is>
          <t>RESP0024</t>
        </is>
      </c>
      <c r="C184" t="inlineStr">
        <is>
          <t>Stimulus</t>
        </is>
      </c>
      <c r="D184" t="inlineStr">
        <is>
          <t>foodwaste_narrative</t>
        </is>
      </c>
      <c r="E184" t="n">
        <v>60</v>
      </c>
      <c r="F184" t="inlineStr">
        <is>
          <t>Brow Furrow</t>
        </is>
      </c>
      <c r="G184" t="n">
        <v>50</v>
      </c>
      <c r="H184" t="n">
        <v>0.67</v>
      </c>
      <c r="I184" t="n">
        <v>1</v>
      </c>
      <c r="J184" t="inlineStr">
        <is>
          <t>NA</t>
        </is>
      </c>
      <c r="K184" t="n">
        <v>99.59999999999999</v>
      </c>
    </row>
    <row r="185">
      <c r="A185" t="inlineStr">
        <is>
          <t>SIMULATED Food Waste Remote Study</t>
        </is>
      </c>
      <c r="B185" t="inlineStr">
        <is>
          <t>RESP0024</t>
        </is>
      </c>
      <c r="C185" t="inlineStr">
        <is>
          <t>Stimulus</t>
        </is>
      </c>
      <c r="D185" t="inlineStr">
        <is>
          <t>foodwaste_narrative</t>
        </is>
      </c>
      <c r="E185" t="n">
        <v>60</v>
      </c>
      <c r="F185" t="inlineStr">
        <is>
          <t>Positive Valence</t>
        </is>
      </c>
      <c r="G185" t="n">
        <v>50</v>
      </c>
      <c r="H185" t="n">
        <v>9</v>
      </c>
      <c r="I185" t="n">
        <v>2</v>
      </c>
      <c r="J185" t="inlineStr">
        <is>
          <t>NA</t>
        </is>
      </c>
      <c r="K185" t="n">
        <v>99.59999999999999</v>
      </c>
    </row>
    <row r="186">
      <c r="A186" t="inlineStr">
        <is>
          <t>SIMULATED Food Waste Remote Study</t>
        </is>
      </c>
      <c r="B186" t="inlineStr">
        <is>
          <t>RESP0024</t>
        </is>
      </c>
      <c r="C186" t="inlineStr">
        <is>
          <t>Stimulus</t>
        </is>
      </c>
      <c r="D186" t="inlineStr">
        <is>
          <t>foodwaste_narrative</t>
        </is>
      </c>
      <c r="E186" t="n">
        <v>60</v>
      </c>
      <c r="F186" t="inlineStr">
        <is>
          <t>Negative Valence</t>
        </is>
      </c>
      <c r="G186" t="n">
        <v>-50</v>
      </c>
      <c r="H186" t="n">
        <v>0</v>
      </c>
      <c r="I186" t="n">
        <v>0</v>
      </c>
      <c r="J186" t="inlineStr">
        <is>
          <t>NA</t>
        </is>
      </c>
      <c r="K186" t="n">
        <v>99.59999999999999</v>
      </c>
    </row>
    <row r="187">
      <c r="A187" t="inlineStr">
        <is>
          <t>SIMULATED Food Waste Remote Study</t>
        </is>
      </c>
      <c r="B187" t="inlineStr">
        <is>
          <t>RESP0024</t>
        </is>
      </c>
      <c r="C187" t="inlineStr">
        <is>
          <t>Stimulus</t>
        </is>
      </c>
      <c r="D187" t="inlineStr">
        <is>
          <t>foodwaste_visual</t>
        </is>
      </c>
      <c r="E187" t="n">
        <v>62</v>
      </c>
      <c r="F187" t="inlineStr">
        <is>
          <t>Engagement</t>
        </is>
      </c>
      <c r="G187" t="n">
        <v>50</v>
      </c>
      <c r="H187" t="n">
        <v>38.49</v>
      </c>
      <c r="I187" t="n">
        <v>2</v>
      </c>
      <c r="J187" t="inlineStr">
        <is>
          <t>NA</t>
        </is>
      </c>
      <c r="K187" t="n">
        <v>99.40000000000001</v>
      </c>
    </row>
    <row r="188">
      <c r="A188" t="inlineStr">
        <is>
          <t>SIMULATED Food Waste Remote Study</t>
        </is>
      </c>
      <c r="B188" t="inlineStr">
        <is>
          <t>RESP0024</t>
        </is>
      </c>
      <c r="C188" t="inlineStr">
        <is>
          <t>Stimulus</t>
        </is>
      </c>
      <c r="D188" t="inlineStr">
        <is>
          <t>foodwaste_visual</t>
        </is>
      </c>
      <c r="E188" t="n">
        <v>62</v>
      </c>
      <c r="F188" t="inlineStr">
        <is>
          <t>Joy</t>
        </is>
      </c>
      <c r="G188" t="n">
        <v>50</v>
      </c>
      <c r="H188" t="n">
        <v>11.99</v>
      </c>
      <c r="I188" t="n">
        <v>6</v>
      </c>
      <c r="J188" t="inlineStr">
        <is>
          <t>NA</t>
        </is>
      </c>
      <c r="K188" t="n">
        <v>99.40000000000001</v>
      </c>
    </row>
    <row r="189">
      <c r="A189" t="inlineStr">
        <is>
          <t>SIMULATED Food Waste Remote Study</t>
        </is>
      </c>
      <c r="B189" t="inlineStr">
        <is>
          <t>RESP0024</t>
        </is>
      </c>
      <c r="C189" t="inlineStr">
        <is>
          <t>Stimulus</t>
        </is>
      </c>
      <c r="D189" t="inlineStr">
        <is>
          <t>foodwaste_visual</t>
        </is>
      </c>
      <c r="E189" t="n">
        <v>62</v>
      </c>
      <c r="F189" t="inlineStr">
        <is>
          <t>Brow Furrow</t>
        </is>
      </c>
      <c r="G189" t="n">
        <v>50</v>
      </c>
      <c r="H189" t="n">
        <v>4.68</v>
      </c>
      <c r="I189" t="n">
        <v>1</v>
      </c>
      <c r="J189" t="inlineStr">
        <is>
          <t>NA</t>
        </is>
      </c>
      <c r="K189" t="n">
        <v>99.40000000000001</v>
      </c>
    </row>
    <row r="190">
      <c r="A190" t="inlineStr">
        <is>
          <t>SIMULATED Food Waste Remote Study</t>
        </is>
      </c>
      <c r="B190" t="inlineStr">
        <is>
          <t>RESP0024</t>
        </is>
      </c>
      <c r="C190" t="inlineStr">
        <is>
          <t>Stimulus</t>
        </is>
      </c>
      <c r="D190" t="inlineStr">
        <is>
          <t>foodwaste_visual</t>
        </is>
      </c>
      <c r="E190" t="n">
        <v>62</v>
      </c>
      <c r="F190" t="inlineStr">
        <is>
          <t>Positive Valence</t>
        </is>
      </c>
      <c r="G190" t="n">
        <v>50</v>
      </c>
      <c r="H190" t="n">
        <v>3.82</v>
      </c>
      <c r="I190" t="n">
        <v>3</v>
      </c>
      <c r="J190" t="inlineStr">
        <is>
          <t>NA</t>
        </is>
      </c>
      <c r="K190" t="n">
        <v>99.40000000000001</v>
      </c>
    </row>
    <row r="191">
      <c r="A191" t="inlineStr">
        <is>
          <t>SIMULATED Food Waste Remote Study</t>
        </is>
      </c>
      <c r="B191" t="inlineStr">
        <is>
          <t>RESP0024</t>
        </is>
      </c>
      <c r="C191" t="inlineStr">
        <is>
          <t>Stimulus</t>
        </is>
      </c>
      <c r="D191" t="inlineStr">
        <is>
          <t>foodwaste_visual</t>
        </is>
      </c>
      <c r="E191" t="n">
        <v>62</v>
      </c>
      <c r="F191" t="inlineStr">
        <is>
          <t>Negative Valence</t>
        </is>
      </c>
      <c r="G191" t="n">
        <v>-50</v>
      </c>
      <c r="H191" t="n">
        <v>4.84</v>
      </c>
      <c r="I191" t="n">
        <v>4</v>
      </c>
      <c r="J191" t="inlineStr">
        <is>
          <t>NA</t>
        </is>
      </c>
      <c r="K191" t="n">
        <v>99.40000000000001</v>
      </c>
    </row>
    <row r="192">
      <c r="A192" t="inlineStr">
        <is>
          <t>SIMULATED Food Waste Remote Study</t>
        </is>
      </c>
      <c r="B192" t="inlineStr">
        <is>
          <t>RESP0025</t>
        </is>
      </c>
      <c r="C192" t="inlineStr">
        <is>
          <t>Stimulus</t>
        </is>
      </c>
      <c r="D192" t="inlineStr">
        <is>
          <t>foodwaste_narrative</t>
        </is>
      </c>
      <c r="E192" t="n">
        <v>60</v>
      </c>
      <c r="F192" t="inlineStr">
        <is>
          <t>Engagement</t>
        </is>
      </c>
      <c r="G192" t="n">
        <v>50</v>
      </c>
      <c r="H192" t="n">
        <v>23.22</v>
      </c>
      <c r="I192" t="n">
        <v>6</v>
      </c>
      <c r="J192" t="inlineStr">
        <is>
          <t>NA</t>
        </is>
      </c>
      <c r="K192" t="n">
        <v>99</v>
      </c>
    </row>
    <row r="193">
      <c r="A193" t="inlineStr">
        <is>
          <t>SIMULATED Food Waste Remote Study</t>
        </is>
      </c>
      <c r="B193" t="inlineStr">
        <is>
          <t>RESP0025</t>
        </is>
      </c>
      <c r="C193" t="inlineStr">
        <is>
          <t>Stimulus</t>
        </is>
      </c>
      <c r="D193" t="inlineStr">
        <is>
          <t>foodwaste_narrative</t>
        </is>
      </c>
      <c r="E193" t="n">
        <v>60</v>
      </c>
      <c r="F193" t="inlineStr">
        <is>
          <t>Joy</t>
        </is>
      </c>
      <c r="G193" t="n">
        <v>50</v>
      </c>
      <c r="H193" t="n">
        <v>0</v>
      </c>
      <c r="I193" t="n">
        <v>0</v>
      </c>
      <c r="J193" t="inlineStr">
        <is>
          <t>NA</t>
        </is>
      </c>
      <c r="K193" t="n">
        <v>99</v>
      </c>
    </row>
    <row r="194">
      <c r="A194" t="inlineStr">
        <is>
          <t>SIMULATED Food Waste Remote Study</t>
        </is>
      </c>
      <c r="B194" t="inlineStr">
        <is>
          <t>RESP0025</t>
        </is>
      </c>
      <c r="C194" t="inlineStr">
        <is>
          <t>Stimulus</t>
        </is>
      </c>
      <c r="D194" t="inlineStr">
        <is>
          <t>foodwaste_narrative</t>
        </is>
      </c>
      <c r="E194" t="n">
        <v>60</v>
      </c>
      <c r="F194" t="inlineStr">
        <is>
          <t>Brow Furrow</t>
        </is>
      </c>
      <c r="G194" t="n">
        <v>50</v>
      </c>
      <c r="H194" t="n">
        <v>15.78</v>
      </c>
      <c r="I194" t="n">
        <v>2</v>
      </c>
      <c r="J194" t="inlineStr">
        <is>
          <t>NA</t>
        </is>
      </c>
      <c r="K194" t="n">
        <v>99</v>
      </c>
    </row>
    <row r="195">
      <c r="A195" t="inlineStr">
        <is>
          <t>SIMULATED Food Waste Remote Study</t>
        </is>
      </c>
      <c r="B195" t="inlineStr">
        <is>
          <t>RESP0025</t>
        </is>
      </c>
      <c r="C195" t="inlineStr">
        <is>
          <t>Stimulus</t>
        </is>
      </c>
      <c r="D195" t="inlineStr">
        <is>
          <t>foodwaste_narrative</t>
        </is>
      </c>
      <c r="E195" t="n">
        <v>60</v>
      </c>
      <c r="F195" t="inlineStr">
        <is>
          <t>Positive Valence</t>
        </is>
      </c>
      <c r="G195" t="n">
        <v>50</v>
      </c>
      <c r="H195" t="n">
        <v>10.72</v>
      </c>
      <c r="I195" t="n">
        <v>2</v>
      </c>
      <c r="J195" t="inlineStr">
        <is>
          <t>NA</t>
        </is>
      </c>
      <c r="K195" t="n">
        <v>99</v>
      </c>
    </row>
    <row r="196">
      <c r="A196" t="inlineStr">
        <is>
          <t>SIMULATED Food Waste Remote Study</t>
        </is>
      </c>
      <c r="B196" t="inlineStr">
        <is>
          <t>RESP0025</t>
        </is>
      </c>
      <c r="C196" t="inlineStr">
        <is>
          <t>Stimulus</t>
        </is>
      </c>
      <c r="D196" t="inlineStr">
        <is>
          <t>foodwaste_narrative</t>
        </is>
      </c>
      <c r="E196" t="n">
        <v>60</v>
      </c>
      <c r="F196" t="inlineStr">
        <is>
          <t>Negative Valence</t>
        </is>
      </c>
      <c r="G196" t="n">
        <v>-50</v>
      </c>
      <c r="H196" t="n">
        <v>0</v>
      </c>
      <c r="I196" t="n">
        <v>0</v>
      </c>
      <c r="J196" t="inlineStr">
        <is>
          <t>NA</t>
        </is>
      </c>
      <c r="K196" t="n">
        <v>99</v>
      </c>
    </row>
    <row r="197">
      <c r="A197" t="inlineStr">
        <is>
          <t>SIMULATED Food Waste Remote Study</t>
        </is>
      </c>
      <c r="B197" t="inlineStr">
        <is>
          <t>RESP0025</t>
        </is>
      </c>
      <c r="C197" t="inlineStr">
        <is>
          <t>Stimulus</t>
        </is>
      </c>
      <c r="D197" t="inlineStr">
        <is>
          <t>foodwaste_visual</t>
        </is>
      </c>
      <c r="E197" t="n">
        <v>62</v>
      </c>
      <c r="F197" t="inlineStr">
        <is>
          <t>Engagement</t>
        </is>
      </c>
      <c r="G197" t="n">
        <v>50</v>
      </c>
      <c r="H197" t="n">
        <v>68.81999999999999</v>
      </c>
      <c r="I197" t="n">
        <v>16</v>
      </c>
      <c r="J197" t="inlineStr">
        <is>
          <t>NA</t>
        </is>
      </c>
      <c r="K197" t="n">
        <v>99.09999999999999</v>
      </c>
    </row>
    <row r="198">
      <c r="A198" t="inlineStr">
        <is>
          <t>SIMULATED Food Waste Remote Study</t>
        </is>
      </c>
      <c r="B198" t="inlineStr">
        <is>
          <t>RESP0025</t>
        </is>
      </c>
      <c r="C198" t="inlineStr">
        <is>
          <t>Stimulus</t>
        </is>
      </c>
      <c r="D198" t="inlineStr">
        <is>
          <t>foodwaste_visual</t>
        </is>
      </c>
      <c r="E198" t="n">
        <v>62</v>
      </c>
      <c r="F198" t="inlineStr">
        <is>
          <t>Joy</t>
        </is>
      </c>
      <c r="G198" t="n">
        <v>50</v>
      </c>
      <c r="H198" t="n">
        <v>0</v>
      </c>
      <c r="I198" t="n">
        <v>0</v>
      </c>
      <c r="J198" t="inlineStr">
        <is>
          <t>NA</t>
        </is>
      </c>
      <c r="K198" t="n">
        <v>99.09999999999999</v>
      </c>
    </row>
    <row r="199">
      <c r="A199" t="inlineStr">
        <is>
          <t>SIMULATED Food Waste Remote Study</t>
        </is>
      </c>
      <c r="B199" t="inlineStr">
        <is>
          <t>RESP0025</t>
        </is>
      </c>
      <c r="C199" t="inlineStr">
        <is>
          <t>Stimulus</t>
        </is>
      </c>
      <c r="D199" t="inlineStr">
        <is>
          <t>foodwaste_visual</t>
        </is>
      </c>
      <c r="E199" t="n">
        <v>62</v>
      </c>
      <c r="F199" t="inlineStr">
        <is>
          <t>Brow Furrow</t>
        </is>
      </c>
      <c r="G199" t="n">
        <v>50</v>
      </c>
      <c r="H199" t="n">
        <v>2.37</v>
      </c>
      <c r="I199" t="n">
        <v>1</v>
      </c>
      <c r="J199" t="inlineStr">
        <is>
          <t>NA</t>
        </is>
      </c>
      <c r="K199" t="n">
        <v>99.09999999999999</v>
      </c>
    </row>
    <row r="200">
      <c r="A200" t="inlineStr">
        <is>
          <t>SIMULATED Food Waste Remote Study</t>
        </is>
      </c>
      <c r="B200" t="inlineStr">
        <is>
          <t>RESP0025</t>
        </is>
      </c>
      <c r="C200" t="inlineStr">
        <is>
          <t>Stimulus</t>
        </is>
      </c>
      <c r="D200" t="inlineStr">
        <is>
          <t>foodwaste_visual</t>
        </is>
      </c>
      <c r="E200" t="n">
        <v>62</v>
      </c>
      <c r="F200" t="inlineStr">
        <is>
          <t>Positive Valence</t>
        </is>
      </c>
      <c r="G200" t="n">
        <v>50</v>
      </c>
      <c r="H200" t="n">
        <v>48.06</v>
      </c>
      <c r="I200" t="n">
        <v>16</v>
      </c>
      <c r="J200" t="inlineStr">
        <is>
          <t>NA</t>
        </is>
      </c>
      <c r="K200" t="n">
        <v>99.09999999999999</v>
      </c>
    </row>
    <row r="201">
      <c r="A201" t="inlineStr">
        <is>
          <t>SIMULATED Food Waste Remote Study</t>
        </is>
      </c>
      <c r="B201" t="inlineStr">
        <is>
          <t>RESP0025</t>
        </is>
      </c>
      <c r="C201" t="inlineStr">
        <is>
          <t>Stimulus</t>
        </is>
      </c>
      <c r="D201" t="inlineStr">
        <is>
          <t>foodwaste_visual</t>
        </is>
      </c>
      <c r="E201" t="n">
        <v>62</v>
      </c>
      <c r="F201" t="inlineStr">
        <is>
          <t>Negative Valence</t>
        </is>
      </c>
      <c r="G201" t="n">
        <v>-50</v>
      </c>
      <c r="H201" t="n">
        <v>15.32</v>
      </c>
      <c r="I201" t="n">
        <v>2</v>
      </c>
      <c r="J201" t="inlineStr">
        <is>
          <t>NA</t>
        </is>
      </c>
      <c r="K201" t="n">
        <v>99.09999999999999</v>
      </c>
    </row>
    <row r="202">
      <c r="A202" t="inlineStr">
        <is>
          <t>SIMULATED Food Waste Remote Study</t>
        </is>
      </c>
      <c r="B202" t="inlineStr">
        <is>
          <t>RESP0026</t>
        </is>
      </c>
      <c r="C202" t="inlineStr">
        <is>
          <t>Stimulus</t>
        </is>
      </c>
      <c r="D202" t="inlineStr">
        <is>
          <t>foodwaste_narrative</t>
        </is>
      </c>
      <c r="E202" t="n">
        <v>60</v>
      </c>
      <c r="F202" t="inlineStr">
        <is>
          <t>Engagement</t>
        </is>
      </c>
      <c r="G202" t="n">
        <v>50</v>
      </c>
      <c r="H202" t="n">
        <v>55</v>
      </c>
      <c r="I202" t="n">
        <v>9</v>
      </c>
      <c r="J202" t="inlineStr">
        <is>
          <t>NA</t>
        </is>
      </c>
      <c r="K202" t="n">
        <v>96.5</v>
      </c>
    </row>
    <row r="203">
      <c r="A203" t="inlineStr">
        <is>
          <t>SIMULATED Food Waste Remote Study</t>
        </is>
      </c>
      <c r="B203" t="inlineStr">
        <is>
          <t>RESP0026</t>
        </is>
      </c>
      <c r="C203" t="inlineStr">
        <is>
          <t>Stimulus</t>
        </is>
      </c>
      <c r="D203" t="inlineStr">
        <is>
          <t>foodwaste_narrative</t>
        </is>
      </c>
      <c r="E203" t="n">
        <v>60</v>
      </c>
      <c r="F203" t="inlineStr">
        <is>
          <t>Joy</t>
        </is>
      </c>
      <c r="G203" t="n">
        <v>50</v>
      </c>
      <c r="H203" t="n">
        <v>0</v>
      </c>
      <c r="I203" t="n">
        <v>0</v>
      </c>
      <c r="J203" t="inlineStr">
        <is>
          <t>NA</t>
        </is>
      </c>
      <c r="K203" t="n">
        <v>96.5</v>
      </c>
    </row>
    <row r="204">
      <c r="A204" t="inlineStr">
        <is>
          <t>SIMULATED Food Waste Remote Study</t>
        </is>
      </c>
      <c r="B204" t="inlineStr">
        <is>
          <t>RESP0026</t>
        </is>
      </c>
      <c r="C204" t="inlineStr">
        <is>
          <t>Stimulus</t>
        </is>
      </c>
      <c r="D204" t="inlineStr">
        <is>
          <t>foodwaste_narrative</t>
        </is>
      </c>
      <c r="E204" t="n">
        <v>60</v>
      </c>
      <c r="F204" t="inlineStr">
        <is>
          <t>Brow Furrow</t>
        </is>
      </c>
      <c r="G204" t="n">
        <v>50</v>
      </c>
      <c r="H204" t="n">
        <v>0</v>
      </c>
      <c r="I204" t="n">
        <v>0</v>
      </c>
      <c r="J204" t="inlineStr">
        <is>
          <t>NA</t>
        </is>
      </c>
      <c r="K204" t="n">
        <v>96.5</v>
      </c>
    </row>
    <row r="205">
      <c r="A205" t="inlineStr">
        <is>
          <t>SIMULATED Food Waste Remote Study</t>
        </is>
      </c>
      <c r="B205" t="inlineStr">
        <is>
          <t>RESP0026</t>
        </is>
      </c>
      <c r="C205" t="inlineStr">
        <is>
          <t>Stimulus</t>
        </is>
      </c>
      <c r="D205" t="inlineStr">
        <is>
          <t>foodwaste_narrative</t>
        </is>
      </c>
      <c r="E205" t="n">
        <v>60</v>
      </c>
      <c r="F205" t="inlineStr">
        <is>
          <t>Positive Valence</t>
        </is>
      </c>
      <c r="G205" t="n">
        <v>50</v>
      </c>
      <c r="H205" t="n">
        <v>0</v>
      </c>
      <c r="I205" t="n">
        <v>0</v>
      </c>
      <c r="J205" t="inlineStr">
        <is>
          <t>NA</t>
        </is>
      </c>
      <c r="K205" t="n">
        <v>96.5</v>
      </c>
    </row>
    <row r="206">
      <c r="A206" t="inlineStr">
        <is>
          <t>SIMULATED Food Waste Remote Study</t>
        </is>
      </c>
      <c r="B206" t="inlineStr">
        <is>
          <t>RESP0026</t>
        </is>
      </c>
      <c r="C206" t="inlineStr">
        <is>
          <t>Stimulus</t>
        </is>
      </c>
      <c r="D206" t="inlineStr">
        <is>
          <t>foodwaste_narrative</t>
        </is>
      </c>
      <c r="E206" t="n">
        <v>60</v>
      </c>
      <c r="F206" t="inlineStr">
        <is>
          <t>Negative Valence</t>
        </is>
      </c>
      <c r="G206" t="n">
        <v>-50</v>
      </c>
      <c r="H206" t="n">
        <v>1.06</v>
      </c>
      <c r="I206" t="n">
        <v>1</v>
      </c>
      <c r="J206" t="inlineStr">
        <is>
          <t>NA</t>
        </is>
      </c>
      <c r="K206" t="n">
        <v>96.5</v>
      </c>
    </row>
    <row r="207">
      <c r="A207" t="inlineStr">
        <is>
          <t>SIMULATED Food Waste Remote Study</t>
        </is>
      </c>
      <c r="B207" t="inlineStr">
        <is>
          <t>RESP0026</t>
        </is>
      </c>
      <c r="C207" t="inlineStr">
        <is>
          <t>Stimulus</t>
        </is>
      </c>
      <c r="D207" t="inlineStr">
        <is>
          <t>foodwaste_visual</t>
        </is>
      </c>
      <c r="E207" t="n">
        <v>62</v>
      </c>
      <c r="F207" t="inlineStr">
        <is>
          <t>Engagement</t>
        </is>
      </c>
      <c r="G207" t="n">
        <v>50</v>
      </c>
      <c r="H207" t="n">
        <v>76.67</v>
      </c>
      <c r="I207" t="n">
        <v>16</v>
      </c>
      <c r="J207" t="inlineStr">
        <is>
          <t>NA</t>
        </is>
      </c>
      <c r="K207" t="n">
        <v>93.09999999999999</v>
      </c>
    </row>
    <row r="208">
      <c r="A208" t="inlineStr">
        <is>
          <t>SIMULATED Food Waste Remote Study</t>
        </is>
      </c>
      <c r="B208" t="inlineStr">
        <is>
          <t>RESP0026</t>
        </is>
      </c>
      <c r="C208" t="inlineStr">
        <is>
          <t>Stimulus</t>
        </is>
      </c>
      <c r="D208" t="inlineStr">
        <is>
          <t>foodwaste_visual</t>
        </is>
      </c>
      <c r="E208" t="n">
        <v>62</v>
      </c>
      <c r="F208" t="inlineStr">
        <is>
          <t>Joy</t>
        </is>
      </c>
      <c r="G208" t="n">
        <v>50</v>
      </c>
      <c r="H208" t="n">
        <v>6.67</v>
      </c>
      <c r="I208" t="n">
        <v>1</v>
      </c>
      <c r="J208" t="inlineStr">
        <is>
          <t>NA</t>
        </is>
      </c>
      <c r="K208" t="n">
        <v>93.09999999999999</v>
      </c>
    </row>
    <row r="209">
      <c r="A209" t="inlineStr">
        <is>
          <t>SIMULATED Food Waste Remote Study</t>
        </is>
      </c>
      <c r="B209" t="inlineStr">
        <is>
          <t>RESP0026</t>
        </is>
      </c>
      <c r="C209" t="inlineStr">
        <is>
          <t>Stimulus</t>
        </is>
      </c>
      <c r="D209" t="inlineStr">
        <is>
          <t>foodwaste_visual</t>
        </is>
      </c>
      <c r="E209" t="n">
        <v>62</v>
      </c>
      <c r="F209" t="inlineStr">
        <is>
          <t>Brow Furrow</t>
        </is>
      </c>
      <c r="G209" t="n">
        <v>50</v>
      </c>
      <c r="H209" t="n">
        <v>1.02</v>
      </c>
      <c r="I209" t="n">
        <v>1</v>
      </c>
      <c r="J209" t="inlineStr">
        <is>
          <t>NA</t>
        </is>
      </c>
      <c r="K209" t="n">
        <v>93.09999999999999</v>
      </c>
    </row>
    <row r="210">
      <c r="A210" t="inlineStr">
        <is>
          <t>SIMULATED Food Waste Remote Study</t>
        </is>
      </c>
      <c r="B210" t="inlineStr">
        <is>
          <t>RESP0026</t>
        </is>
      </c>
      <c r="C210" t="inlineStr">
        <is>
          <t>Stimulus</t>
        </is>
      </c>
      <c r="D210" t="inlineStr">
        <is>
          <t>foodwaste_visual</t>
        </is>
      </c>
      <c r="E210" t="n">
        <v>62</v>
      </c>
      <c r="F210" t="inlineStr">
        <is>
          <t>Positive Valence</t>
        </is>
      </c>
      <c r="G210" t="n">
        <v>50</v>
      </c>
      <c r="H210" t="n">
        <v>23.06</v>
      </c>
      <c r="I210" t="n">
        <v>6</v>
      </c>
      <c r="J210" t="inlineStr">
        <is>
          <t>NA</t>
        </is>
      </c>
      <c r="K210" t="n">
        <v>93.09999999999999</v>
      </c>
    </row>
    <row r="211">
      <c r="A211" t="inlineStr">
        <is>
          <t>SIMULATED Food Waste Remote Study</t>
        </is>
      </c>
      <c r="B211" t="inlineStr">
        <is>
          <t>RESP0026</t>
        </is>
      </c>
      <c r="C211" t="inlineStr">
        <is>
          <t>Stimulus</t>
        </is>
      </c>
      <c r="D211" t="inlineStr">
        <is>
          <t>foodwaste_visual</t>
        </is>
      </c>
      <c r="E211" t="n">
        <v>62</v>
      </c>
      <c r="F211" t="inlineStr">
        <is>
          <t>Negative Valence</t>
        </is>
      </c>
      <c r="G211" t="n">
        <v>-50</v>
      </c>
      <c r="H211" t="n">
        <v>6.94</v>
      </c>
      <c r="I211" t="n">
        <v>2</v>
      </c>
      <c r="J211" t="inlineStr">
        <is>
          <t>NA</t>
        </is>
      </c>
      <c r="K211" t="n">
        <v>93.09999999999999</v>
      </c>
    </row>
    <row r="212">
      <c r="A212" t="inlineStr">
        <is>
          <t>SIMULATED Food Waste Remote Study</t>
        </is>
      </c>
      <c r="B212" t="inlineStr">
        <is>
          <t>RESP0028</t>
        </is>
      </c>
      <c r="C212" t="inlineStr">
        <is>
          <t>Stimulus</t>
        </is>
      </c>
      <c r="D212" t="inlineStr">
        <is>
          <t>foodwaste_narrative</t>
        </is>
      </c>
      <c r="E212" t="n">
        <v>60</v>
      </c>
      <c r="F212" t="inlineStr">
        <is>
          <t>Engagement</t>
        </is>
      </c>
      <c r="G212" t="n">
        <v>50</v>
      </c>
      <c r="H212" t="n">
        <v>24.5</v>
      </c>
      <c r="I212" t="n">
        <v>9</v>
      </c>
      <c r="J212" t="inlineStr">
        <is>
          <t>NA</t>
        </is>
      </c>
      <c r="K212" t="n">
        <v>98.59999999999999</v>
      </c>
    </row>
    <row r="213">
      <c r="A213" t="inlineStr">
        <is>
          <t>SIMULATED Food Waste Remote Study</t>
        </is>
      </c>
      <c r="B213" t="inlineStr">
        <is>
          <t>RESP0028</t>
        </is>
      </c>
      <c r="C213" t="inlineStr">
        <is>
          <t>Stimulus</t>
        </is>
      </c>
      <c r="D213" t="inlineStr">
        <is>
          <t>foodwaste_narrative</t>
        </is>
      </c>
      <c r="E213" t="n">
        <v>60</v>
      </c>
      <c r="F213" t="inlineStr">
        <is>
          <t>Joy</t>
        </is>
      </c>
      <c r="G213" t="n">
        <v>50</v>
      </c>
      <c r="H213" t="n">
        <v>0</v>
      </c>
      <c r="I213" t="n">
        <v>0</v>
      </c>
      <c r="J213" t="inlineStr">
        <is>
          <t>NA</t>
        </is>
      </c>
      <c r="K213" t="n">
        <v>98.59999999999999</v>
      </c>
    </row>
    <row r="214">
      <c r="A214" t="inlineStr">
        <is>
          <t>SIMULATED Food Waste Remote Study</t>
        </is>
      </c>
      <c r="B214" t="inlineStr">
        <is>
          <t>RESP0028</t>
        </is>
      </c>
      <c r="C214" t="inlineStr">
        <is>
          <t>Stimulus</t>
        </is>
      </c>
      <c r="D214" t="inlineStr">
        <is>
          <t>foodwaste_narrative</t>
        </is>
      </c>
      <c r="E214" t="n">
        <v>60</v>
      </c>
      <c r="F214" t="inlineStr">
        <is>
          <t>Brow Furrow</t>
        </is>
      </c>
      <c r="G214" t="n">
        <v>50</v>
      </c>
      <c r="H214" t="n">
        <v>5</v>
      </c>
      <c r="I214" t="n">
        <v>2</v>
      </c>
      <c r="J214" t="inlineStr">
        <is>
          <t>NA</t>
        </is>
      </c>
      <c r="K214" t="n">
        <v>98.59999999999999</v>
      </c>
    </row>
    <row r="215">
      <c r="A215" t="inlineStr">
        <is>
          <t>SIMULATED Food Waste Remote Study</t>
        </is>
      </c>
      <c r="B215" t="inlineStr">
        <is>
          <t>RESP0028</t>
        </is>
      </c>
      <c r="C215" t="inlineStr">
        <is>
          <t>Stimulus</t>
        </is>
      </c>
      <c r="D215" t="inlineStr">
        <is>
          <t>foodwaste_narrative</t>
        </is>
      </c>
      <c r="E215" t="n">
        <v>60</v>
      </c>
      <c r="F215" t="inlineStr">
        <is>
          <t>Positive Valence</t>
        </is>
      </c>
      <c r="G215" t="n">
        <v>50</v>
      </c>
      <c r="H215" t="n">
        <v>0</v>
      </c>
      <c r="I215" t="n">
        <v>0</v>
      </c>
      <c r="J215" t="inlineStr">
        <is>
          <t>NA</t>
        </is>
      </c>
      <c r="K215" t="n">
        <v>98.59999999999999</v>
      </c>
    </row>
    <row r="216">
      <c r="A216" t="inlineStr">
        <is>
          <t>SIMULATED Food Waste Remote Study</t>
        </is>
      </c>
      <c r="B216" t="inlineStr">
        <is>
          <t>RESP0028</t>
        </is>
      </c>
      <c r="C216" t="inlineStr">
        <is>
          <t>Stimulus</t>
        </is>
      </c>
      <c r="D216" t="inlineStr">
        <is>
          <t>foodwaste_narrative</t>
        </is>
      </c>
      <c r="E216" t="n">
        <v>60</v>
      </c>
      <c r="F216" t="inlineStr">
        <is>
          <t>Negative Valence</t>
        </is>
      </c>
      <c r="G216" t="n">
        <v>-50</v>
      </c>
      <c r="H216" t="n">
        <v>0</v>
      </c>
      <c r="I216" t="n">
        <v>0</v>
      </c>
      <c r="J216" t="inlineStr">
        <is>
          <t>NA</t>
        </is>
      </c>
      <c r="K216" t="n">
        <v>98.59999999999999</v>
      </c>
    </row>
    <row r="217">
      <c r="A217" t="inlineStr">
        <is>
          <t>SIMULATED Food Waste Remote Study</t>
        </is>
      </c>
      <c r="B217" t="inlineStr">
        <is>
          <t>RESP0028</t>
        </is>
      </c>
      <c r="C217" t="inlineStr">
        <is>
          <t>Stimulus</t>
        </is>
      </c>
      <c r="D217" t="inlineStr">
        <is>
          <t>foodwaste_visual</t>
        </is>
      </c>
      <c r="E217" t="n">
        <v>62</v>
      </c>
      <c r="F217" t="inlineStr">
        <is>
          <t>Engagement</t>
        </is>
      </c>
      <c r="G217" t="n">
        <v>50</v>
      </c>
      <c r="H217" t="n">
        <v>25.48</v>
      </c>
      <c r="I217" t="n">
        <v>3</v>
      </c>
      <c r="J217" t="inlineStr">
        <is>
          <t>NA</t>
        </is>
      </c>
      <c r="K217" t="n">
        <v>99.40000000000001</v>
      </c>
    </row>
    <row r="218">
      <c r="A218" t="inlineStr">
        <is>
          <t>SIMULATED Food Waste Remote Study</t>
        </is>
      </c>
      <c r="B218" t="inlineStr">
        <is>
          <t>RESP0028</t>
        </is>
      </c>
      <c r="C218" t="inlineStr">
        <is>
          <t>Stimulus</t>
        </is>
      </c>
      <c r="D218" t="inlineStr">
        <is>
          <t>foodwaste_visual</t>
        </is>
      </c>
      <c r="E218" t="n">
        <v>62</v>
      </c>
      <c r="F218" t="inlineStr">
        <is>
          <t>Joy</t>
        </is>
      </c>
      <c r="G218" t="n">
        <v>50</v>
      </c>
      <c r="H218" t="n">
        <v>0.05</v>
      </c>
      <c r="I218" t="n">
        <v>1</v>
      </c>
      <c r="J218" t="inlineStr">
        <is>
          <t>NA</t>
        </is>
      </c>
      <c r="K218" t="n">
        <v>99.40000000000001</v>
      </c>
    </row>
    <row r="219">
      <c r="A219" t="inlineStr">
        <is>
          <t>SIMULATED Food Waste Remote Study</t>
        </is>
      </c>
      <c r="B219" t="inlineStr">
        <is>
          <t>RESP0028</t>
        </is>
      </c>
      <c r="C219" t="inlineStr">
        <is>
          <t>Stimulus</t>
        </is>
      </c>
      <c r="D219" t="inlineStr">
        <is>
          <t>foodwaste_visual</t>
        </is>
      </c>
      <c r="E219" t="n">
        <v>62</v>
      </c>
      <c r="F219" t="inlineStr">
        <is>
          <t>Brow Furrow</t>
        </is>
      </c>
      <c r="G219" t="n">
        <v>50</v>
      </c>
      <c r="H219" t="n">
        <v>0</v>
      </c>
      <c r="I219" t="n">
        <v>0</v>
      </c>
      <c r="J219" t="inlineStr">
        <is>
          <t>NA</t>
        </is>
      </c>
      <c r="K219" t="n">
        <v>99.40000000000001</v>
      </c>
    </row>
    <row r="220">
      <c r="A220" t="inlineStr">
        <is>
          <t>SIMULATED Food Waste Remote Study</t>
        </is>
      </c>
      <c r="B220" t="inlineStr">
        <is>
          <t>RESP0028</t>
        </is>
      </c>
      <c r="C220" t="inlineStr">
        <is>
          <t>Stimulus</t>
        </is>
      </c>
      <c r="D220" t="inlineStr">
        <is>
          <t>foodwaste_visual</t>
        </is>
      </c>
      <c r="E220" t="n">
        <v>62</v>
      </c>
      <c r="F220" t="inlineStr">
        <is>
          <t>Positive Valence</t>
        </is>
      </c>
      <c r="G220" t="n">
        <v>50</v>
      </c>
      <c r="H220" t="n">
        <v>0</v>
      </c>
      <c r="I220" t="n">
        <v>0</v>
      </c>
      <c r="J220" t="inlineStr">
        <is>
          <t>NA</t>
        </is>
      </c>
      <c r="K220" t="n">
        <v>99.40000000000001</v>
      </c>
    </row>
    <row r="221">
      <c r="A221" t="inlineStr">
        <is>
          <t>SIMULATED Food Waste Remote Study</t>
        </is>
      </c>
      <c r="B221" t="inlineStr">
        <is>
          <t>RESP0028</t>
        </is>
      </c>
      <c r="C221" t="inlineStr">
        <is>
          <t>Stimulus</t>
        </is>
      </c>
      <c r="D221" t="inlineStr">
        <is>
          <t>foodwaste_visual</t>
        </is>
      </c>
      <c r="E221" t="n">
        <v>62</v>
      </c>
      <c r="F221" t="inlineStr">
        <is>
          <t>Negative Valence</t>
        </is>
      </c>
      <c r="G221" t="n">
        <v>-50</v>
      </c>
      <c r="H221" t="n">
        <v>0</v>
      </c>
      <c r="I221" t="n">
        <v>0</v>
      </c>
      <c r="J221" t="inlineStr">
        <is>
          <t>NA</t>
        </is>
      </c>
      <c r="K221" t="n">
        <v>99.40000000000001</v>
      </c>
    </row>
    <row r="222">
      <c r="A222" t="inlineStr">
        <is>
          <t>SIMULATED Food Waste Remote Study</t>
        </is>
      </c>
      <c r="B222" t="inlineStr">
        <is>
          <t>RESP0029</t>
        </is>
      </c>
      <c r="C222" t="inlineStr">
        <is>
          <t>Stimulus</t>
        </is>
      </c>
      <c r="D222" t="inlineStr">
        <is>
          <t>foodwaste_narrative</t>
        </is>
      </c>
      <c r="E222" t="n">
        <v>60</v>
      </c>
      <c r="F222" t="inlineStr">
        <is>
          <t>Engagement</t>
        </is>
      </c>
      <c r="G222" t="n">
        <v>50</v>
      </c>
      <c r="H222" t="n">
        <v>23.17</v>
      </c>
      <c r="I222" t="n">
        <v>4</v>
      </c>
      <c r="J222" t="inlineStr">
        <is>
          <t>NA</t>
        </is>
      </c>
      <c r="K222" t="n">
        <v>99.5</v>
      </c>
    </row>
    <row r="223">
      <c r="A223" t="inlineStr">
        <is>
          <t>SIMULATED Food Waste Remote Study</t>
        </is>
      </c>
      <c r="B223" t="inlineStr">
        <is>
          <t>RESP0029</t>
        </is>
      </c>
      <c r="C223" t="inlineStr">
        <is>
          <t>Stimulus</t>
        </is>
      </c>
      <c r="D223" t="inlineStr">
        <is>
          <t>foodwaste_narrative</t>
        </is>
      </c>
      <c r="E223" t="n">
        <v>60</v>
      </c>
      <c r="F223" t="inlineStr">
        <is>
          <t>Joy</t>
        </is>
      </c>
      <c r="G223" t="n">
        <v>50</v>
      </c>
      <c r="H223" t="n">
        <v>0</v>
      </c>
      <c r="I223" t="n">
        <v>0</v>
      </c>
      <c r="J223" t="inlineStr">
        <is>
          <t>NA</t>
        </is>
      </c>
      <c r="K223" t="n">
        <v>99.5</v>
      </c>
    </row>
    <row r="224">
      <c r="A224" t="inlineStr">
        <is>
          <t>SIMULATED Food Waste Remote Study</t>
        </is>
      </c>
      <c r="B224" t="inlineStr">
        <is>
          <t>RESP0029</t>
        </is>
      </c>
      <c r="C224" t="inlineStr">
        <is>
          <t>Stimulus</t>
        </is>
      </c>
      <c r="D224" t="inlineStr">
        <is>
          <t>foodwaste_narrative</t>
        </is>
      </c>
      <c r="E224" t="n">
        <v>60</v>
      </c>
      <c r="F224" t="inlineStr">
        <is>
          <t>Brow Furrow</t>
        </is>
      </c>
      <c r="G224" t="n">
        <v>50</v>
      </c>
      <c r="H224" t="n">
        <v>8.220000000000001</v>
      </c>
      <c r="I224" t="n">
        <v>1</v>
      </c>
      <c r="J224" t="inlineStr">
        <is>
          <t>NA</t>
        </is>
      </c>
      <c r="K224" t="n">
        <v>99.5</v>
      </c>
    </row>
    <row r="225">
      <c r="A225" t="inlineStr">
        <is>
          <t>SIMULATED Food Waste Remote Study</t>
        </is>
      </c>
      <c r="B225" t="inlineStr">
        <is>
          <t>RESP0029</t>
        </is>
      </c>
      <c r="C225" t="inlineStr">
        <is>
          <t>Stimulus</t>
        </is>
      </c>
      <c r="D225" t="inlineStr">
        <is>
          <t>foodwaste_narrative</t>
        </is>
      </c>
      <c r="E225" t="n">
        <v>60</v>
      </c>
      <c r="F225" t="inlineStr">
        <is>
          <t>Positive Valence</t>
        </is>
      </c>
      <c r="G225" t="n">
        <v>50</v>
      </c>
      <c r="H225" t="n">
        <v>0</v>
      </c>
      <c r="I225" t="n">
        <v>0</v>
      </c>
      <c r="J225" t="inlineStr">
        <is>
          <t>NA</t>
        </is>
      </c>
      <c r="K225" t="n">
        <v>99.5</v>
      </c>
    </row>
    <row r="226">
      <c r="A226" t="inlineStr">
        <is>
          <t>SIMULATED Food Waste Remote Study</t>
        </is>
      </c>
      <c r="B226" t="inlineStr">
        <is>
          <t>RESP0029</t>
        </is>
      </c>
      <c r="C226" t="inlineStr">
        <is>
          <t>Stimulus</t>
        </is>
      </c>
      <c r="D226" t="inlineStr">
        <is>
          <t>foodwaste_narrative</t>
        </is>
      </c>
      <c r="E226" t="n">
        <v>60</v>
      </c>
      <c r="F226" t="inlineStr">
        <is>
          <t>Negative Valence</t>
        </is>
      </c>
      <c r="G226" t="n">
        <v>-50</v>
      </c>
      <c r="H226" t="n">
        <v>0</v>
      </c>
      <c r="I226" t="n">
        <v>0</v>
      </c>
      <c r="J226" t="inlineStr">
        <is>
          <t>NA</t>
        </is>
      </c>
      <c r="K226" t="n">
        <v>99.5</v>
      </c>
    </row>
    <row r="227">
      <c r="A227" t="inlineStr">
        <is>
          <t>SIMULATED Food Waste Remote Study</t>
        </is>
      </c>
      <c r="B227" t="inlineStr">
        <is>
          <t>RESP0029</t>
        </is>
      </c>
      <c r="C227" t="inlineStr">
        <is>
          <t>Stimulus</t>
        </is>
      </c>
      <c r="D227" t="inlineStr">
        <is>
          <t>foodwaste_visual</t>
        </is>
      </c>
      <c r="E227" t="n">
        <v>62</v>
      </c>
      <c r="F227" t="inlineStr">
        <is>
          <t>Engagement</t>
        </is>
      </c>
      <c r="G227" t="n">
        <v>50</v>
      </c>
      <c r="H227" t="n">
        <v>85.16</v>
      </c>
      <c r="I227" t="n">
        <v>22</v>
      </c>
      <c r="J227" t="inlineStr">
        <is>
          <t>NA</t>
        </is>
      </c>
      <c r="K227" t="n">
        <v>99.5</v>
      </c>
    </row>
    <row r="228">
      <c r="A228" t="inlineStr">
        <is>
          <t>SIMULATED Food Waste Remote Study</t>
        </is>
      </c>
      <c r="B228" t="inlineStr">
        <is>
          <t>RESP0029</t>
        </is>
      </c>
      <c r="C228" t="inlineStr">
        <is>
          <t>Stimulus</t>
        </is>
      </c>
      <c r="D228" t="inlineStr">
        <is>
          <t>foodwaste_visual</t>
        </is>
      </c>
      <c r="E228" t="n">
        <v>62</v>
      </c>
      <c r="F228" t="inlineStr">
        <is>
          <t>Joy</t>
        </is>
      </c>
      <c r="G228" t="n">
        <v>50</v>
      </c>
      <c r="H228" t="n">
        <v>0</v>
      </c>
      <c r="I228" t="n">
        <v>0</v>
      </c>
      <c r="J228" t="inlineStr">
        <is>
          <t>NA</t>
        </is>
      </c>
      <c r="K228" t="n">
        <v>99.5</v>
      </c>
    </row>
    <row r="229">
      <c r="A229" t="inlineStr">
        <is>
          <t>SIMULATED Food Waste Remote Study</t>
        </is>
      </c>
      <c r="B229" t="inlineStr">
        <is>
          <t>RESP0029</t>
        </is>
      </c>
      <c r="C229" t="inlineStr">
        <is>
          <t>Stimulus</t>
        </is>
      </c>
      <c r="D229" t="inlineStr">
        <is>
          <t>foodwaste_visual</t>
        </is>
      </c>
      <c r="E229" t="n">
        <v>62</v>
      </c>
      <c r="F229" t="inlineStr">
        <is>
          <t>Brow Furrow</t>
        </is>
      </c>
      <c r="G229" t="n">
        <v>50</v>
      </c>
      <c r="H229" t="n">
        <v>0</v>
      </c>
      <c r="I229" t="n">
        <v>0</v>
      </c>
      <c r="J229" t="inlineStr">
        <is>
          <t>NA</t>
        </is>
      </c>
      <c r="K229" t="n">
        <v>99.5</v>
      </c>
    </row>
    <row r="230">
      <c r="A230" t="inlineStr">
        <is>
          <t>SIMULATED Food Waste Remote Study</t>
        </is>
      </c>
      <c r="B230" t="inlineStr">
        <is>
          <t>RESP0029</t>
        </is>
      </c>
      <c r="C230" t="inlineStr">
        <is>
          <t>Stimulus</t>
        </is>
      </c>
      <c r="D230" t="inlineStr">
        <is>
          <t>foodwaste_visual</t>
        </is>
      </c>
      <c r="E230" t="n">
        <v>62</v>
      </c>
      <c r="F230" t="inlineStr">
        <is>
          <t>Positive Valence</t>
        </is>
      </c>
      <c r="G230" t="n">
        <v>50</v>
      </c>
      <c r="H230" t="n">
        <v>14.03</v>
      </c>
      <c r="I230" t="n">
        <v>2</v>
      </c>
      <c r="J230" t="inlineStr">
        <is>
          <t>NA</t>
        </is>
      </c>
      <c r="K230" t="n">
        <v>99.5</v>
      </c>
    </row>
    <row r="231">
      <c r="A231" t="inlineStr">
        <is>
          <t>SIMULATED Food Waste Remote Study</t>
        </is>
      </c>
      <c r="B231" t="inlineStr">
        <is>
          <t>RESP0029</t>
        </is>
      </c>
      <c r="C231" t="inlineStr">
        <is>
          <t>Stimulus</t>
        </is>
      </c>
      <c r="D231" t="inlineStr">
        <is>
          <t>foodwaste_visual</t>
        </is>
      </c>
      <c r="E231" t="n">
        <v>62</v>
      </c>
      <c r="F231" t="inlineStr">
        <is>
          <t>Negative Valence</t>
        </is>
      </c>
      <c r="G231" t="n">
        <v>-50</v>
      </c>
      <c r="H231" t="n">
        <v>3.01</v>
      </c>
      <c r="I231" t="n">
        <v>3</v>
      </c>
      <c r="J231" t="inlineStr">
        <is>
          <t>NA</t>
        </is>
      </c>
      <c r="K231" t="n">
        <v>99.5</v>
      </c>
    </row>
    <row r="232">
      <c r="A232" t="inlineStr">
        <is>
          <t>SIMULATED Food Waste Remote Study</t>
        </is>
      </c>
      <c r="B232" t="inlineStr">
        <is>
          <t>RESP0031</t>
        </is>
      </c>
      <c r="C232" t="inlineStr">
        <is>
          <t>Stimulus</t>
        </is>
      </c>
      <c r="D232" t="inlineStr">
        <is>
          <t>foodwaste_narrative</t>
        </is>
      </c>
      <c r="E232" t="n">
        <v>60</v>
      </c>
      <c r="F232" t="inlineStr">
        <is>
          <t>Engagement</t>
        </is>
      </c>
      <c r="G232" t="n">
        <v>50</v>
      </c>
      <c r="H232" t="n">
        <v>65.83</v>
      </c>
      <c r="I232" t="n">
        <v>15</v>
      </c>
      <c r="J232" t="inlineStr">
        <is>
          <t>NA</t>
        </is>
      </c>
      <c r="K232" t="n">
        <v>99.7</v>
      </c>
    </row>
    <row r="233">
      <c r="A233" t="inlineStr">
        <is>
          <t>SIMULATED Food Waste Remote Study</t>
        </is>
      </c>
      <c r="B233" t="inlineStr">
        <is>
          <t>RESP0031</t>
        </is>
      </c>
      <c r="C233" t="inlineStr">
        <is>
          <t>Stimulus</t>
        </is>
      </c>
      <c r="D233" t="inlineStr">
        <is>
          <t>foodwaste_narrative</t>
        </is>
      </c>
      <c r="E233" t="n">
        <v>60</v>
      </c>
      <c r="F233" t="inlineStr">
        <is>
          <t>Joy</t>
        </is>
      </c>
      <c r="G233" t="n">
        <v>50</v>
      </c>
      <c r="H233" t="n">
        <v>0</v>
      </c>
      <c r="I233" t="n">
        <v>0</v>
      </c>
      <c r="J233" t="inlineStr">
        <is>
          <t>NA</t>
        </is>
      </c>
      <c r="K233" t="n">
        <v>99.7</v>
      </c>
    </row>
    <row r="234">
      <c r="A234" t="inlineStr">
        <is>
          <t>SIMULATED Food Waste Remote Study</t>
        </is>
      </c>
      <c r="B234" t="inlineStr">
        <is>
          <t>RESP0031</t>
        </is>
      </c>
      <c r="C234" t="inlineStr">
        <is>
          <t>Stimulus</t>
        </is>
      </c>
      <c r="D234" t="inlineStr">
        <is>
          <t>foodwaste_narrative</t>
        </is>
      </c>
      <c r="E234" t="n">
        <v>60</v>
      </c>
      <c r="F234" t="inlineStr">
        <is>
          <t>Brow Furrow</t>
        </is>
      </c>
      <c r="G234" t="n">
        <v>50</v>
      </c>
      <c r="H234" t="n">
        <v>3.39</v>
      </c>
      <c r="I234" t="n">
        <v>2</v>
      </c>
      <c r="J234" t="inlineStr">
        <is>
          <t>NA</t>
        </is>
      </c>
      <c r="K234" t="n">
        <v>99.7</v>
      </c>
    </row>
    <row r="235">
      <c r="A235" t="inlineStr">
        <is>
          <t>SIMULATED Food Waste Remote Study</t>
        </is>
      </c>
      <c r="B235" t="inlineStr">
        <is>
          <t>RESP0031</t>
        </is>
      </c>
      <c r="C235" t="inlineStr">
        <is>
          <t>Stimulus</t>
        </is>
      </c>
      <c r="D235" t="inlineStr">
        <is>
          <t>foodwaste_narrative</t>
        </is>
      </c>
      <c r="E235" t="n">
        <v>60</v>
      </c>
      <c r="F235" t="inlineStr">
        <is>
          <t>Positive Valence</t>
        </is>
      </c>
      <c r="G235" t="n">
        <v>50</v>
      </c>
      <c r="H235" t="n">
        <v>3.28</v>
      </c>
      <c r="I235" t="n">
        <v>1</v>
      </c>
      <c r="J235" t="inlineStr">
        <is>
          <t>NA</t>
        </is>
      </c>
      <c r="K235" t="n">
        <v>99.7</v>
      </c>
    </row>
    <row r="236">
      <c r="A236" t="inlineStr">
        <is>
          <t>SIMULATED Food Waste Remote Study</t>
        </is>
      </c>
      <c r="B236" t="inlineStr">
        <is>
          <t>RESP0031</t>
        </is>
      </c>
      <c r="C236" t="inlineStr">
        <is>
          <t>Stimulus</t>
        </is>
      </c>
      <c r="D236" t="inlineStr">
        <is>
          <t>foodwaste_narrative</t>
        </is>
      </c>
      <c r="E236" t="n">
        <v>60</v>
      </c>
      <c r="F236" t="inlineStr">
        <is>
          <t>Negative Valence</t>
        </is>
      </c>
      <c r="G236" t="n">
        <v>-50</v>
      </c>
      <c r="H236" t="n">
        <v>0</v>
      </c>
      <c r="I236" t="n">
        <v>0</v>
      </c>
      <c r="J236" t="inlineStr">
        <is>
          <t>NA</t>
        </is>
      </c>
      <c r="K236" t="n">
        <v>99.7</v>
      </c>
    </row>
    <row r="237">
      <c r="A237" t="inlineStr">
        <is>
          <t>SIMULATED Food Waste Remote Study</t>
        </is>
      </c>
      <c r="B237" t="inlineStr">
        <is>
          <t>RESP0031</t>
        </is>
      </c>
      <c r="C237" t="inlineStr">
        <is>
          <t>Stimulus</t>
        </is>
      </c>
      <c r="D237" t="inlineStr">
        <is>
          <t>foodwaste_visual</t>
        </is>
      </c>
      <c r="E237" t="n">
        <v>62</v>
      </c>
      <c r="F237" t="inlineStr">
        <is>
          <t>Engagement</t>
        </is>
      </c>
      <c r="G237" t="n">
        <v>50</v>
      </c>
      <c r="H237" t="n">
        <v>2.85</v>
      </c>
      <c r="I237" t="n">
        <v>1</v>
      </c>
      <c r="J237" t="inlineStr">
        <is>
          <t>NA</t>
        </is>
      </c>
      <c r="K237" t="n">
        <v>99.40000000000001</v>
      </c>
    </row>
    <row r="238">
      <c r="A238" t="inlineStr">
        <is>
          <t>SIMULATED Food Waste Remote Study</t>
        </is>
      </c>
      <c r="B238" t="inlineStr">
        <is>
          <t>RESP0031</t>
        </is>
      </c>
      <c r="C238" t="inlineStr">
        <is>
          <t>Stimulus</t>
        </is>
      </c>
      <c r="D238" t="inlineStr">
        <is>
          <t>foodwaste_visual</t>
        </is>
      </c>
      <c r="E238" t="n">
        <v>62</v>
      </c>
      <c r="F238" t="inlineStr">
        <is>
          <t>Joy</t>
        </is>
      </c>
      <c r="G238" t="n">
        <v>50</v>
      </c>
      <c r="H238" t="n">
        <v>7.2</v>
      </c>
      <c r="I238" t="n">
        <v>5</v>
      </c>
      <c r="J238" t="inlineStr">
        <is>
          <t>NA</t>
        </is>
      </c>
      <c r="K238" t="n">
        <v>99.40000000000001</v>
      </c>
    </row>
    <row r="239">
      <c r="A239" t="inlineStr">
        <is>
          <t>SIMULATED Food Waste Remote Study</t>
        </is>
      </c>
      <c r="B239" t="inlineStr">
        <is>
          <t>RESP0031</t>
        </is>
      </c>
      <c r="C239" t="inlineStr">
        <is>
          <t>Stimulus</t>
        </is>
      </c>
      <c r="D239" t="inlineStr">
        <is>
          <t>foodwaste_visual</t>
        </is>
      </c>
      <c r="E239" t="n">
        <v>62</v>
      </c>
      <c r="F239" t="inlineStr">
        <is>
          <t>Brow Furrow</t>
        </is>
      </c>
      <c r="G239" t="n">
        <v>50</v>
      </c>
      <c r="H239" t="n">
        <v>6.61</v>
      </c>
      <c r="I239" t="n">
        <v>4</v>
      </c>
      <c r="J239" t="inlineStr">
        <is>
          <t>NA</t>
        </is>
      </c>
      <c r="K239" t="n">
        <v>99.40000000000001</v>
      </c>
    </row>
    <row r="240">
      <c r="A240" t="inlineStr">
        <is>
          <t>SIMULATED Food Waste Remote Study</t>
        </is>
      </c>
      <c r="B240" t="inlineStr">
        <is>
          <t>RESP0031</t>
        </is>
      </c>
      <c r="C240" t="inlineStr">
        <is>
          <t>Stimulus</t>
        </is>
      </c>
      <c r="D240" t="inlineStr">
        <is>
          <t>foodwaste_visual</t>
        </is>
      </c>
      <c r="E240" t="n">
        <v>62</v>
      </c>
      <c r="F240" t="inlineStr">
        <is>
          <t>Positive Valence</t>
        </is>
      </c>
      <c r="G240" t="n">
        <v>50</v>
      </c>
      <c r="H240" t="n">
        <v>0</v>
      </c>
      <c r="I240" t="n">
        <v>0</v>
      </c>
      <c r="J240" t="inlineStr">
        <is>
          <t>NA</t>
        </is>
      </c>
      <c r="K240" t="n">
        <v>99.40000000000001</v>
      </c>
    </row>
    <row r="241">
      <c r="A241" t="inlineStr">
        <is>
          <t>SIMULATED Food Waste Remote Study</t>
        </is>
      </c>
      <c r="B241" t="inlineStr">
        <is>
          <t>RESP0031</t>
        </is>
      </c>
      <c r="C241" t="inlineStr">
        <is>
          <t>Stimulus</t>
        </is>
      </c>
      <c r="D241" t="inlineStr">
        <is>
          <t>foodwaste_visual</t>
        </is>
      </c>
      <c r="E241" t="n">
        <v>62</v>
      </c>
      <c r="F241" t="inlineStr">
        <is>
          <t>Negative Valence</t>
        </is>
      </c>
      <c r="G241" t="n">
        <v>-50</v>
      </c>
      <c r="H241" t="n">
        <v>11.77</v>
      </c>
      <c r="I241" t="n">
        <v>7</v>
      </c>
      <c r="J241" t="inlineStr">
        <is>
          <t>NA</t>
        </is>
      </c>
      <c r="K241" t="n">
        <v>99.40000000000001</v>
      </c>
    </row>
    <row r="242">
      <c r="A242" t="inlineStr">
        <is>
          <t>SIMULATED Food Waste Remote Study</t>
        </is>
      </c>
      <c r="B242" t="inlineStr">
        <is>
          <t>RESP0032</t>
        </is>
      </c>
      <c r="C242" t="inlineStr">
        <is>
          <t>Stimulus</t>
        </is>
      </c>
      <c r="D242" t="inlineStr">
        <is>
          <t>foodwaste_narrative</t>
        </is>
      </c>
      <c r="E242" t="n">
        <v>60</v>
      </c>
      <c r="F242" t="inlineStr">
        <is>
          <t>Engagement</t>
        </is>
      </c>
      <c r="G242" t="n">
        <v>50</v>
      </c>
      <c r="H242" t="n">
        <v>13.33</v>
      </c>
      <c r="I242" t="n">
        <v>22</v>
      </c>
      <c r="J242" t="inlineStr">
        <is>
          <t>NA</t>
        </is>
      </c>
      <c r="K242" t="n">
        <v>70.90000000000001</v>
      </c>
    </row>
    <row r="243">
      <c r="A243" t="inlineStr">
        <is>
          <t>SIMULATED Food Waste Remote Study</t>
        </is>
      </c>
      <c r="B243" t="inlineStr">
        <is>
          <t>RESP0032</t>
        </is>
      </c>
      <c r="C243" t="inlineStr">
        <is>
          <t>Stimulus</t>
        </is>
      </c>
      <c r="D243" t="inlineStr">
        <is>
          <t>foodwaste_narrative</t>
        </is>
      </c>
      <c r="E243" t="n">
        <v>60</v>
      </c>
      <c r="F243" t="inlineStr">
        <is>
          <t>Joy</t>
        </is>
      </c>
      <c r="G243" t="n">
        <v>50</v>
      </c>
      <c r="H243" t="n">
        <v>2.33</v>
      </c>
      <c r="I243" t="n">
        <v>6</v>
      </c>
      <c r="J243" t="inlineStr">
        <is>
          <t>NA</t>
        </is>
      </c>
      <c r="K243" t="n">
        <v>70.90000000000001</v>
      </c>
    </row>
    <row r="244">
      <c r="A244" t="inlineStr">
        <is>
          <t>SIMULATED Food Waste Remote Study</t>
        </is>
      </c>
      <c r="B244" t="inlineStr">
        <is>
          <t>RESP0032</t>
        </is>
      </c>
      <c r="C244" t="inlineStr">
        <is>
          <t>Stimulus</t>
        </is>
      </c>
      <c r="D244" t="inlineStr">
        <is>
          <t>foodwaste_narrative</t>
        </is>
      </c>
      <c r="E244" t="n">
        <v>60</v>
      </c>
      <c r="F244" t="inlineStr">
        <is>
          <t>Brow Furrow</t>
        </is>
      </c>
      <c r="G244" t="n">
        <v>50</v>
      </c>
      <c r="H244" t="n">
        <v>6.17</v>
      </c>
      <c r="I244" t="n">
        <v>6</v>
      </c>
      <c r="J244" t="inlineStr">
        <is>
          <t>NA</t>
        </is>
      </c>
      <c r="K244" t="n">
        <v>70.90000000000001</v>
      </c>
    </row>
    <row r="245">
      <c r="A245" t="inlineStr">
        <is>
          <t>SIMULATED Food Waste Remote Study</t>
        </is>
      </c>
      <c r="B245" t="inlineStr">
        <is>
          <t>RESP0032</t>
        </is>
      </c>
      <c r="C245" t="inlineStr">
        <is>
          <t>Stimulus</t>
        </is>
      </c>
      <c r="D245" t="inlineStr">
        <is>
          <t>foodwaste_narrative</t>
        </is>
      </c>
      <c r="E245" t="n">
        <v>60</v>
      </c>
      <c r="F245" t="inlineStr">
        <is>
          <t>Positive Valence</t>
        </is>
      </c>
      <c r="G245" t="n">
        <v>50</v>
      </c>
      <c r="H245" t="n">
        <v>13.39</v>
      </c>
      <c r="I245" t="n">
        <v>8</v>
      </c>
      <c r="J245" t="inlineStr">
        <is>
          <t>NA</t>
        </is>
      </c>
      <c r="K245" t="n">
        <v>70.90000000000001</v>
      </c>
    </row>
    <row r="246">
      <c r="A246" t="inlineStr">
        <is>
          <t>SIMULATED Food Waste Remote Study</t>
        </is>
      </c>
      <c r="B246" t="inlineStr">
        <is>
          <t>RESP0032</t>
        </is>
      </c>
      <c r="C246" t="inlineStr">
        <is>
          <t>Stimulus</t>
        </is>
      </c>
      <c r="D246" t="inlineStr">
        <is>
          <t>foodwaste_narrative</t>
        </is>
      </c>
      <c r="E246" t="n">
        <v>60</v>
      </c>
      <c r="F246" t="inlineStr">
        <is>
          <t>Negative Valence</t>
        </is>
      </c>
      <c r="G246" t="n">
        <v>-50</v>
      </c>
      <c r="H246" t="n">
        <v>0</v>
      </c>
      <c r="I246" t="n">
        <v>0</v>
      </c>
      <c r="J246" t="inlineStr">
        <is>
          <t>NA</t>
        </is>
      </c>
      <c r="K246" t="n">
        <v>70.90000000000001</v>
      </c>
    </row>
    <row r="247">
      <c r="A247" t="inlineStr">
        <is>
          <t>SIMULATED Food Waste Remote Study</t>
        </is>
      </c>
      <c r="B247" t="inlineStr">
        <is>
          <t>RESP0032</t>
        </is>
      </c>
      <c r="C247" t="inlineStr">
        <is>
          <t>Stimulus</t>
        </is>
      </c>
      <c r="D247" t="inlineStr">
        <is>
          <t>foodwaste_visual</t>
        </is>
      </c>
      <c r="E247" t="n">
        <v>62</v>
      </c>
      <c r="F247" t="inlineStr">
        <is>
          <t>Engagement</t>
        </is>
      </c>
      <c r="G247" t="n">
        <v>50</v>
      </c>
      <c r="H247" t="n">
        <v>65.48</v>
      </c>
      <c r="I247" t="n">
        <v>31</v>
      </c>
      <c r="J247" t="inlineStr">
        <is>
          <t>NA</t>
        </is>
      </c>
      <c r="K247" t="n">
        <v>86.40000000000001</v>
      </c>
    </row>
    <row r="248">
      <c r="A248" t="inlineStr">
        <is>
          <t>SIMULATED Food Waste Remote Study</t>
        </is>
      </c>
      <c r="B248" t="inlineStr">
        <is>
          <t>RESP0032</t>
        </is>
      </c>
      <c r="C248" t="inlineStr">
        <is>
          <t>Stimulus</t>
        </is>
      </c>
      <c r="D248" t="inlineStr">
        <is>
          <t>foodwaste_visual</t>
        </is>
      </c>
      <c r="E248" t="n">
        <v>62</v>
      </c>
      <c r="F248" t="inlineStr">
        <is>
          <t>Joy</t>
        </is>
      </c>
      <c r="G248" t="n">
        <v>50</v>
      </c>
      <c r="H248" t="n">
        <v>8.279999999999999</v>
      </c>
      <c r="I248" t="n">
        <v>7</v>
      </c>
      <c r="J248" t="inlineStr">
        <is>
          <t>NA</t>
        </is>
      </c>
      <c r="K248" t="n">
        <v>86.40000000000001</v>
      </c>
    </row>
    <row r="249">
      <c r="A249" t="inlineStr">
        <is>
          <t>SIMULATED Food Waste Remote Study</t>
        </is>
      </c>
      <c r="B249" t="inlineStr">
        <is>
          <t>RESP0032</t>
        </is>
      </c>
      <c r="C249" t="inlineStr">
        <is>
          <t>Stimulus</t>
        </is>
      </c>
      <c r="D249" t="inlineStr">
        <is>
          <t>foodwaste_visual</t>
        </is>
      </c>
      <c r="E249" t="n">
        <v>62</v>
      </c>
      <c r="F249" t="inlineStr">
        <is>
          <t>Brow Furrow</t>
        </is>
      </c>
      <c r="G249" t="n">
        <v>50</v>
      </c>
      <c r="H249" t="n">
        <v>0.05</v>
      </c>
      <c r="I249" t="n">
        <v>1</v>
      </c>
      <c r="J249" t="inlineStr">
        <is>
          <t>NA</t>
        </is>
      </c>
      <c r="K249" t="n">
        <v>86.40000000000001</v>
      </c>
    </row>
    <row r="250">
      <c r="A250" t="inlineStr">
        <is>
          <t>SIMULATED Food Waste Remote Study</t>
        </is>
      </c>
      <c r="B250" t="inlineStr">
        <is>
          <t>RESP0032</t>
        </is>
      </c>
      <c r="C250" t="inlineStr">
        <is>
          <t>Stimulus</t>
        </is>
      </c>
      <c r="D250" t="inlineStr">
        <is>
          <t>foodwaste_visual</t>
        </is>
      </c>
      <c r="E250" t="n">
        <v>62</v>
      </c>
      <c r="F250" t="inlineStr">
        <is>
          <t>Positive Valence</t>
        </is>
      </c>
      <c r="G250" t="n">
        <v>50</v>
      </c>
      <c r="H250" t="n">
        <v>6.18</v>
      </c>
      <c r="I250" t="n">
        <v>5</v>
      </c>
      <c r="J250" t="inlineStr">
        <is>
          <t>NA</t>
        </is>
      </c>
      <c r="K250" t="n">
        <v>86.40000000000001</v>
      </c>
    </row>
    <row r="251">
      <c r="A251" t="inlineStr">
        <is>
          <t>SIMULATED Food Waste Remote Study</t>
        </is>
      </c>
      <c r="B251" t="inlineStr">
        <is>
          <t>RESP0032</t>
        </is>
      </c>
      <c r="C251" t="inlineStr">
        <is>
          <t>Stimulus</t>
        </is>
      </c>
      <c r="D251" t="inlineStr">
        <is>
          <t>foodwaste_visual</t>
        </is>
      </c>
      <c r="E251" t="n">
        <v>62</v>
      </c>
      <c r="F251" t="inlineStr">
        <is>
          <t>Negative Valence</t>
        </is>
      </c>
      <c r="G251" t="n">
        <v>-50</v>
      </c>
      <c r="H251" t="n">
        <v>0</v>
      </c>
      <c r="I251" t="n">
        <v>0</v>
      </c>
      <c r="J251" t="inlineStr">
        <is>
          <t>NA</t>
        </is>
      </c>
      <c r="K251" t="n">
        <v>86.40000000000001</v>
      </c>
    </row>
    <row r="252">
      <c r="A252" t="inlineStr">
        <is>
          <t>SIMULATED Food Waste Remote Study</t>
        </is>
      </c>
      <c r="B252" t="inlineStr">
        <is>
          <t>RESP0035</t>
        </is>
      </c>
      <c r="C252" t="inlineStr">
        <is>
          <t>Stimulus</t>
        </is>
      </c>
      <c r="D252" t="inlineStr">
        <is>
          <t>foodwaste_narrative</t>
        </is>
      </c>
      <c r="E252" t="n">
        <v>60</v>
      </c>
      <c r="F252" t="inlineStr">
        <is>
          <t>Engagement</t>
        </is>
      </c>
      <c r="G252" t="n">
        <v>50</v>
      </c>
      <c r="H252" t="n">
        <v>8.279999999999999</v>
      </c>
      <c r="I252" t="n">
        <v>2</v>
      </c>
      <c r="J252" t="inlineStr">
        <is>
          <t>NA</t>
        </is>
      </c>
      <c r="K252" t="n">
        <v>99.2</v>
      </c>
    </row>
    <row r="253">
      <c r="A253" t="inlineStr">
        <is>
          <t>SIMULATED Food Waste Remote Study</t>
        </is>
      </c>
      <c r="B253" t="inlineStr">
        <is>
          <t>RESP0035</t>
        </is>
      </c>
      <c r="C253" t="inlineStr">
        <is>
          <t>Stimulus</t>
        </is>
      </c>
      <c r="D253" t="inlineStr">
        <is>
          <t>foodwaste_narrative</t>
        </is>
      </c>
      <c r="E253" t="n">
        <v>60</v>
      </c>
      <c r="F253" t="inlineStr">
        <is>
          <t>Joy</t>
        </is>
      </c>
      <c r="G253" t="n">
        <v>50</v>
      </c>
      <c r="H253" t="n">
        <v>0.78</v>
      </c>
      <c r="I253" t="n">
        <v>1</v>
      </c>
      <c r="J253" t="inlineStr">
        <is>
          <t>NA</t>
        </is>
      </c>
      <c r="K253" t="n">
        <v>99.2</v>
      </c>
    </row>
    <row r="254">
      <c r="A254" t="inlineStr">
        <is>
          <t>SIMULATED Food Waste Remote Study</t>
        </is>
      </c>
      <c r="B254" t="inlineStr">
        <is>
          <t>RESP0035</t>
        </is>
      </c>
      <c r="C254" t="inlineStr">
        <is>
          <t>Stimulus</t>
        </is>
      </c>
      <c r="D254" t="inlineStr">
        <is>
          <t>foodwaste_narrative</t>
        </is>
      </c>
      <c r="E254" t="n">
        <v>60</v>
      </c>
      <c r="F254" t="inlineStr">
        <is>
          <t>Brow Furrow</t>
        </is>
      </c>
      <c r="G254" t="n">
        <v>50</v>
      </c>
      <c r="H254" t="n">
        <v>7.83</v>
      </c>
      <c r="I254" t="n">
        <v>3</v>
      </c>
      <c r="J254" t="inlineStr">
        <is>
          <t>NA</t>
        </is>
      </c>
      <c r="K254" t="n">
        <v>99.2</v>
      </c>
    </row>
    <row r="255">
      <c r="A255" t="inlineStr">
        <is>
          <t>SIMULATED Food Waste Remote Study</t>
        </is>
      </c>
      <c r="B255" t="inlineStr">
        <is>
          <t>RESP0035</t>
        </is>
      </c>
      <c r="C255" t="inlineStr">
        <is>
          <t>Stimulus</t>
        </is>
      </c>
      <c r="D255" t="inlineStr">
        <is>
          <t>foodwaste_narrative</t>
        </is>
      </c>
      <c r="E255" t="n">
        <v>60</v>
      </c>
      <c r="F255" t="inlineStr">
        <is>
          <t>Positive Valence</t>
        </is>
      </c>
      <c r="G255" t="n">
        <v>50</v>
      </c>
      <c r="H255" t="n">
        <v>0</v>
      </c>
      <c r="I255" t="n">
        <v>0</v>
      </c>
      <c r="J255" t="inlineStr">
        <is>
          <t>NA</t>
        </is>
      </c>
      <c r="K255" t="n">
        <v>99.2</v>
      </c>
    </row>
    <row r="256">
      <c r="A256" t="inlineStr">
        <is>
          <t>SIMULATED Food Waste Remote Study</t>
        </is>
      </c>
      <c r="B256" t="inlineStr">
        <is>
          <t>RESP0035</t>
        </is>
      </c>
      <c r="C256" t="inlineStr">
        <is>
          <t>Stimulus</t>
        </is>
      </c>
      <c r="D256" t="inlineStr">
        <is>
          <t>foodwaste_narrative</t>
        </is>
      </c>
      <c r="E256" t="n">
        <v>60</v>
      </c>
      <c r="F256" t="inlineStr">
        <is>
          <t>Negative Valence</t>
        </is>
      </c>
      <c r="G256" t="n">
        <v>-50</v>
      </c>
      <c r="H256" t="n">
        <v>11.33</v>
      </c>
      <c r="I256" t="n">
        <v>1</v>
      </c>
      <c r="J256" t="inlineStr">
        <is>
          <t>NA</t>
        </is>
      </c>
      <c r="K256" t="n">
        <v>99.2</v>
      </c>
    </row>
    <row r="257">
      <c r="A257" t="inlineStr">
        <is>
          <t>SIMULATED Food Waste Remote Study</t>
        </is>
      </c>
      <c r="B257" t="inlineStr">
        <is>
          <t>RESP0035</t>
        </is>
      </c>
      <c r="C257" t="inlineStr">
        <is>
          <t>Stimulus</t>
        </is>
      </c>
      <c r="D257" t="inlineStr">
        <is>
          <t>foodwaste_visual</t>
        </is>
      </c>
      <c r="E257" t="n">
        <v>62</v>
      </c>
      <c r="F257" t="inlineStr">
        <is>
          <t>Engagement</t>
        </is>
      </c>
      <c r="G257" t="n">
        <v>50</v>
      </c>
      <c r="H257" t="n">
        <v>2.53</v>
      </c>
      <c r="I257" t="n">
        <v>1</v>
      </c>
      <c r="J257" t="inlineStr">
        <is>
          <t>NA</t>
        </is>
      </c>
      <c r="K257" t="n">
        <v>98.90000000000001</v>
      </c>
    </row>
    <row r="258">
      <c r="A258" t="inlineStr">
        <is>
          <t>SIMULATED Food Waste Remote Study</t>
        </is>
      </c>
      <c r="B258" t="inlineStr">
        <is>
          <t>RESP0035</t>
        </is>
      </c>
      <c r="C258" t="inlineStr">
        <is>
          <t>Stimulus</t>
        </is>
      </c>
      <c r="D258" t="inlineStr">
        <is>
          <t>foodwaste_visual</t>
        </is>
      </c>
      <c r="E258" t="n">
        <v>62</v>
      </c>
      <c r="F258" t="inlineStr">
        <is>
          <t>Joy</t>
        </is>
      </c>
      <c r="G258" t="n">
        <v>50</v>
      </c>
      <c r="H258" t="n">
        <v>0</v>
      </c>
      <c r="I258" t="n">
        <v>0</v>
      </c>
      <c r="J258" t="inlineStr">
        <is>
          <t>NA</t>
        </is>
      </c>
      <c r="K258" t="n">
        <v>98.90000000000001</v>
      </c>
    </row>
    <row r="259">
      <c r="A259" t="inlineStr">
        <is>
          <t>SIMULATED Food Waste Remote Study</t>
        </is>
      </c>
      <c r="B259" t="inlineStr">
        <is>
          <t>RESP0035</t>
        </is>
      </c>
      <c r="C259" t="inlineStr">
        <is>
          <t>Stimulus</t>
        </is>
      </c>
      <c r="D259" t="inlineStr">
        <is>
          <t>foodwaste_visual</t>
        </is>
      </c>
      <c r="E259" t="n">
        <v>62</v>
      </c>
      <c r="F259" t="inlineStr">
        <is>
          <t>Brow Furrow</t>
        </is>
      </c>
      <c r="G259" t="n">
        <v>50</v>
      </c>
      <c r="H259" t="n">
        <v>0</v>
      </c>
      <c r="I259" t="n">
        <v>0</v>
      </c>
      <c r="J259" t="inlineStr">
        <is>
          <t>NA</t>
        </is>
      </c>
      <c r="K259" t="n">
        <v>98.90000000000001</v>
      </c>
    </row>
    <row r="260">
      <c r="A260" t="inlineStr">
        <is>
          <t>SIMULATED Food Waste Remote Study</t>
        </is>
      </c>
      <c r="B260" t="inlineStr">
        <is>
          <t>RESP0035</t>
        </is>
      </c>
      <c r="C260" t="inlineStr">
        <is>
          <t>Stimulus</t>
        </is>
      </c>
      <c r="D260" t="inlineStr">
        <is>
          <t>foodwaste_visual</t>
        </is>
      </c>
      <c r="E260" t="n">
        <v>62</v>
      </c>
      <c r="F260" t="inlineStr">
        <is>
          <t>Positive Valence</t>
        </is>
      </c>
      <c r="G260" t="n">
        <v>50</v>
      </c>
      <c r="H260" t="n">
        <v>3.98</v>
      </c>
      <c r="I260" t="n">
        <v>1</v>
      </c>
      <c r="J260" t="inlineStr">
        <is>
          <t>NA</t>
        </is>
      </c>
      <c r="K260" t="n">
        <v>98.90000000000001</v>
      </c>
    </row>
    <row r="261">
      <c r="A261" t="inlineStr">
        <is>
          <t>SIMULATED Food Waste Remote Study</t>
        </is>
      </c>
      <c r="B261" t="inlineStr">
        <is>
          <t>RESP0035</t>
        </is>
      </c>
      <c r="C261" t="inlineStr">
        <is>
          <t>Stimulus</t>
        </is>
      </c>
      <c r="D261" t="inlineStr">
        <is>
          <t>foodwaste_visual</t>
        </is>
      </c>
      <c r="E261" t="n">
        <v>62</v>
      </c>
      <c r="F261" t="inlineStr">
        <is>
          <t>Negative Valence</t>
        </is>
      </c>
      <c r="G261" t="n">
        <v>-50</v>
      </c>
      <c r="H261" t="n">
        <v>9.09</v>
      </c>
      <c r="I261" t="n">
        <v>3</v>
      </c>
      <c r="J261" t="inlineStr">
        <is>
          <t>NA</t>
        </is>
      </c>
      <c r="K261" t="n">
        <v>98.90000000000001</v>
      </c>
    </row>
    <row r="262">
      <c r="A262" t="inlineStr">
        <is>
          <t>SIMULATED Food Waste Remote Study</t>
        </is>
      </c>
      <c r="B262" t="inlineStr">
        <is>
          <t>RESP0036</t>
        </is>
      </c>
      <c r="C262" t="inlineStr">
        <is>
          <t>Stimulus</t>
        </is>
      </c>
      <c r="D262" t="inlineStr">
        <is>
          <t>foodwaste_narrative</t>
        </is>
      </c>
      <c r="E262" t="n">
        <v>60</v>
      </c>
      <c r="F262" t="inlineStr">
        <is>
          <t>Engagement</t>
        </is>
      </c>
      <c r="G262" t="n">
        <v>50</v>
      </c>
      <c r="H262" t="n">
        <v>18.61</v>
      </c>
      <c r="I262" t="n">
        <v>5</v>
      </c>
      <c r="J262" t="inlineStr">
        <is>
          <t>NA</t>
        </is>
      </c>
      <c r="K262" t="n">
        <v>99.5</v>
      </c>
    </row>
    <row r="263">
      <c r="A263" t="inlineStr">
        <is>
          <t>SIMULATED Food Waste Remote Study</t>
        </is>
      </c>
      <c r="B263" t="inlineStr">
        <is>
          <t>RESP0036</t>
        </is>
      </c>
      <c r="C263" t="inlineStr">
        <is>
          <t>Stimulus</t>
        </is>
      </c>
      <c r="D263" t="inlineStr">
        <is>
          <t>foodwaste_narrative</t>
        </is>
      </c>
      <c r="E263" t="n">
        <v>60</v>
      </c>
      <c r="F263" t="inlineStr">
        <is>
          <t>Joy</t>
        </is>
      </c>
      <c r="G263" t="n">
        <v>50</v>
      </c>
      <c r="H263" t="n">
        <v>0</v>
      </c>
      <c r="I263" t="n">
        <v>0</v>
      </c>
      <c r="J263" t="inlineStr">
        <is>
          <t>NA</t>
        </is>
      </c>
      <c r="K263" t="n">
        <v>99.5</v>
      </c>
    </row>
    <row r="264">
      <c r="A264" t="inlineStr">
        <is>
          <t>SIMULATED Food Waste Remote Study</t>
        </is>
      </c>
      <c r="B264" t="inlineStr">
        <is>
          <t>RESP0036</t>
        </is>
      </c>
      <c r="C264" t="inlineStr">
        <is>
          <t>Stimulus</t>
        </is>
      </c>
      <c r="D264" t="inlineStr">
        <is>
          <t>foodwaste_narrative</t>
        </is>
      </c>
      <c r="E264" t="n">
        <v>60</v>
      </c>
      <c r="F264" t="inlineStr">
        <is>
          <t>Brow Furrow</t>
        </is>
      </c>
      <c r="G264" t="n">
        <v>50</v>
      </c>
      <c r="H264" t="n">
        <v>14.22</v>
      </c>
      <c r="I264" t="n">
        <v>6</v>
      </c>
      <c r="J264" t="inlineStr">
        <is>
          <t>NA</t>
        </is>
      </c>
      <c r="K264" t="n">
        <v>99.5</v>
      </c>
    </row>
    <row r="265">
      <c r="A265" t="inlineStr">
        <is>
          <t>SIMULATED Food Waste Remote Study</t>
        </is>
      </c>
      <c r="B265" t="inlineStr">
        <is>
          <t>RESP0036</t>
        </is>
      </c>
      <c r="C265" t="inlineStr">
        <is>
          <t>Stimulus</t>
        </is>
      </c>
      <c r="D265" t="inlineStr">
        <is>
          <t>foodwaste_narrative</t>
        </is>
      </c>
      <c r="E265" t="n">
        <v>60</v>
      </c>
      <c r="F265" t="inlineStr">
        <is>
          <t>Positive Valence</t>
        </is>
      </c>
      <c r="G265" t="n">
        <v>50</v>
      </c>
      <c r="H265" t="n">
        <v>0</v>
      </c>
      <c r="I265" t="n">
        <v>0</v>
      </c>
      <c r="J265" t="inlineStr">
        <is>
          <t>NA</t>
        </is>
      </c>
      <c r="K265" t="n">
        <v>99.5</v>
      </c>
    </row>
    <row r="266">
      <c r="A266" t="inlineStr">
        <is>
          <t>SIMULATED Food Waste Remote Study</t>
        </is>
      </c>
      <c r="B266" t="inlineStr">
        <is>
          <t>RESP0036</t>
        </is>
      </c>
      <c r="C266" t="inlineStr">
        <is>
          <t>Stimulus</t>
        </is>
      </c>
      <c r="D266" t="inlineStr">
        <is>
          <t>foodwaste_narrative</t>
        </is>
      </c>
      <c r="E266" t="n">
        <v>60</v>
      </c>
      <c r="F266" t="inlineStr">
        <is>
          <t>Negative Valence</t>
        </is>
      </c>
      <c r="G266" t="n">
        <v>-50</v>
      </c>
      <c r="H266" t="n">
        <v>15.61</v>
      </c>
      <c r="I266" t="n">
        <v>4</v>
      </c>
      <c r="J266" t="inlineStr">
        <is>
          <t>NA</t>
        </is>
      </c>
      <c r="K266" t="n">
        <v>99.5</v>
      </c>
    </row>
    <row r="267">
      <c r="A267" t="inlineStr">
        <is>
          <t>SIMULATED Food Waste Remote Study</t>
        </is>
      </c>
      <c r="B267" t="inlineStr">
        <is>
          <t>RESP0036</t>
        </is>
      </c>
      <c r="C267" t="inlineStr">
        <is>
          <t>Stimulus</t>
        </is>
      </c>
      <c r="D267" t="inlineStr">
        <is>
          <t>foodwaste_visual</t>
        </is>
      </c>
      <c r="E267" t="n">
        <v>62</v>
      </c>
      <c r="F267" t="inlineStr">
        <is>
          <t>Engagement</t>
        </is>
      </c>
      <c r="G267" t="n">
        <v>50</v>
      </c>
      <c r="H267" t="n">
        <v>90.43000000000001</v>
      </c>
      <c r="I267" t="n">
        <v>21</v>
      </c>
      <c r="J267" t="inlineStr">
        <is>
          <t>NA</t>
        </is>
      </c>
      <c r="K267" t="n">
        <v>99.3</v>
      </c>
    </row>
    <row r="268">
      <c r="A268" t="inlineStr">
        <is>
          <t>SIMULATED Food Waste Remote Study</t>
        </is>
      </c>
      <c r="B268" t="inlineStr">
        <is>
          <t>RESP0036</t>
        </is>
      </c>
      <c r="C268" t="inlineStr">
        <is>
          <t>Stimulus</t>
        </is>
      </c>
      <c r="D268" t="inlineStr">
        <is>
          <t>foodwaste_visual</t>
        </is>
      </c>
      <c r="E268" t="n">
        <v>62</v>
      </c>
      <c r="F268" t="inlineStr">
        <is>
          <t>Joy</t>
        </is>
      </c>
      <c r="G268" t="n">
        <v>50</v>
      </c>
      <c r="H268" t="n">
        <v>0</v>
      </c>
      <c r="I268" t="n">
        <v>0</v>
      </c>
      <c r="J268" t="inlineStr">
        <is>
          <t>NA</t>
        </is>
      </c>
      <c r="K268" t="n">
        <v>99.3</v>
      </c>
    </row>
    <row r="269">
      <c r="A269" t="inlineStr">
        <is>
          <t>SIMULATED Food Waste Remote Study</t>
        </is>
      </c>
      <c r="B269" t="inlineStr">
        <is>
          <t>RESP0036</t>
        </is>
      </c>
      <c r="C269" t="inlineStr">
        <is>
          <t>Stimulus</t>
        </is>
      </c>
      <c r="D269" t="inlineStr">
        <is>
          <t>foodwaste_visual</t>
        </is>
      </c>
      <c r="E269" t="n">
        <v>62</v>
      </c>
      <c r="F269" t="inlineStr">
        <is>
          <t>Brow Furrow</t>
        </is>
      </c>
      <c r="G269" t="n">
        <v>50</v>
      </c>
      <c r="H269" t="n">
        <v>43.06</v>
      </c>
      <c r="I269" t="n">
        <v>16</v>
      </c>
      <c r="J269" t="inlineStr">
        <is>
          <t>NA</t>
        </is>
      </c>
      <c r="K269" t="n">
        <v>99.3</v>
      </c>
    </row>
    <row r="270">
      <c r="A270" t="inlineStr">
        <is>
          <t>SIMULATED Food Waste Remote Study</t>
        </is>
      </c>
      <c r="B270" t="inlineStr">
        <is>
          <t>RESP0036</t>
        </is>
      </c>
      <c r="C270" t="inlineStr">
        <is>
          <t>Stimulus</t>
        </is>
      </c>
      <c r="D270" t="inlineStr">
        <is>
          <t>foodwaste_visual</t>
        </is>
      </c>
      <c r="E270" t="n">
        <v>62</v>
      </c>
      <c r="F270" t="inlineStr">
        <is>
          <t>Positive Valence</t>
        </is>
      </c>
      <c r="G270" t="n">
        <v>50</v>
      </c>
      <c r="H270" t="n">
        <v>0</v>
      </c>
      <c r="I270" t="n">
        <v>0</v>
      </c>
      <c r="J270" t="inlineStr">
        <is>
          <t>NA</t>
        </is>
      </c>
      <c r="K270" t="n">
        <v>99.3</v>
      </c>
    </row>
    <row r="271">
      <c r="A271" t="inlineStr">
        <is>
          <t>SIMULATED Food Waste Remote Study</t>
        </is>
      </c>
      <c r="B271" t="inlineStr">
        <is>
          <t>RESP0036</t>
        </is>
      </c>
      <c r="C271" t="inlineStr">
        <is>
          <t>Stimulus</t>
        </is>
      </c>
      <c r="D271" t="inlineStr">
        <is>
          <t>foodwaste_visual</t>
        </is>
      </c>
      <c r="E271" t="n">
        <v>62</v>
      </c>
      <c r="F271" t="inlineStr">
        <is>
          <t>Negative Valence</t>
        </is>
      </c>
      <c r="G271" t="n">
        <v>-50</v>
      </c>
      <c r="H271" t="n">
        <v>11.4</v>
      </c>
      <c r="I271" t="n">
        <v>9</v>
      </c>
      <c r="J271" t="inlineStr">
        <is>
          <t>NA</t>
        </is>
      </c>
      <c r="K271" t="n">
        <v>99.3</v>
      </c>
    </row>
    <row r="272">
      <c r="A272" t="inlineStr">
        <is>
          <t>SIMULATED Food Waste Remote Study</t>
        </is>
      </c>
      <c r="B272" t="inlineStr">
        <is>
          <t>RESP0037</t>
        </is>
      </c>
      <c r="C272" t="inlineStr">
        <is>
          <t>Stimulus</t>
        </is>
      </c>
      <c r="D272" t="inlineStr">
        <is>
          <t>foodwaste_narrative</t>
        </is>
      </c>
      <c r="E272" t="n">
        <v>60</v>
      </c>
      <c r="F272" t="inlineStr">
        <is>
          <t>Engagement</t>
        </is>
      </c>
      <c r="G272" t="n">
        <v>50</v>
      </c>
      <c r="H272" t="n">
        <v>0</v>
      </c>
      <c r="I272" t="n">
        <v>0</v>
      </c>
      <c r="J272" t="inlineStr">
        <is>
          <t>NA</t>
        </is>
      </c>
      <c r="K272" t="n">
        <v>99.09999999999999</v>
      </c>
    </row>
    <row r="273">
      <c r="A273" t="inlineStr">
        <is>
          <t>SIMULATED Food Waste Remote Study</t>
        </is>
      </c>
      <c r="B273" t="inlineStr">
        <is>
          <t>RESP0037</t>
        </is>
      </c>
      <c r="C273" t="inlineStr">
        <is>
          <t>Stimulus</t>
        </is>
      </c>
      <c r="D273" t="inlineStr">
        <is>
          <t>foodwaste_narrative</t>
        </is>
      </c>
      <c r="E273" t="n">
        <v>60</v>
      </c>
      <c r="F273" t="inlineStr">
        <is>
          <t>Joy</t>
        </is>
      </c>
      <c r="G273" t="n">
        <v>50</v>
      </c>
      <c r="H273" t="n">
        <v>1.56</v>
      </c>
      <c r="I273" t="n">
        <v>1</v>
      </c>
      <c r="J273" t="inlineStr">
        <is>
          <t>NA</t>
        </is>
      </c>
      <c r="K273" t="n">
        <v>99.09999999999999</v>
      </c>
    </row>
    <row r="274">
      <c r="A274" t="inlineStr">
        <is>
          <t>SIMULATED Food Waste Remote Study</t>
        </is>
      </c>
      <c r="B274" t="inlineStr">
        <is>
          <t>RESP0037</t>
        </is>
      </c>
      <c r="C274" t="inlineStr">
        <is>
          <t>Stimulus</t>
        </is>
      </c>
      <c r="D274" t="inlineStr">
        <is>
          <t>foodwaste_narrative</t>
        </is>
      </c>
      <c r="E274" t="n">
        <v>60</v>
      </c>
      <c r="F274" t="inlineStr">
        <is>
          <t>Brow Furrow</t>
        </is>
      </c>
      <c r="G274" t="n">
        <v>50</v>
      </c>
      <c r="H274" t="n">
        <v>0</v>
      </c>
      <c r="I274" t="n">
        <v>0</v>
      </c>
      <c r="J274" t="inlineStr">
        <is>
          <t>NA</t>
        </is>
      </c>
      <c r="K274" t="n">
        <v>99.09999999999999</v>
      </c>
    </row>
    <row r="275">
      <c r="A275" t="inlineStr">
        <is>
          <t>SIMULATED Food Waste Remote Study</t>
        </is>
      </c>
      <c r="B275" t="inlineStr">
        <is>
          <t>RESP0037</t>
        </is>
      </c>
      <c r="C275" t="inlineStr">
        <is>
          <t>Stimulus</t>
        </is>
      </c>
      <c r="D275" t="inlineStr">
        <is>
          <t>foodwaste_narrative</t>
        </is>
      </c>
      <c r="E275" t="n">
        <v>60</v>
      </c>
      <c r="F275" t="inlineStr">
        <is>
          <t>Positive Valence</t>
        </is>
      </c>
      <c r="G275" t="n">
        <v>50</v>
      </c>
      <c r="H275" t="n">
        <v>0</v>
      </c>
      <c r="I275" t="n">
        <v>0</v>
      </c>
      <c r="J275" t="inlineStr">
        <is>
          <t>NA</t>
        </is>
      </c>
      <c r="K275" t="n">
        <v>99.09999999999999</v>
      </c>
    </row>
    <row r="276">
      <c r="A276" t="inlineStr">
        <is>
          <t>SIMULATED Food Waste Remote Study</t>
        </is>
      </c>
      <c r="B276" t="inlineStr">
        <is>
          <t>RESP0037</t>
        </is>
      </c>
      <c r="C276" t="inlineStr">
        <is>
          <t>Stimulus</t>
        </is>
      </c>
      <c r="D276" t="inlineStr">
        <is>
          <t>foodwaste_narrative</t>
        </is>
      </c>
      <c r="E276" t="n">
        <v>60</v>
      </c>
      <c r="F276" t="inlineStr">
        <is>
          <t>Negative Valence</t>
        </is>
      </c>
      <c r="G276" t="n">
        <v>-50</v>
      </c>
      <c r="H276" t="n">
        <v>0</v>
      </c>
      <c r="I276" t="n">
        <v>0</v>
      </c>
      <c r="J276" t="inlineStr">
        <is>
          <t>NA</t>
        </is>
      </c>
      <c r="K276" t="n">
        <v>99.09999999999999</v>
      </c>
    </row>
    <row r="277">
      <c r="A277" t="inlineStr">
        <is>
          <t>SIMULATED Food Waste Remote Study</t>
        </is>
      </c>
      <c r="B277" t="inlineStr">
        <is>
          <t>RESP0037</t>
        </is>
      </c>
      <c r="C277" t="inlineStr">
        <is>
          <t>Stimulus</t>
        </is>
      </c>
      <c r="D277" t="inlineStr">
        <is>
          <t>foodwaste_visual</t>
        </is>
      </c>
      <c r="E277" t="n">
        <v>62</v>
      </c>
      <c r="F277" t="inlineStr">
        <is>
          <t>Engagement</t>
        </is>
      </c>
      <c r="G277" t="n">
        <v>50</v>
      </c>
      <c r="H277" t="n">
        <v>47.74</v>
      </c>
      <c r="I277" t="n">
        <v>12</v>
      </c>
      <c r="J277" t="inlineStr">
        <is>
          <t>NA</t>
        </is>
      </c>
      <c r="K277" t="n">
        <v>98.8</v>
      </c>
    </row>
    <row r="278">
      <c r="A278" t="inlineStr">
        <is>
          <t>SIMULATED Food Waste Remote Study</t>
        </is>
      </c>
      <c r="B278" t="inlineStr">
        <is>
          <t>RESP0037</t>
        </is>
      </c>
      <c r="C278" t="inlineStr">
        <is>
          <t>Stimulus</t>
        </is>
      </c>
      <c r="D278" t="inlineStr">
        <is>
          <t>foodwaste_visual</t>
        </is>
      </c>
      <c r="E278" t="n">
        <v>62</v>
      </c>
      <c r="F278" t="inlineStr">
        <is>
          <t>Joy</t>
        </is>
      </c>
      <c r="G278" t="n">
        <v>50</v>
      </c>
      <c r="H278" t="n">
        <v>0.32</v>
      </c>
      <c r="I278" t="n">
        <v>1</v>
      </c>
      <c r="J278" t="inlineStr">
        <is>
          <t>NA</t>
        </is>
      </c>
      <c r="K278" t="n">
        <v>98.8</v>
      </c>
    </row>
    <row r="279">
      <c r="A279" t="inlineStr">
        <is>
          <t>SIMULATED Food Waste Remote Study</t>
        </is>
      </c>
      <c r="B279" t="inlineStr">
        <is>
          <t>RESP0037</t>
        </is>
      </c>
      <c r="C279" t="inlineStr">
        <is>
          <t>Stimulus</t>
        </is>
      </c>
      <c r="D279" t="inlineStr">
        <is>
          <t>foodwaste_visual</t>
        </is>
      </c>
      <c r="E279" t="n">
        <v>62</v>
      </c>
      <c r="F279" t="inlineStr">
        <is>
          <t>Brow Furrow</t>
        </is>
      </c>
      <c r="G279" t="n">
        <v>50</v>
      </c>
      <c r="H279" t="n">
        <v>0</v>
      </c>
      <c r="I279" t="n">
        <v>0</v>
      </c>
      <c r="J279" t="inlineStr">
        <is>
          <t>NA</t>
        </is>
      </c>
      <c r="K279" t="n">
        <v>98.8</v>
      </c>
    </row>
    <row r="280">
      <c r="A280" t="inlineStr">
        <is>
          <t>SIMULATED Food Waste Remote Study</t>
        </is>
      </c>
      <c r="B280" t="inlineStr">
        <is>
          <t>RESP0037</t>
        </is>
      </c>
      <c r="C280" t="inlineStr">
        <is>
          <t>Stimulus</t>
        </is>
      </c>
      <c r="D280" t="inlineStr">
        <is>
          <t>foodwaste_visual</t>
        </is>
      </c>
      <c r="E280" t="n">
        <v>62</v>
      </c>
      <c r="F280" t="inlineStr">
        <is>
          <t>Positive Valence</t>
        </is>
      </c>
      <c r="G280" t="n">
        <v>50</v>
      </c>
      <c r="H280" t="n">
        <v>0</v>
      </c>
      <c r="I280" t="n">
        <v>0</v>
      </c>
      <c r="J280" t="inlineStr">
        <is>
          <t>NA</t>
        </is>
      </c>
      <c r="K280" t="n">
        <v>98.8</v>
      </c>
    </row>
    <row r="281">
      <c r="A281" t="inlineStr">
        <is>
          <t>SIMULATED Food Waste Remote Study</t>
        </is>
      </c>
      <c r="B281" t="inlineStr">
        <is>
          <t>RESP0037</t>
        </is>
      </c>
      <c r="C281" t="inlineStr">
        <is>
          <t>Stimulus</t>
        </is>
      </c>
      <c r="D281" t="inlineStr">
        <is>
          <t>foodwaste_visual</t>
        </is>
      </c>
      <c r="E281" t="n">
        <v>62</v>
      </c>
      <c r="F281" t="inlineStr">
        <is>
          <t>Negative Valence</t>
        </is>
      </c>
      <c r="G281" t="n">
        <v>-50</v>
      </c>
      <c r="H281" t="n">
        <v>12.47</v>
      </c>
      <c r="I281" t="n">
        <v>2</v>
      </c>
      <c r="J281" t="inlineStr">
        <is>
          <t>NA</t>
        </is>
      </c>
      <c r="K281" t="n">
        <v>98.8</v>
      </c>
    </row>
    <row r="282">
      <c r="A282" t="inlineStr">
        <is>
          <t>SIMULATED Food Waste Remote Study</t>
        </is>
      </c>
      <c r="B282" t="inlineStr">
        <is>
          <t>RESP0038</t>
        </is>
      </c>
      <c r="C282" t="inlineStr">
        <is>
          <t>Stimulus</t>
        </is>
      </c>
      <c r="D282" t="inlineStr">
        <is>
          <t>foodwaste_narrative</t>
        </is>
      </c>
      <c r="E282" t="n">
        <v>60</v>
      </c>
      <c r="F282" t="inlineStr">
        <is>
          <t>Engagement</t>
        </is>
      </c>
      <c r="G282" t="n">
        <v>50</v>
      </c>
      <c r="H282" t="n">
        <v>6.17</v>
      </c>
      <c r="I282" t="n">
        <v>1</v>
      </c>
      <c r="J282" t="inlineStr">
        <is>
          <t>NA</t>
        </is>
      </c>
      <c r="K282" t="n">
        <v>98.7</v>
      </c>
    </row>
    <row r="283">
      <c r="A283" t="inlineStr">
        <is>
          <t>SIMULATED Food Waste Remote Study</t>
        </is>
      </c>
      <c r="B283" t="inlineStr">
        <is>
          <t>RESP0038</t>
        </is>
      </c>
      <c r="C283" t="inlineStr">
        <is>
          <t>Stimulus</t>
        </is>
      </c>
      <c r="D283" t="inlineStr">
        <is>
          <t>foodwaste_narrative</t>
        </is>
      </c>
      <c r="E283" t="n">
        <v>60</v>
      </c>
      <c r="F283" t="inlineStr">
        <is>
          <t>Joy</t>
        </is>
      </c>
      <c r="G283" t="n">
        <v>50</v>
      </c>
      <c r="H283" t="n">
        <v>0</v>
      </c>
      <c r="I283" t="n">
        <v>0</v>
      </c>
      <c r="J283" t="inlineStr">
        <is>
          <t>NA</t>
        </is>
      </c>
      <c r="K283" t="n">
        <v>98.7</v>
      </c>
    </row>
    <row r="284">
      <c r="A284" t="inlineStr">
        <is>
          <t>SIMULATED Food Waste Remote Study</t>
        </is>
      </c>
      <c r="B284" t="inlineStr">
        <is>
          <t>RESP0038</t>
        </is>
      </c>
      <c r="C284" t="inlineStr">
        <is>
          <t>Stimulus</t>
        </is>
      </c>
      <c r="D284" t="inlineStr">
        <is>
          <t>foodwaste_narrative</t>
        </is>
      </c>
      <c r="E284" t="n">
        <v>60</v>
      </c>
      <c r="F284" t="inlineStr">
        <is>
          <t>Brow Furrow</t>
        </is>
      </c>
      <c r="G284" t="n">
        <v>50</v>
      </c>
      <c r="H284" t="n">
        <v>12.5</v>
      </c>
      <c r="I284" t="n">
        <v>3</v>
      </c>
      <c r="J284" t="inlineStr">
        <is>
          <t>NA</t>
        </is>
      </c>
      <c r="K284" t="n">
        <v>98.7</v>
      </c>
    </row>
    <row r="285">
      <c r="A285" t="inlineStr">
        <is>
          <t>SIMULATED Food Waste Remote Study</t>
        </is>
      </c>
      <c r="B285" t="inlineStr">
        <is>
          <t>RESP0038</t>
        </is>
      </c>
      <c r="C285" t="inlineStr">
        <is>
          <t>Stimulus</t>
        </is>
      </c>
      <c r="D285" t="inlineStr">
        <is>
          <t>foodwaste_narrative</t>
        </is>
      </c>
      <c r="E285" t="n">
        <v>60</v>
      </c>
      <c r="F285" t="inlineStr">
        <is>
          <t>Positive Valence</t>
        </is>
      </c>
      <c r="G285" t="n">
        <v>50</v>
      </c>
      <c r="H285" t="n">
        <v>2.33</v>
      </c>
      <c r="I285" t="n">
        <v>1</v>
      </c>
      <c r="J285" t="inlineStr">
        <is>
          <t>NA</t>
        </is>
      </c>
      <c r="K285" t="n">
        <v>98.7</v>
      </c>
    </row>
    <row r="286">
      <c r="A286" t="inlineStr">
        <is>
          <t>SIMULATED Food Waste Remote Study</t>
        </is>
      </c>
      <c r="B286" t="inlineStr">
        <is>
          <t>RESP0038</t>
        </is>
      </c>
      <c r="C286" t="inlineStr">
        <is>
          <t>Stimulus</t>
        </is>
      </c>
      <c r="D286" t="inlineStr">
        <is>
          <t>foodwaste_narrative</t>
        </is>
      </c>
      <c r="E286" t="n">
        <v>60</v>
      </c>
      <c r="F286" t="inlineStr">
        <is>
          <t>Negative Valence</t>
        </is>
      </c>
      <c r="G286" t="n">
        <v>-50</v>
      </c>
      <c r="H286" t="n">
        <v>0</v>
      </c>
      <c r="I286" t="n">
        <v>0</v>
      </c>
      <c r="J286" t="inlineStr">
        <is>
          <t>NA</t>
        </is>
      </c>
      <c r="K286" t="n">
        <v>98.7</v>
      </c>
    </row>
    <row r="287">
      <c r="A287" t="inlineStr">
        <is>
          <t>SIMULATED Food Waste Remote Study</t>
        </is>
      </c>
      <c r="B287" t="inlineStr">
        <is>
          <t>RESP0038</t>
        </is>
      </c>
      <c r="C287" t="inlineStr">
        <is>
          <t>Stimulus</t>
        </is>
      </c>
      <c r="D287" t="inlineStr">
        <is>
          <t>foodwaste_visual</t>
        </is>
      </c>
      <c r="E287" t="n">
        <v>62</v>
      </c>
      <c r="F287" t="inlineStr">
        <is>
          <t>Engagement</t>
        </is>
      </c>
      <c r="G287" t="n">
        <v>50</v>
      </c>
      <c r="H287" t="n">
        <v>58.44</v>
      </c>
      <c r="I287" t="n">
        <v>15</v>
      </c>
      <c r="J287" t="inlineStr">
        <is>
          <t>NA</t>
        </is>
      </c>
      <c r="K287" t="n">
        <v>97.8</v>
      </c>
    </row>
    <row r="288">
      <c r="A288" t="inlineStr">
        <is>
          <t>SIMULATED Food Waste Remote Study</t>
        </is>
      </c>
      <c r="B288" t="inlineStr">
        <is>
          <t>RESP0038</t>
        </is>
      </c>
      <c r="C288" t="inlineStr">
        <is>
          <t>Stimulus</t>
        </is>
      </c>
      <c r="D288" t="inlineStr">
        <is>
          <t>foodwaste_visual</t>
        </is>
      </c>
      <c r="E288" t="n">
        <v>62</v>
      </c>
      <c r="F288" t="inlineStr">
        <is>
          <t>Joy</t>
        </is>
      </c>
      <c r="G288" t="n">
        <v>50</v>
      </c>
      <c r="H288" t="n">
        <v>0</v>
      </c>
      <c r="I288" t="n">
        <v>0</v>
      </c>
      <c r="J288" t="inlineStr">
        <is>
          <t>NA</t>
        </is>
      </c>
      <c r="K288" t="n">
        <v>97.8</v>
      </c>
    </row>
    <row r="289">
      <c r="A289" t="inlineStr">
        <is>
          <t>SIMULATED Food Waste Remote Study</t>
        </is>
      </c>
      <c r="B289" t="inlineStr">
        <is>
          <t>RESP0038</t>
        </is>
      </c>
      <c r="C289" t="inlineStr">
        <is>
          <t>Stimulus</t>
        </is>
      </c>
      <c r="D289" t="inlineStr">
        <is>
          <t>foodwaste_visual</t>
        </is>
      </c>
      <c r="E289" t="n">
        <v>62</v>
      </c>
      <c r="F289" t="inlineStr">
        <is>
          <t>Brow Furrow</t>
        </is>
      </c>
      <c r="G289" t="n">
        <v>50</v>
      </c>
      <c r="H289" t="n">
        <v>4.73</v>
      </c>
      <c r="I289" t="n">
        <v>3</v>
      </c>
      <c r="J289" t="inlineStr">
        <is>
          <t>NA</t>
        </is>
      </c>
      <c r="K289" t="n">
        <v>97.8</v>
      </c>
    </row>
    <row r="290">
      <c r="A290" t="inlineStr">
        <is>
          <t>SIMULATED Food Waste Remote Study</t>
        </is>
      </c>
      <c r="B290" t="inlineStr">
        <is>
          <t>RESP0038</t>
        </is>
      </c>
      <c r="C290" t="inlineStr">
        <is>
          <t>Stimulus</t>
        </is>
      </c>
      <c r="D290" t="inlineStr">
        <is>
          <t>foodwaste_visual</t>
        </is>
      </c>
      <c r="E290" t="n">
        <v>62</v>
      </c>
      <c r="F290" t="inlineStr">
        <is>
          <t>Positive Valence</t>
        </is>
      </c>
      <c r="G290" t="n">
        <v>50</v>
      </c>
      <c r="H290" t="n">
        <v>0</v>
      </c>
      <c r="I290" t="n">
        <v>0</v>
      </c>
      <c r="J290" t="inlineStr">
        <is>
          <t>NA</t>
        </is>
      </c>
      <c r="K290" t="n">
        <v>97.8</v>
      </c>
    </row>
    <row r="291">
      <c r="A291" t="inlineStr">
        <is>
          <t>SIMULATED Food Waste Remote Study</t>
        </is>
      </c>
      <c r="B291" t="inlineStr">
        <is>
          <t>RESP0038</t>
        </is>
      </c>
      <c r="C291" t="inlineStr">
        <is>
          <t>Stimulus</t>
        </is>
      </c>
      <c r="D291" t="inlineStr">
        <is>
          <t>foodwaste_visual</t>
        </is>
      </c>
      <c r="E291" t="n">
        <v>62</v>
      </c>
      <c r="F291" t="inlineStr">
        <is>
          <t>Negative Valence</t>
        </is>
      </c>
      <c r="G291" t="n">
        <v>-50</v>
      </c>
      <c r="H291" t="n">
        <v>5.48</v>
      </c>
      <c r="I291" t="n">
        <v>3</v>
      </c>
      <c r="J291" t="inlineStr">
        <is>
          <t>NA</t>
        </is>
      </c>
      <c r="K291" t="n">
        <v>97.8</v>
      </c>
    </row>
    <row r="292">
      <c r="A292" t="inlineStr">
        <is>
          <t>SIMULATED Food Waste Remote Study</t>
        </is>
      </c>
      <c r="B292" t="inlineStr">
        <is>
          <t>RESP0039</t>
        </is>
      </c>
      <c r="C292" t="inlineStr">
        <is>
          <t>Stimulus</t>
        </is>
      </c>
      <c r="D292" t="inlineStr">
        <is>
          <t>foodwaste_narrative</t>
        </is>
      </c>
      <c r="E292" t="n">
        <v>60</v>
      </c>
      <c r="F292" t="inlineStr">
        <is>
          <t>Engagement</t>
        </is>
      </c>
      <c r="G292" t="n">
        <v>50</v>
      </c>
      <c r="H292" t="n">
        <v>8.109999999999999</v>
      </c>
      <c r="I292" t="n">
        <v>3</v>
      </c>
      <c r="J292" t="inlineStr">
        <is>
          <t>NA</t>
        </is>
      </c>
      <c r="K292" t="n">
        <v>96.8</v>
      </c>
    </row>
    <row r="293">
      <c r="A293" t="inlineStr">
        <is>
          <t>SIMULATED Food Waste Remote Study</t>
        </is>
      </c>
      <c r="B293" t="inlineStr">
        <is>
          <t>RESP0039</t>
        </is>
      </c>
      <c r="C293" t="inlineStr">
        <is>
          <t>Stimulus</t>
        </is>
      </c>
      <c r="D293" t="inlineStr">
        <is>
          <t>foodwaste_narrative</t>
        </is>
      </c>
      <c r="E293" t="n">
        <v>60</v>
      </c>
      <c r="F293" t="inlineStr">
        <is>
          <t>Joy</t>
        </is>
      </c>
      <c r="G293" t="n">
        <v>50</v>
      </c>
      <c r="H293" t="n">
        <v>0</v>
      </c>
      <c r="I293" t="n">
        <v>0</v>
      </c>
      <c r="J293" t="inlineStr">
        <is>
          <t>NA</t>
        </is>
      </c>
      <c r="K293" t="n">
        <v>96.8</v>
      </c>
    </row>
    <row r="294">
      <c r="A294" t="inlineStr">
        <is>
          <t>SIMULATED Food Waste Remote Study</t>
        </is>
      </c>
      <c r="B294" t="inlineStr">
        <is>
          <t>RESP0039</t>
        </is>
      </c>
      <c r="C294" t="inlineStr">
        <is>
          <t>Stimulus</t>
        </is>
      </c>
      <c r="D294" t="inlineStr">
        <is>
          <t>foodwaste_narrative</t>
        </is>
      </c>
      <c r="E294" t="n">
        <v>60</v>
      </c>
      <c r="F294" t="inlineStr">
        <is>
          <t>Brow Furrow</t>
        </is>
      </c>
      <c r="G294" t="n">
        <v>50</v>
      </c>
      <c r="H294" t="n">
        <v>8.109999999999999</v>
      </c>
      <c r="I294" t="n">
        <v>1</v>
      </c>
      <c r="J294" t="inlineStr">
        <is>
          <t>NA</t>
        </is>
      </c>
      <c r="K294" t="n">
        <v>96.8</v>
      </c>
    </row>
    <row r="295">
      <c r="A295" t="inlineStr">
        <is>
          <t>SIMULATED Food Waste Remote Study</t>
        </is>
      </c>
      <c r="B295" t="inlineStr">
        <is>
          <t>RESP0039</t>
        </is>
      </c>
      <c r="C295" t="inlineStr">
        <is>
          <t>Stimulus</t>
        </is>
      </c>
      <c r="D295" t="inlineStr">
        <is>
          <t>foodwaste_narrative</t>
        </is>
      </c>
      <c r="E295" t="n">
        <v>60</v>
      </c>
      <c r="F295" t="inlineStr">
        <is>
          <t>Positive Valence</t>
        </is>
      </c>
      <c r="G295" t="n">
        <v>50</v>
      </c>
      <c r="H295" t="n">
        <v>1.39</v>
      </c>
      <c r="I295" t="n">
        <v>1</v>
      </c>
      <c r="J295" t="inlineStr">
        <is>
          <t>NA</t>
        </is>
      </c>
      <c r="K295" t="n">
        <v>96.8</v>
      </c>
    </row>
    <row r="296">
      <c r="A296" t="inlineStr">
        <is>
          <t>SIMULATED Food Waste Remote Study</t>
        </is>
      </c>
      <c r="B296" t="inlineStr">
        <is>
          <t>RESP0039</t>
        </is>
      </c>
      <c r="C296" t="inlineStr">
        <is>
          <t>Stimulus</t>
        </is>
      </c>
      <c r="D296" t="inlineStr">
        <is>
          <t>foodwaste_narrative</t>
        </is>
      </c>
      <c r="E296" t="n">
        <v>60</v>
      </c>
      <c r="F296" t="inlineStr">
        <is>
          <t>Negative Valence</t>
        </is>
      </c>
      <c r="G296" t="n">
        <v>-50</v>
      </c>
      <c r="H296" t="n">
        <v>0.33</v>
      </c>
      <c r="I296" t="n">
        <v>1</v>
      </c>
      <c r="J296" t="inlineStr">
        <is>
          <t>NA</t>
        </is>
      </c>
      <c r="K296" t="n">
        <v>96.8</v>
      </c>
    </row>
    <row r="297">
      <c r="A297" t="inlineStr">
        <is>
          <t>SIMULATED Food Waste Remote Study</t>
        </is>
      </c>
      <c r="B297" t="inlineStr">
        <is>
          <t>RESP0039</t>
        </is>
      </c>
      <c r="C297" t="inlineStr">
        <is>
          <t>Stimulus</t>
        </is>
      </c>
      <c r="D297" t="inlineStr">
        <is>
          <t>foodwaste_visual</t>
        </is>
      </c>
      <c r="E297" t="n">
        <v>62</v>
      </c>
      <c r="F297" t="inlineStr">
        <is>
          <t>Engagement</t>
        </is>
      </c>
      <c r="G297" t="n">
        <v>50</v>
      </c>
      <c r="H297" t="n">
        <v>1.72</v>
      </c>
      <c r="I297" t="n">
        <v>1</v>
      </c>
      <c r="J297" t="inlineStr">
        <is>
          <t>NA</t>
        </is>
      </c>
      <c r="K297" t="n">
        <v>98.2</v>
      </c>
    </row>
    <row r="298">
      <c r="A298" t="inlineStr">
        <is>
          <t>SIMULATED Food Waste Remote Study</t>
        </is>
      </c>
      <c r="B298" t="inlineStr">
        <is>
          <t>RESP0039</t>
        </is>
      </c>
      <c r="C298" t="inlineStr">
        <is>
          <t>Stimulus</t>
        </is>
      </c>
      <c r="D298" t="inlineStr">
        <is>
          <t>foodwaste_visual</t>
        </is>
      </c>
      <c r="E298" t="n">
        <v>62</v>
      </c>
      <c r="F298" t="inlineStr">
        <is>
          <t>Joy</t>
        </is>
      </c>
      <c r="G298" t="n">
        <v>50</v>
      </c>
      <c r="H298" t="n">
        <v>18.71</v>
      </c>
      <c r="I298" t="n">
        <v>11</v>
      </c>
      <c r="J298" t="inlineStr">
        <is>
          <t>NA</t>
        </is>
      </c>
      <c r="K298" t="n">
        <v>98.2</v>
      </c>
    </row>
    <row r="299">
      <c r="A299" t="inlineStr">
        <is>
          <t>SIMULATED Food Waste Remote Study</t>
        </is>
      </c>
      <c r="B299" t="inlineStr">
        <is>
          <t>RESP0039</t>
        </is>
      </c>
      <c r="C299" t="inlineStr">
        <is>
          <t>Stimulus</t>
        </is>
      </c>
      <c r="D299" t="inlineStr">
        <is>
          <t>foodwaste_visual</t>
        </is>
      </c>
      <c r="E299" t="n">
        <v>62</v>
      </c>
      <c r="F299" t="inlineStr">
        <is>
          <t>Brow Furrow</t>
        </is>
      </c>
      <c r="G299" t="n">
        <v>50</v>
      </c>
      <c r="H299" t="n">
        <v>21.29</v>
      </c>
      <c r="I299" t="n">
        <v>8</v>
      </c>
      <c r="J299" t="inlineStr">
        <is>
          <t>NA</t>
        </is>
      </c>
      <c r="K299" t="n">
        <v>98.2</v>
      </c>
    </row>
    <row r="300">
      <c r="A300" t="inlineStr">
        <is>
          <t>SIMULATED Food Waste Remote Study</t>
        </is>
      </c>
      <c r="B300" t="inlineStr">
        <is>
          <t>RESP0039</t>
        </is>
      </c>
      <c r="C300" t="inlineStr">
        <is>
          <t>Stimulus</t>
        </is>
      </c>
      <c r="D300" t="inlineStr">
        <is>
          <t>foodwaste_visual</t>
        </is>
      </c>
      <c r="E300" t="n">
        <v>62</v>
      </c>
      <c r="F300" t="inlineStr">
        <is>
          <t>Positive Valence</t>
        </is>
      </c>
      <c r="G300" t="n">
        <v>50</v>
      </c>
      <c r="H300" t="n">
        <v>15.27</v>
      </c>
      <c r="I300" t="n">
        <v>5</v>
      </c>
      <c r="J300" t="inlineStr">
        <is>
          <t>NA</t>
        </is>
      </c>
      <c r="K300" t="n">
        <v>98.2</v>
      </c>
    </row>
    <row r="301">
      <c r="A301" t="inlineStr">
        <is>
          <t>SIMULATED Food Waste Remote Study</t>
        </is>
      </c>
      <c r="B301" t="inlineStr">
        <is>
          <t>RESP0039</t>
        </is>
      </c>
      <c r="C301" t="inlineStr">
        <is>
          <t>Stimulus</t>
        </is>
      </c>
      <c r="D301" t="inlineStr">
        <is>
          <t>foodwaste_visual</t>
        </is>
      </c>
      <c r="E301" t="n">
        <v>62</v>
      </c>
      <c r="F301" t="inlineStr">
        <is>
          <t>Negative Valence</t>
        </is>
      </c>
      <c r="G301" t="n">
        <v>-50</v>
      </c>
      <c r="H301" t="n">
        <v>0.11</v>
      </c>
      <c r="I301" t="n">
        <v>1</v>
      </c>
      <c r="J301" t="inlineStr">
        <is>
          <t>NA</t>
        </is>
      </c>
      <c r="K301" t="n">
        <v>98.2</v>
      </c>
    </row>
    <row r="302">
      <c r="A302" t="inlineStr">
        <is>
          <t>SIMULATED Food Waste Remote Study</t>
        </is>
      </c>
      <c r="B302" t="inlineStr">
        <is>
          <t>RESP0040</t>
        </is>
      </c>
      <c r="C302" t="inlineStr">
        <is>
          <t>Stimulus</t>
        </is>
      </c>
      <c r="D302" t="inlineStr">
        <is>
          <t>foodwaste_narrative</t>
        </is>
      </c>
      <c r="E302" t="n">
        <v>60</v>
      </c>
      <c r="F302" t="inlineStr">
        <is>
          <t>Engagement</t>
        </is>
      </c>
      <c r="G302" t="n">
        <v>50</v>
      </c>
      <c r="H302" t="n">
        <v>40.72</v>
      </c>
      <c r="I302" t="n">
        <v>7</v>
      </c>
      <c r="J302" t="inlineStr">
        <is>
          <t>NA</t>
        </is>
      </c>
      <c r="K302" t="n">
        <v>98.40000000000001</v>
      </c>
    </row>
    <row r="303">
      <c r="A303" t="inlineStr">
        <is>
          <t>SIMULATED Food Waste Remote Study</t>
        </is>
      </c>
      <c r="B303" t="inlineStr">
        <is>
          <t>RESP0040</t>
        </is>
      </c>
      <c r="C303" t="inlineStr">
        <is>
          <t>Stimulus</t>
        </is>
      </c>
      <c r="D303" t="inlineStr">
        <is>
          <t>foodwaste_narrative</t>
        </is>
      </c>
      <c r="E303" t="n">
        <v>60</v>
      </c>
      <c r="F303" t="inlineStr">
        <is>
          <t>Joy</t>
        </is>
      </c>
      <c r="G303" t="n">
        <v>50</v>
      </c>
      <c r="H303" t="n">
        <v>0</v>
      </c>
      <c r="I303" t="n">
        <v>0</v>
      </c>
      <c r="J303" t="inlineStr">
        <is>
          <t>NA</t>
        </is>
      </c>
      <c r="K303" t="n">
        <v>98.40000000000001</v>
      </c>
    </row>
    <row r="304">
      <c r="A304" t="inlineStr">
        <is>
          <t>SIMULATED Food Waste Remote Study</t>
        </is>
      </c>
      <c r="B304" t="inlineStr">
        <is>
          <t>RESP0040</t>
        </is>
      </c>
      <c r="C304" t="inlineStr">
        <is>
          <t>Stimulus</t>
        </is>
      </c>
      <c r="D304" t="inlineStr">
        <is>
          <t>foodwaste_narrative</t>
        </is>
      </c>
      <c r="E304" t="n">
        <v>60</v>
      </c>
      <c r="F304" t="inlineStr">
        <is>
          <t>Brow Furrow</t>
        </is>
      </c>
      <c r="G304" t="n">
        <v>50</v>
      </c>
      <c r="H304" t="n">
        <v>0</v>
      </c>
      <c r="I304" t="n">
        <v>0</v>
      </c>
      <c r="J304" t="inlineStr">
        <is>
          <t>NA</t>
        </is>
      </c>
      <c r="K304" t="n">
        <v>98.40000000000001</v>
      </c>
    </row>
    <row r="305">
      <c r="A305" t="inlineStr">
        <is>
          <t>SIMULATED Food Waste Remote Study</t>
        </is>
      </c>
      <c r="B305" t="inlineStr">
        <is>
          <t>RESP0040</t>
        </is>
      </c>
      <c r="C305" t="inlineStr">
        <is>
          <t>Stimulus</t>
        </is>
      </c>
      <c r="D305" t="inlineStr">
        <is>
          <t>foodwaste_narrative</t>
        </is>
      </c>
      <c r="E305" t="n">
        <v>60</v>
      </c>
      <c r="F305" t="inlineStr">
        <is>
          <t>Positive Valence</t>
        </is>
      </c>
      <c r="G305" t="n">
        <v>50</v>
      </c>
      <c r="H305" t="n">
        <v>0</v>
      </c>
      <c r="I305" t="n">
        <v>0</v>
      </c>
      <c r="J305" t="inlineStr">
        <is>
          <t>NA</t>
        </is>
      </c>
      <c r="K305" t="n">
        <v>98.40000000000001</v>
      </c>
    </row>
    <row r="306">
      <c r="A306" t="inlineStr">
        <is>
          <t>SIMULATED Food Waste Remote Study</t>
        </is>
      </c>
      <c r="B306" t="inlineStr">
        <is>
          <t>RESP0040</t>
        </is>
      </c>
      <c r="C306" t="inlineStr">
        <is>
          <t>Stimulus</t>
        </is>
      </c>
      <c r="D306" t="inlineStr">
        <is>
          <t>foodwaste_narrative</t>
        </is>
      </c>
      <c r="E306" t="n">
        <v>60</v>
      </c>
      <c r="F306" t="inlineStr">
        <is>
          <t>Negative Valence</t>
        </is>
      </c>
      <c r="G306" t="n">
        <v>-50</v>
      </c>
      <c r="H306" t="n">
        <v>0</v>
      </c>
      <c r="I306" t="n">
        <v>0</v>
      </c>
      <c r="J306" t="inlineStr">
        <is>
          <t>NA</t>
        </is>
      </c>
      <c r="K306" t="n">
        <v>98.40000000000001</v>
      </c>
    </row>
    <row r="307">
      <c r="A307" t="inlineStr">
        <is>
          <t>SIMULATED Food Waste Remote Study</t>
        </is>
      </c>
      <c r="B307" t="inlineStr">
        <is>
          <t>RESP0040</t>
        </is>
      </c>
      <c r="C307" t="inlineStr">
        <is>
          <t>Stimulus</t>
        </is>
      </c>
      <c r="D307" t="inlineStr">
        <is>
          <t>foodwaste_visual</t>
        </is>
      </c>
      <c r="E307" t="n">
        <v>62</v>
      </c>
      <c r="F307" t="inlineStr">
        <is>
          <t>Engagement</t>
        </is>
      </c>
      <c r="G307" t="n">
        <v>50</v>
      </c>
      <c r="H307" t="n">
        <v>4.14</v>
      </c>
      <c r="I307" t="n">
        <v>2</v>
      </c>
      <c r="J307" t="inlineStr">
        <is>
          <t>NA</t>
        </is>
      </c>
      <c r="K307" t="n">
        <v>98.3</v>
      </c>
    </row>
    <row r="308">
      <c r="A308" t="inlineStr">
        <is>
          <t>SIMULATED Food Waste Remote Study</t>
        </is>
      </c>
      <c r="B308" t="inlineStr">
        <is>
          <t>RESP0040</t>
        </is>
      </c>
      <c r="C308" t="inlineStr">
        <is>
          <t>Stimulus</t>
        </is>
      </c>
      <c r="D308" t="inlineStr">
        <is>
          <t>foodwaste_visual</t>
        </is>
      </c>
      <c r="E308" t="n">
        <v>62</v>
      </c>
      <c r="F308" t="inlineStr">
        <is>
          <t>Joy</t>
        </is>
      </c>
      <c r="G308" t="n">
        <v>50</v>
      </c>
      <c r="H308" t="n">
        <v>0.8100000000000001</v>
      </c>
      <c r="I308" t="n">
        <v>1</v>
      </c>
      <c r="J308" t="inlineStr">
        <is>
          <t>NA</t>
        </is>
      </c>
      <c r="K308" t="n">
        <v>98.3</v>
      </c>
    </row>
    <row r="309">
      <c r="A309" t="inlineStr">
        <is>
          <t>SIMULATED Food Waste Remote Study</t>
        </is>
      </c>
      <c r="B309" t="inlineStr">
        <is>
          <t>RESP0040</t>
        </is>
      </c>
      <c r="C309" t="inlineStr">
        <is>
          <t>Stimulus</t>
        </is>
      </c>
      <c r="D309" t="inlineStr">
        <is>
          <t>foodwaste_visual</t>
        </is>
      </c>
      <c r="E309" t="n">
        <v>62</v>
      </c>
      <c r="F309" t="inlineStr">
        <is>
          <t>Brow Furrow</t>
        </is>
      </c>
      <c r="G309" t="n">
        <v>50</v>
      </c>
      <c r="H309" t="n">
        <v>1.83</v>
      </c>
      <c r="I309" t="n">
        <v>1</v>
      </c>
      <c r="J309" t="inlineStr">
        <is>
          <t>NA</t>
        </is>
      </c>
      <c r="K309" t="n">
        <v>98.3</v>
      </c>
    </row>
    <row r="310">
      <c r="A310" t="inlineStr">
        <is>
          <t>SIMULATED Food Waste Remote Study</t>
        </is>
      </c>
      <c r="B310" t="inlineStr">
        <is>
          <t>RESP0040</t>
        </is>
      </c>
      <c r="C310" t="inlineStr">
        <is>
          <t>Stimulus</t>
        </is>
      </c>
      <c r="D310" t="inlineStr">
        <is>
          <t>foodwaste_visual</t>
        </is>
      </c>
      <c r="E310" t="n">
        <v>62</v>
      </c>
      <c r="F310" t="inlineStr">
        <is>
          <t>Positive Valence</t>
        </is>
      </c>
      <c r="G310" t="n">
        <v>50</v>
      </c>
      <c r="H310" t="n">
        <v>0</v>
      </c>
      <c r="I310" t="n">
        <v>0</v>
      </c>
      <c r="J310" t="inlineStr">
        <is>
          <t>NA</t>
        </is>
      </c>
      <c r="K310" t="n">
        <v>98.3</v>
      </c>
    </row>
    <row r="311">
      <c r="A311" t="inlineStr">
        <is>
          <t>SIMULATED Food Waste Remote Study</t>
        </is>
      </c>
      <c r="B311" t="inlineStr">
        <is>
          <t>RESP0040</t>
        </is>
      </c>
      <c r="C311" t="inlineStr">
        <is>
          <t>Stimulus</t>
        </is>
      </c>
      <c r="D311" t="inlineStr">
        <is>
          <t>foodwaste_visual</t>
        </is>
      </c>
      <c r="E311" t="n">
        <v>62</v>
      </c>
      <c r="F311" t="inlineStr">
        <is>
          <t>Negative Valence</t>
        </is>
      </c>
      <c r="G311" t="n">
        <v>-50</v>
      </c>
      <c r="H311" t="n">
        <v>4.52</v>
      </c>
      <c r="I311" t="n">
        <v>2</v>
      </c>
      <c r="J311" t="inlineStr">
        <is>
          <t>NA</t>
        </is>
      </c>
      <c r="K311" t="n">
        <v>98.3</v>
      </c>
    </row>
    <row r="312">
      <c r="A312" t="inlineStr">
        <is>
          <t>SIMULATED Food Waste Remote Study</t>
        </is>
      </c>
      <c r="B312" t="inlineStr">
        <is>
          <t>RESP0041</t>
        </is>
      </c>
      <c r="C312" t="inlineStr">
        <is>
          <t>Stimulus</t>
        </is>
      </c>
      <c r="D312" t="inlineStr">
        <is>
          <t>foodwaste_narrative</t>
        </is>
      </c>
      <c r="E312" t="n">
        <v>60</v>
      </c>
      <c r="F312" t="inlineStr">
        <is>
          <t>Engagement</t>
        </is>
      </c>
      <c r="G312" t="n">
        <v>50</v>
      </c>
      <c r="H312" t="n">
        <v>17.89</v>
      </c>
      <c r="I312" t="n">
        <v>6</v>
      </c>
      <c r="J312" t="inlineStr">
        <is>
          <t>NA</t>
        </is>
      </c>
      <c r="K312" t="n">
        <v>95.59999999999999</v>
      </c>
    </row>
    <row r="313">
      <c r="A313" t="inlineStr">
        <is>
          <t>SIMULATED Food Waste Remote Study</t>
        </is>
      </c>
      <c r="B313" t="inlineStr">
        <is>
          <t>RESP0041</t>
        </is>
      </c>
      <c r="C313" t="inlineStr">
        <is>
          <t>Stimulus</t>
        </is>
      </c>
      <c r="D313" t="inlineStr">
        <is>
          <t>foodwaste_narrative</t>
        </is>
      </c>
      <c r="E313" t="n">
        <v>60</v>
      </c>
      <c r="F313" t="inlineStr">
        <is>
          <t>Joy</t>
        </is>
      </c>
      <c r="G313" t="n">
        <v>50</v>
      </c>
      <c r="H313" t="n">
        <v>2.61</v>
      </c>
      <c r="I313" t="n">
        <v>1</v>
      </c>
      <c r="J313" t="inlineStr">
        <is>
          <t>NA</t>
        </is>
      </c>
      <c r="K313" t="n">
        <v>95.59999999999999</v>
      </c>
    </row>
    <row r="314">
      <c r="A314" t="inlineStr">
        <is>
          <t>SIMULATED Food Waste Remote Study</t>
        </is>
      </c>
      <c r="B314" t="inlineStr">
        <is>
          <t>RESP0041</t>
        </is>
      </c>
      <c r="C314" t="inlineStr">
        <is>
          <t>Stimulus</t>
        </is>
      </c>
      <c r="D314" t="inlineStr">
        <is>
          <t>foodwaste_narrative</t>
        </is>
      </c>
      <c r="E314" t="n">
        <v>60</v>
      </c>
      <c r="F314" t="inlineStr">
        <is>
          <t>Brow Furrow</t>
        </is>
      </c>
      <c r="G314" t="n">
        <v>50</v>
      </c>
      <c r="H314" t="n">
        <v>6.56</v>
      </c>
      <c r="I314" t="n">
        <v>2</v>
      </c>
      <c r="J314" t="inlineStr">
        <is>
          <t>NA</t>
        </is>
      </c>
      <c r="K314" t="n">
        <v>95.59999999999999</v>
      </c>
    </row>
    <row r="315">
      <c r="A315" t="inlineStr">
        <is>
          <t>SIMULATED Food Waste Remote Study</t>
        </is>
      </c>
      <c r="B315" t="inlineStr">
        <is>
          <t>RESP0041</t>
        </is>
      </c>
      <c r="C315" t="inlineStr">
        <is>
          <t>Stimulus</t>
        </is>
      </c>
      <c r="D315" t="inlineStr">
        <is>
          <t>foodwaste_narrative</t>
        </is>
      </c>
      <c r="E315" t="n">
        <v>60</v>
      </c>
      <c r="F315" t="inlineStr">
        <is>
          <t>Positive Valence</t>
        </is>
      </c>
      <c r="G315" t="n">
        <v>50</v>
      </c>
      <c r="H315" t="n">
        <v>13.78</v>
      </c>
      <c r="I315" t="n">
        <v>3</v>
      </c>
      <c r="J315" t="inlineStr">
        <is>
          <t>NA</t>
        </is>
      </c>
      <c r="K315" t="n">
        <v>95.59999999999999</v>
      </c>
    </row>
    <row r="316">
      <c r="A316" t="inlineStr">
        <is>
          <t>SIMULATED Food Waste Remote Study</t>
        </is>
      </c>
      <c r="B316" t="inlineStr">
        <is>
          <t>RESP0041</t>
        </is>
      </c>
      <c r="C316" t="inlineStr">
        <is>
          <t>Stimulus</t>
        </is>
      </c>
      <c r="D316" t="inlineStr">
        <is>
          <t>foodwaste_narrative</t>
        </is>
      </c>
      <c r="E316" t="n">
        <v>60</v>
      </c>
      <c r="F316" t="inlineStr">
        <is>
          <t>Negative Valence</t>
        </is>
      </c>
      <c r="G316" t="n">
        <v>-50</v>
      </c>
      <c r="H316" t="n">
        <v>0</v>
      </c>
      <c r="I316" t="n">
        <v>0</v>
      </c>
      <c r="J316" t="inlineStr">
        <is>
          <t>NA</t>
        </is>
      </c>
      <c r="K316" t="n">
        <v>95.59999999999999</v>
      </c>
    </row>
    <row r="317">
      <c r="A317" t="inlineStr">
        <is>
          <t>SIMULATED Food Waste Remote Study</t>
        </is>
      </c>
      <c r="B317" t="inlineStr">
        <is>
          <t>RESP0041</t>
        </is>
      </c>
      <c r="C317" t="inlineStr">
        <is>
          <t>Stimulus</t>
        </is>
      </c>
      <c r="D317" t="inlineStr">
        <is>
          <t>foodwaste_visual</t>
        </is>
      </c>
      <c r="E317" t="n">
        <v>62</v>
      </c>
      <c r="F317" t="inlineStr">
        <is>
          <t>Engagement</t>
        </is>
      </c>
      <c r="G317" t="n">
        <v>50</v>
      </c>
      <c r="H317" t="n">
        <v>64.56999999999999</v>
      </c>
      <c r="I317" t="n">
        <v>16</v>
      </c>
      <c r="J317" t="inlineStr">
        <is>
          <t>NA</t>
        </is>
      </c>
      <c r="K317" t="n">
        <v>97</v>
      </c>
    </row>
    <row r="318">
      <c r="A318" t="inlineStr">
        <is>
          <t>SIMULATED Food Waste Remote Study</t>
        </is>
      </c>
      <c r="B318" t="inlineStr">
        <is>
          <t>RESP0041</t>
        </is>
      </c>
      <c r="C318" t="inlineStr">
        <is>
          <t>Stimulus</t>
        </is>
      </c>
      <c r="D318" t="inlineStr">
        <is>
          <t>foodwaste_visual</t>
        </is>
      </c>
      <c r="E318" t="n">
        <v>62</v>
      </c>
      <c r="F318" t="inlineStr">
        <is>
          <t>Joy</t>
        </is>
      </c>
      <c r="G318" t="n">
        <v>50</v>
      </c>
      <c r="H318" t="n">
        <v>1.24</v>
      </c>
      <c r="I318" t="n">
        <v>1</v>
      </c>
      <c r="J318" t="inlineStr">
        <is>
          <t>NA</t>
        </is>
      </c>
      <c r="K318" t="n">
        <v>97</v>
      </c>
    </row>
    <row r="319">
      <c r="A319" t="inlineStr">
        <is>
          <t>SIMULATED Food Waste Remote Study</t>
        </is>
      </c>
      <c r="B319" t="inlineStr">
        <is>
          <t>RESP0041</t>
        </is>
      </c>
      <c r="C319" t="inlineStr">
        <is>
          <t>Stimulus</t>
        </is>
      </c>
      <c r="D319" t="inlineStr">
        <is>
          <t>foodwaste_visual</t>
        </is>
      </c>
      <c r="E319" t="n">
        <v>62</v>
      </c>
      <c r="F319" t="inlineStr">
        <is>
          <t>Brow Furrow</t>
        </is>
      </c>
      <c r="G319" t="n">
        <v>50</v>
      </c>
      <c r="H319" t="n">
        <v>48.33</v>
      </c>
      <c r="I319" t="n">
        <v>10</v>
      </c>
      <c r="J319" t="inlineStr">
        <is>
          <t>NA</t>
        </is>
      </c>
      <c r="K319" t="n">
        <v>97</v>
      </c>
    </row>
    <row r="320">
      <c r="A320" t="inlineStr">
        <is>
          <t>SIMULATED Food Waste Remote Study</t>
        </is>
      </c>
      <c r="B320" t="inlineStr">
        <is>
          <t>RESP0041</t>
        </is>
      </c>
      <c r="C320" t="inlineStr">
        <is>
          <t>Stimulus</t>
        </is>
      </c>
      <c r="D320" t="inlineStr">
        <is>
          <t>foodwaste_visual</t>
        </is>
      </c>
      <c r="E320" t="n">
        <v>62</v>
      </c>
      <c r="F320" t="inlineStr">
        <is>
          <t>Positive Valence</t>
        </is>
      </c>
      <c r="G320" t="n">
        <v>50</v>
      </c>
      <c r="H320" t="n">
        <v>24.41</v>
      </c>
      <c r="I320" t="n">
        <v>9</v>
      </c>
      <c r="J320" t="inlineStr">
        <is>
          <t>NA</t>
        </is>
      </c>
      <c r="K320" t="n">
        <v>97</v>
      </c>
    </row>
    <row r="321">
      <c r="A321" t="inlineStr">
        <is>
          <t>SIMULATED Food Waste Remote Study</t>
        </is>
      </c>
      <c r="B321" t="inlineStr">
        <is>
          <t>RESP0041</t>
        </is>
      </c>
      <c r="C321" t="inlineStr">
        <is>
          <t>Stimulus</t>
        </is>
      </c>
      <c r="D321" t="inlineStr">
        <is>
          <t>foodwaste_visual</t>
        </is>
      </c>
      <c r="E321" t="n">
        <v>62</v>
      </c>
      <c r="F321" t="inlineStr">
        <is>
          <t>Negative Valence</t>
        </is>
      </c>
      <c r="G321" t="n">
        <v>-50</v>
      </c>
      <c r="H321" t="n">
        <v>0</v>
      </c>
      <c r="I321" t="n">
        <v>0</v>
      </c>
      <c r="J321" t="inlineStr">
        <is>
          <t>NA</t>
        </is>
      </c>
      <c r="K321" t="n">
        <v>97</v>
      </c>
    </row>
    <row r="322">
      <c r="A322" t="inlineStr">
        <is>
          <t>SIMULATED Food Waste Remote Study</t>
        </is>
      </c>
      <c r="B322" t="inlineStr">
        <is>
          <t>RESP0043</t>
        </is>
      </c>
      <c r="C322" t="inlineStr">
        <is>
          <t>Stimulus</t>
        </is>
      </c>
      <c r="D322" t="inlineStr">
        <is>
          <t>foodwaste_narrative</t>
        </is>
      </c>
      <c r="E322" t="n">
        <v>60</v>
      </c>
      <c r="F322" t="inlineStr">
        <is>
          <t>Engagement</t>
        </is>
      </c>
      <c r="G322" t="n">
        <v>50</v>
      </c>
      <c r="H322" t="n">
        <v>0</v>
      </c>
      <c r="I322" t="n">
        <v>0</v>
      </c>
      <c r="J322" t="inlineStr">
        <is>
          <t>NA</t>
        </is>
      </c>
      <c r="K322" t="n">
        <v>93.3</v>
      </c>
    </row>
    <row r="323">
      <c r="A323" t="inlineStr">
        <is>
          <t>SIMULATED Food Waste Remote Study</t>
        </is>
      </c>
      <c r="B323" t="inlineStr">
        <is>
          <t>RESP0043</t>
        </is>
      </c>
      <c r="C323" t="inlineStr">
        <is>
          <t>Stimulus</t>
        </is>
      </c>
      <c r="D323" t="inlineStr">
        <is>
          <t>foodwaste_narrative</t>
        </is>
      </c>
      <c r="E323" t="n">
        <v>60</v>
      </c>
      <c r="F323" t="inlineStr">
        <is>
          <t>Joy</t>
        </is>
      </c>
      <c r="G323" t="n">
        <v>50</v>
      </c>
      <c r="H323" t="n">
        <v>0</v>
      </c>
      <c r="I323" t="n">
        <v>0</v>
      </c>
      <c r="J323" t="inlineStr">
        <is>
          <t>NA</t>
        </is>
      </c>
      <c r="K323" t="n">
        <v>93.3</v>
      </c>
    </row>
    <row r="324">
      <c r="A324" t="inlineStr">
        <is>
          <t>SIMULATED Food Waste Remote Study</t>
        </is>
      </c>
      <c r="B324" t="inlineStr">
        <is>
          <t>RESP0043</t>
        </is>
      </c>
      <c r="C324" t="inlineStr">
        <is>
          <t>Stimulus</t>
        </is>
      </c>
      <c r="D324" t="inlineStr">
        <is>
          <t>foodwaste_narrative</t>
        </is>
      </c>
      <c r="E324" t="n">
        <v>60</v>
      </c>
      <c r="F324" t="inlineStr">
        <is>
          <t>Brow Furrow</t>
        </is>
      </c>
      <c r="G324" t="n">
        <v>50</v>
      </c>
      <c r="H324" t="n">
        <v>0</v>
      </c>
      <c r="I324" t="n">
        <v>0</v>
      </c>
      <c r="J324" t="inlineStr">
        <is>
          <t>NA</t>
        </is>
      </c>
      <c r="K324" t="n">
        <v>93.3</v>
      </c>
    </row>
    <row r="325">
      <c r="A325" t="inlineStr">
        <is>
          <t>SIMULATED Food Waste Remote Study</t>
        </is>
      </c>
      <c r="B325" t="inlineStr">
        <is>
          <t>RESP0043</t>
        </is>
      </c>
      <c r="C325" t="inlineStr">
        <is>
          <t>Stimulus</t>
        </is>
      </c>
      <c r="D325" t="inlineStr">
        <is>
          <t>foodwaste_narrative</t>
        </is>
      </c>
      <c r="E325" t="n">
        <v>60</v>
      </c>
      <c r="F325" t="inlineStr">
        <is>
          <t>Positive Valence</t>
        </is>
      </c>
      <c r="G325" t="n">
        <v>50</v>
      </c>
      <c r="H325" t="n">
        <v>0</v>
      </c>
      <c r="I325" t="n">
        <v>0</v>
      </c>
      <c r="J325" t="inlineStr">
        <is>
          <t>NA</t>
        </is>
      </c>
      <c r="K325" t="n">
        <v>93.3</v>
      </c>
    </row>
    <row r="326">
      <c r="A326" t="inlineStr">
        <is>
          <t>SIMULATED Food Waste Remote Study</t>
        </is>
      </c>
      <c r="B326" t="inlineStr">
        <is>
          <t>RESP0043</t>
        </is>
      </c>
      <c r="C326" t="inlineStr">
        <is>
          <t>Stimulus</t>
        </is>
      </c>
      <c r="D326" t="inlineStr">
        <is>
          <t>foodwaste_narrative</t>
        </is>
      </c>
      <c r="E326" t="n">
        <v>60</v>
      </c>
      <c r="F326" t="inlineStr">
        <is>
          <t>Negative Valence</t>
        </is>
      </c>
      <c r="G326" t="n">
        <v>-50</v>
      </c>
      <c r="H326" t="n">
        <v>12.11</v>
      </c>
      <c r="I326" t="n">
        <v>3</v>
      </c>
      <c r="J326" t="inlineStr">
        <is>
          <t>NA</t>
        </is>
      </c>
      <c r="K326" t="n">
        <v>93.3</v>
      </c>
    </row>
    <row r="327">
      <c r="A327" t="inlineStr">
        <is>
          <t>SIMULATED Food Waste Remote Study</t>
        </is>
      </c>
      <c r="B327" t="inlineStr">
        <is>
          <t>RESP0043</t>
        </is>
      </c>
      <c r="C327" t="inlineStr">
        <is>
          <t>Stimulus</t>
        </is>
      </c>
      <c r="D327" t="inlineStr">
        <is>
          <t>foodwaste_visual</t>
        </is>
      </c>
      <c r="E327" t="n">
        <v>62</v>
      </c>
      <c r="F327" t="inlineStr">
        <is>
          <t>Engagement</t>
        </is>
      </c>
      <c r="G327" t="n">
        <v>50</v>
      </c>
      <c r="H327" t="n">
        <v>18.92</v>
      </c>
      <c r="I327" t="n">
        <v>5</v>
      </c>
      <c r="J327" t="inlineStr">
        <is>
          <t>NA</t>
        </is>
      </c>
      <c r="K327" t="n">
        <v>92.40000000000001</v>
      </c>
    </row>
    <row r="328">
      <c r="A328" t="inlineStr">
        <is>
          <t>SIMULATED Food Waste Remote Study</t>
        </is>
      </c>
      <c r="B328" t="inlineStr">
        <is>
          <t>RESP0043</t>
        </is>
      </c>
      <c r="C328" t="inlineStr">
        <is>
          <t>Stimulus</t>
        </is>
      </c>
      <c r="D328" t="inlineStr">
        <is>
          <t>foodwaste_visual</t>
        </is>
      </c>
      <c r="E328" t="n">
        <v>62</v>
      </c>
      <c r="F328" t="inlineStr">
        <is>
          <t>Joy</t>
        </is>
      </c>
      <c r="G328" t="n">
        <v>50</v>
      </c>
      <c r="H328" t="n">
        <v>0</v>
      </c>
      <c r="I328" t="n">
        <v>0</v>
      </c>
      <c r="J328" t="inlineStr">
        <is>
          <t>NA</t>
        </is>
      </c>
      <c r="K328" t="n">
        <v>92.40000000000001</v>
      </c>
    </row>
    <row r="329">
      <c r="A329" t="inlineStr">
        <is>
          <t>SIMULATED Food Waste Remote Study</t>
        </is>
      </c>
      <c r="B329" t="inlineStr">
        <is>
          <t>RESP0043</t>
        </is>
      </c>
      <c r="C329" t="inlineStr">
        <is>
          <t>Stimulus</t>
        </is>
      </c>
      <c r="D329" t="inlineStr">
        <is>
          <t>foodwaste_visual</t>
        </is>
      </c>
      <c r="E329" t="n">
        <v>62</v>
      </c>
      <c r="F329" t="inlineStr">
        <is>
          <t>Brow Furrow</t>
        </is>
      </c>
      <c r="G329" t="n">
        <v>50</v>
      </c>
      <c r="H329" t="n">
        <v>12.37</v>
      </c>
      <c r="I329" t="n">
        <v>4</v>
      </c>
      <c r="J329" t="inlineStr">
        <is>
          <t>NA</t>
        </is>
      </c>
      <c r="K329" t="n">
        <v>92.40000000000001</v>
      </c>
    </row>
    <row r="330">
      <c r="A330" t="inlineStr">
        <is>
          <t>SIMULATED Food Waste Remote Study</t>
        </is>
      </c>
      <c r="B330" t="inlineStr">
        <is>
          <t>RESP0043</t>
        </is>
      </c>
      <c r="C330" t="inlineStr">
        <is>
          <t>Stimulus</t>
        </is>
      </c>
      <c r="D330" t="inlineStr">
        <is>
          <t>foodwaste_visual</t>
        </is>
      </c>
      <c r="E330" t="n">
        <v>62</v>
      </c>
      <c r="F330" t="inlineStr">
        <is>
          <t>Positive Valence</t>
        </is>
      </c>
      <c r="G330" t="n">
        <v>50</v>
      </c>
      <c r="H330" t="n">
        <v>5.32</v>
      </c>
      <c r="I330" t="n">
        <v>2</v>
      </c>
      <c r="J330" t="inlineStr">
        <is>
          <t>NA</t>
        </is>
      </c>
      <c r="K330" t="n">
        <v>92.40000000000001</v>
      </c>
    </row>
    <row r="331">
      <c r="A331" t="inlineStr">
        <is>
          <t>SIMULATED Food Waste Remote Study</t>
        </is>
      </c>
      <c r="B331" t="inlineStr">
        <is>
          <t>RESP0043</t>
        </is>
      </c>
      <c r="C331" t="inlineStr">
        <is>
          <t>Stimulus</t>
        </is>
      </c>
      <c r="D331" t="inlineStr">
        <is>
          <t>foodwaste_visual</t>
        </is>
      </c>
      <c r="E331" t="n">
        <v>62</v>
      </c>
      <c r="F331" t="inlineStr">
        <is>
          <t>Negative Valence</t>
        </is>
      </c>
      <c r="G331" t="n">
        <v>-50</v>
      </c>
      <c r="H331" t="n">
        <v>1.4</v>
      </c>
      <c r="I331" t="n">
        <v>3</v>
      </c>
      <c r="J331" t="inlineStr">
        <is>
          <t>NA</t>
        </is>
      </c>
      <c r="K331" t="n">
        <v>92.40000000000001</v>
      </c>
    </row>
    <row r="332">
      <c r="A332" t="inlineStr">
        <is>
          <t>SIMULATED Food Waste Remote Study</t>
        </is>
      </c>
      <c r="B332" t="inlineStr">
        <is>
          <t>RESP0044</t>
        </is>
      </c>
      <c r="C332" t="inlineStr">
        <is>
          <t>Stimulus</t>
        </is>
      </c>
      <c r="D332" t="inlineStr">
        <is>
          <t>foodwaste_narrative</t>
        </is>
      </c>
      <c r="E332" t="n">
        <v>60</v>
      </c>
      <c r="F332" t="inlineStr">
        <is>
          <t>Engagement</t>
        </is>
      </c>
      <c r="G332" t="n">
        <v>50</v>
      </c>
      <c r="H332" t="n">
        <v>11.83</v>
      </c>
      <c r="I332" t="n">
        <v>6</v>
      </c>
      <c r="J332" t="inlineStr">
        <is>
          <t>NA</t>
        </is>
      </c>
      <c r="K332" t="n">
        <v>86.7</v>
      </c>
    </row>
    <row r="333">
      <c r="A333" t="inlineStr">
        <is>
          <t>SIMULATED Food Waste Remote Study</t>
        </is>
      </c>
      <c r="B333" t="inlineStr">
        <is>
          <t>RESP0044</t>
        </is>
      </c>
      <c r="C333" t="inlineStr">
        <is>
          <t>Stimulus</t>
        </is>
      </c>
      <c r="D333" t="inlineStr">
        <is>
          <t>foodwaste_narrative</t>
        </is>
      </c>
      <c r="E333" t="n">
        <v>60</v>
      </c>
      <c r="F333" t="inlineStr">
        <is>
          <t>Joy</t>
        </is>
      </c>
      <c r="G333" t="n">
        <v>50</v>
      </c>
      <c r="H333" t="n">
        <v>0</v>
      </c>
      <c r="I333" t="n">
        <v>0</v>
      </c>
      <c r="J333" t="inlineStr">
        <is>
          <t>NA</t>
        </is>
      </c>
      <c r="K333" t="n">
        <v>86.7</v>
      </c>
    </row>
    <row r="334">
      <c r="A334" t="inlineStr">
        <is>
          <t>SIMULATED Food Waste Remote Study</t>
        </is>
      </c>
      <c r="B334" t="inlineStr">
        <is>
          <t>RESP0044</t>
        </is>
      </c>
      <c r="C334" t="inlineStr">
        <is>
          <t>Stimulus</t>
        </is>
      </c>
      <c r="D334" t="inlineStr">
        <is>
          <t>foodwaste_narrative</t>
        </is>
      </c>
      <c r="E334" t="n">
        <v>60</v>
      </c>
      <c r="F334" t="inlineStr">
        <is>
          <t>Brow Furrow</t>
        </is>
      </c>
      <c r="G334" t="n">
        <v>50</v>
      </c>
      <c r="H334" t="n">
        <v>3</v>
      </c>
      <c r="I334" t="n">
        <v>3</v>
      </c>
      <c r="J334" t="inlineStr">
        <is>
          <t>NA</t>
        </is>
      </c>
      <c r="K334" t="n">
        <v>86.7</v>
      </c>
    </row>
    <row r="335">
      <c r="A335" t="inlineStr">
        <is>
          <t>SIMULATED Food Waste Remote Study</t>
        </is>
      </c>
      <c r="B335" t="inlineStr">
        <is>
          <t>RESP0044</t>
        </is>
      </c>
      <c r="C335" t="inlineStr">
        <is>
          <t>Stimulus</t>
        </is>
      </c>
      <c r="D335" t="inlineStr">
        <is>
          <t>foodwaste_narrative</t>
        </is>
      </c>
      <c r="E335" t="n">
        <v>60</v>
      </c>
      <c r="F335" t="inlineStr">
        <is>
          <t>Positive Valence</t>
        </is>
      </c>
      <c r="G335" t="n">
        <v>50</v>
      </c>
      <c r="H335" t="n">
        <v>0</v>
      </c>
      <c r="I335" t="n">
        <v>0</v>
      </c>
      <c r="J335" t="inlineStr">
        <is>
          <t>NA</t>
        </is>
      </c>
      <c r="K335" t="n">
        <v>86.7</v>
      </c>
    </row>
    <row r="336">
      <c r="A336" t="inlineStr">
        <is>
          <t>SIMULATED Food Waste Remote Study</t>
        </is>
      </c>
      <c r="B336" t="inlineStr">
        <is>
          <t>RESP0044</t>
        </is>
      </c>
      <c r="C336" t="inlineStr">
        <is>
          <t>Stimulus</t>
        </is>
      </c>
      <c r="D336" t="inlineStr">
        <is>
          <t>foodwaste_narrative</t>
        </is>
      </c>
      <c r="E336" t="n">
        <v>60</v>
      </c>
      <c r="F336" t="inlineStr">
        <is>
          <t>Negative Valence</t>
        </is>
      </c>
      <c r="G336" t="n">
        <v>-50</v>
      </c>
      <c r="H336" t="n">
        <v>14.67</v>
      </c>
      <c r="I336" t="n">
        <v>7</v>
      </c>
      <c r="J336" t="inlineStr">
        <is>
          <t>NA</t>
        </is>
      </c>
      <c r="K336" t="n">
        <v>86.7</v>
      </c>
    </row>
    <row r="337">
      <c r="A337" t="inlineStr">
        <is>
          <t>SIMULATED Food Waste Remote Study</t>
        </is>
      </c>
      <c r="B337" t="inlineStr">
        <is>
          <t>RESP0044</t>
        </is>
      </c>
      <c r="C337" t="inlineStr">
        <is>
          <t>Stimulus</t>
        </is>
      </c>
      <c r="D337" t="inlineStr">
        <is>
          <t>foodwaste_visual</t>
        </is>
      </c>
      <c r="E337" t="n">
        <v>62</v>
      </c>
      <c r="F337" t="inlineStr">
        <is>
          <t>Engagement</t>
        </is>
      </c>
      <c r="G337" t="n">
        <v>50</v>
      </c>
      <c r="H337" t="n">
        <v>17.63</v>
      </c>
      <c r="I337" t="n">
        <v>4</v>
      </c>
      <c r="J337" t="inlineStr">
        <is>
          <t>NA</t>
        </is>
      </c>
      <c r="K337" t="n">
        <v>91.7</v>
      </c>
    </row>
    <row r="338">
      <c r="A338" t="inlineStr">
        <is>
          <t>SIMULATED Food Waste Remote Study</t>
        </is>
      </c>
      <c r="B338" t="inlineStr">
        <is>
          <t>RESP0044</t>
        </is>
      </c>
      <c r="C338" t="inlineStr">
        <is>
          <t>Stimulus</t>
        </is>
      </c>
      <c r="D338" t="inlineStr">
        <is>
          <t>foodwaste_visual</t>
        </is>
      </c>
      <c r="E338" t="n">
        <v>62</v>
      </c>
      <c r="F338" t="inlineStr">
        <is>
          <t>Joy</t>
        </is>
      </c>
      <c r="G338" t="n">
        <v>50</v>
      </c>
      <c r="H338" t="n">
        <v>2.9</v>
      </c>
      <c r="I338" t="n">
        <v>1</v>
      </c>
      <c r="J338" t="inlineStr">
        <is>
          <t>NA</t>
        </is>
      </c>
      <c r="K338" t="n">
        <v>91.7</v>
      </c>
    </row>
    <row r="339">
      <c r="A339" t="inlineStr">
        <is>
          <t>SIMULATED Food Waste Remote Study</t>
        </is>
      </c>
      <c r="B339" t="inlineStr">
        <is>
          <t>RESP0044</t>
        </is>
      </c>
      <c r="C339" t="inlineStr">
        <is>
          <t>Stimulus</t>
        </is>
      </c>
      <c r="D339" t="inlineStr">
        <is>
          <t>foodwaste_visual</t>
        </is>
      </c>
      <c r="E339" t="n">
        <v>62</v>
      </c>
      <c r="F339" t="inlineStr">
        <is>
          <t>Brow Furrow</t>
        </is>
      </c>
      <c r="G339" t="n">
        <v>50</v>
      </c>
      <c r="H339" t="n">
        <v>12.26</v>
      </c>
      <c r="I339" t="n">
        <v>4</v>
      </c>
      <c r="J339" t="inlineStr">
        <is>
          <t>NA</t>
        </is>
      </c>
      <c r="K339" t="n">
        <v>91.7</v>
      </c>
    </row>
    <row r="340">
      <c r="A340" t="inlineStr">
        <is>
          <t>SIMULATED Food Waste Remote Study</t>
        </is>
      </c>
      <c r="B340" t="inlineStr">
        <is>
          <t>RESP0044</t>
        </is>
      </c>
      <c r="C340" t="inlineStr">
        <is>
          <t>Stimulus</t>
        </is>
      </c>
      <c r="D340" t="inlineStr">
        <is>
          <t>foodwaste_visual</t>
        </is>
      </c>
      <c r="E340" t="n">
        <v>62</v>
      </c>
      <c r="F340" t="inlineStr">
        <is>
          <t>Positive Valence</t>
        </is>
      </c>
      <c r="G340" t="n">
        <v>50</v>
      </c>
      <c r="H340" t="n">
        <v>25</v>
      </c>
      <c r="I340" t="n">
        <v>2</v>
      </c>
      <c r="J340" t="inlineStr">
        <is>
          <t>NA</t>
        </is>
      </c>
      <c r="K340" t="n">
        <v>91.7</v>
      </c>
    </row>
    <row r="341">
      <c r="A341" t="inlineStr">
        <is>
          <t>SIMULATED Food Waste Remote Study</t>
        </is>
      </c>
      <c r="B341" t="inlineStr">
        <is>
          <t>RESP0044</t>
        </is>
      </c>
      <c r="C341" t="inlineStr">
        <is>
          <t>Stimulus</t>
        </is>
      </c>
      <c r="D341" t="inlineStr">
        <is>
          <t>foodwaste_visual</t>
        </is>
      </c>
      <c r="E341" t="n">
        <v>62</v>
      </c>
      <c r="F341" t="inlineStr">
        <is>
          <t>Negative Valence</t>
        </is>
      </c>
      <c r="G341" t="n">
        <v>-50</v>
      </c>
      <c r="H341" t="n">
        <v>2.26</v>
      </c>
      <c r="I341" t="n">
        <v>2</v>
      </c>
      <c r="J341" t="inlineStr">
        <is>
          <t>NA</t>
        </is>
      </c>
      <c r="K341" t="n">
        <v>91.7</v>
      </c>
    </row>
    <row r="342">
      <c r="A342" t="inlineStr">
        <is>
          <t>SIMULATED Food Waste Remote Study</t>
        </is>
      </c>
      <c r="B342" t="inlineStr">
        <is>
          <t>RESP0046</t>
        </is>
      </c>
      <c r="C342" t="inlineStr">
        <is>
          <t>Stimulus</t>
        </is>
      </c>
      <c r="D342" t="inlineStr">
        <is>
          <t>foodwaste_narrative</t>
        </is>
      </c>
      <c r="E342" t="n">
        <v>60</v>
      </c>
      <c r="F342" t="inlineStr">
        <is>
          <t>Engagement</t>
        </is>
      </c>
      <c r="G342" t="n">
        <v>50</v>
      </c>
      <c r="H342" t="n">
        <v>16.5</v>
      </c>
      <c r="I342" t="n">
        <v>3</v>
      </c>
      <c r="J342" t="inlineStr">
        <is>
          <t>NA</t>
        </is>
      </c>
      <c r="K342" t="n">
        <v>98.7</v>
      </c>
    </row>
    <row r="343">
      <c r="A343" t="inlineStr">
        <is>
          <t>SIMULATED Food Waste Remote Study</t>
        </is>
      </c>
      <c r="B343" t="inlineStr">
        <is>
          <t>RESP0046</t>
        </is>
      </c>
      <c r="C343" t="inlineStr">
        <is>
          <t>Stimulus</t>
        </is>
      </c>
      <c r="D343" t="inlineStr">
        <is>
          <t>foodwaste_narrative</t>
        </is>
      </c>
      <c r="E343" t="n">
        <v>60</v>
      </c>
      <c r="F343" t="inlineStr">
        <is>
          <t>Joy</t>
        </is>
      </c>
      <c r="G343" t="n">
        <v>50</v>
      </c>
      <c r="H343" t="n">
        <v>9.720000000000001</v>
      </c>
      <c r="I343" t="n">
        <v>2</v>
      </c>
      <c r="J343" t="inlineStr">
        <is>
          <t>NA</t>
        </is>
      </c>
      <c r="K343" t="n">
        <v>98.7</v>
      </c>
    </row>
    <row r="344">
      <c r="A344" t="inlineStr">
        <is>
          <t>SIMULATED Food Waste Remote Study</t>
        </is>
      </c>
      <c r="B344" t="inlineStr">
        <is>
          <t>RESP0046</t>
        </is>
      </c>
      <c r="C344" t="inlineStr">
        <is>
          <t>Stimulus</t>
        </is>
      </c>
      <c r="D344" t="inlineStr">
        <is>
          <t>foodwaste_narrative</t>
        </is>
      </c>
      <c r="E344" t="n">
        <v>60</v>
      </c>
      <c r="F344" t="inlineStr">
        <is>
          <t>Brow Furrow</t>
        </is>
      </c>
      <c r="G344" t="n">
        <v>50</v>
      </c>
      <c r="H344" t="n">
        <v>0</v>
      </c>
      <c r="I344" t="n">
        <v>0</v>
      </c>
      <c r="J344" t="inlineStr">
        <is>
          <t>NA</t>
        </is>
      </c>
      <c r="K344" t="n">
        <v>98.7</v>
      </c>
    </row>
    <row r="345">
      <c r="A345" t="inlineStr">
        <is>
          <t>SIMULATED Food Waste Remote Study</t>
        </is>
      </c>
      <c r="B345" t="inlineStr">
        <is>
          <t>RESP0046</t>
        </is>
      </c>
      <c r="C345" t="inlineStr">
        <is>
          <t>Stimulus</t>
        </is>
      </c>
      <c r="D345" t="inlineStr">
        <is>
          <t>foodwaste_narrative</t>
        </is>
      </c>
      <c r="E345" t="n">
        <v>60</v>
      </c>
      <c r="F345" t="inlineStr">
        <is>
          <t>Positive Valence</t>
        </is>
      </c>
      <c r="G345" t="n">
        <v>50</v>
      </c>
      <c r="H345" t="n">
        <v>0</v>
      </c>
      <c r="I345" t="n">
        <v>0</v>
      </c>
      <c r="J345" t="inlineStr">
        <is>
          <t>NA</t>
        </is>
      </c>
      <c r="K345" t="n">
        <v>98.7</v>
      </c>
    </row>
    <row r="346">
      <c r="A346" t="inlineStr">
        <is>
          <t>SIMULATED Food Waste Remote Study</t>
        </is>
      </c>
      <c r="B346" t="inlineStr">
        <is>
          <t>RESP0046</t>
        </is>
      </c>
      <c r="C346" t="inlineStr">
        <is>
          <t>Stimulus</t>
        </is>
      </c>
      <c r="D346" t="inlineStr">
        <is>
          <t>foodwaste_narrative</t>
        </is>
      </c>
      <c r="E346" t="n">
        <v>60</v>
      </c>
      <c r="F346" t="inlineStr">
        <is>
          <t>Negative Valence</t>
        </is>
      </c>
      <c r="G346" t="n">
        <v>-50</v>
      </c>
      <c r="H346" t="n">
        <v>0.17</v>
      </c>
      <c r="I346" t="n">
        <v>1</v>
      </c>
      <c r="J346" t="inlineStr">
        <is>
          <t>NA</t>
        </is>
      </c>
      <c r="K346" t="n">
        <v>98.7</v>
      </c>
    </row>
    <row r="347">
      <c r="A347" t="inlineStr">
        <is>
          <t>SIMULATED Food Waste Remote Study</t>
        </is>
      </c>
      <c r="B347" t="inlineStr">
        <is>
          <t>RESP0046</t>
        </is>
      </c>
      <c r="C347" t="inlineStr">
        <is>
          <t>Stimulus</t>
        </is>
      </c>
      <c r="D347" t="inlineStr">
        <is>
          <t>foodwaste_visual</t>
        </is>
      </c>
      <c r="E347" t="n">
        <v>62</v>
      </c>
      <c r="F347" t="inlineStr">
        <is>
          <t>Engagement</t>
        </is>
      </c>
      <c r="G347" t="n">
        <v>50</v>
      </c>
      <c r="H347" t="n">
        <v>14.25</v>
      </c>
      <c r="I347" t="n">
        <v>3</v>
      </c>
      <c r="J347" t="inlineStr">
        <is>
          <t>NA</t>
        </is>
      </c>
      <c r="K347" t="n">
        <v>97.2</v>
      </c>
    </row>
    <row r="348">
      <c r="A348" t="inlineStr">
        <is>
          <t>SIMULATED Food Waste Remote Study</t>
        </is>
      </c>
      <c r="B348" t="inlineStr">
        <is>
          <t>RESP0046</t>
        </is>
      </c>
      <c r="C348" t="inlineStr">
        <is>
          <t>Stimulus</t>
        </is>
      </c>
      <c r="D348" t="inlineStr">
        <is>
          <t>foodwaste_visual</t>
        </is>
      </c>
      <c r="E348" t="n">
        <v>62</v>
      </c>
      <c r="F348" t="inlineStr">
        <is>
          <t>Joy</t>
        </is>
      </c>
      <c r="G348" t="n">
        <v>50</v>
      </c>
      <c r="H348" t="n">
        <v>1.45</v>
      </c>
      <c r="I348" t="n">
        <v>1</v>
      </c>
      <c r="J348" t="inlineStr">
        <is>
          <t>NA</t>
        </is>
      </c>
      <c r="K348" t="n">
        <v>97.2</v>
      </c>
    </row>
    <row r="349">
      <c r="A349" t="inlineStr">
        <is>
          <t>SIMULATED Food Waste Remote Study</t>
        </is>
      </c>
      <c r="B349" t="inlineStr">
        <is>
          <t>RESP0046</t>
        </is>
      </c>
      <c r="C349" t="inlineStr">
        <is>
          <t>Stimulus</t>
        </is>
      </c>
      <c r="D349" t="inlineStr">
        <is>
          <t>foodwaste_visual</t>
        </is>
      </c>
      <c r="E349" t="n">
        <v>62</v>
      </c>
      <c r="F349" t="inlineStr">
        <is>
          <t>Brow Furrow</t>
        </is>
      </c>
      <c r="G349" t="n">
        <v>50</v>
      </c>
      <c r="H349" t="n">
        <v>6.56</v>
      </c>
      <c r="I349" t="n">
        <v>5</v>
      </c>
      <c r="J349" t="inlineStr">
        <is>
          <t>NA</t>
        </is>
      </c>
      <c r="K349" t="n">
        <v>97.2</v>
      </c>
    </row>
    <row r="350">
      <c r="A350" t="inlineStr">
        <is>
          <t>SIMULATED Food Waste Remote Study</t>
        </is>
      </c>
      <c r="B350" t="inlineStr">
        <is>
          <t>RESP0046</t>
        </is>
      </c>
      <c r="C350" t="inlineStr">
        <is>
          <t>Stimulus</t>
        </is>
      </c>
      <c r="D350" t="inlineStr">
        <is>
          <t>foodwaste_visual</t>
        </is>
      </c>
      <c r="E350" t="n">
        <v>62</v>
      </c>
      <c r="F350" t="inlineStr">
        <is>
          <t>Positive Valence</t>
        </is>
      </c>
      <c r="G350" t="n">
        <v>50</v>
      </c>
      <c r="H350" t="n">
        <v>5.86</v>
      </c>
      <c r="I350" t="n">
        <v>1</v>
      </c>
      <c r="J350" t="inlineStr">
        <is>
          <t>NA</t>
        </is>
      </c>
      <c r="K350" t="n">
        <v>97.2</v>
      </c>
    </row>
    <row r="351">
      <c r="A351" t="inlineStr">
        <is>
          <t>SIMULATED Food Waste Remote Study</t>
        </is>
      </c>
      <c r="B351" t="inlineStr">
        <is>
          <t>RESP0046</t>
        </is>
      </c>
      <c r="C351" t="inlineStr">
        <is>
          <t>Stimulus</t>
        </is>
      </c>
      <c r="D351" t="inlineStr">
        <is>
          <t>foodwaste_visual</t>
        </is>
      </c>
      <c r="E351" t="n">
        <v>62</v>
      </c>
      <c r="F351" t="inlineStr">
        <is>
          <t>Negative Valence</t>
        </is>
      </c>
      <c r="G351" t="n">
        <v>-50</v>
      </c>
      <c r="H351" t="n">
        <v>1.02</v>
      </c>
      <c r="I351" t="n">
        <v>1</v>
      </c>
      <c r="J351" t="inlineStr">
        <is>
          <t>NA</t>
        </is>
      </c>
      <c r="K351" t="n">
        <v>97.2</v>
      </c>
    </row>
    <row r="352">
      <c r="A352" t="inlineStr">
        <is>
          <t>SIMULATED Food Waste Remote Study</t>
        </is>
      </c>
      <c r="B352" t="inlineStr">
        <is>
          <t>RESP0047</t>
        </is>
      </c>
      <c r="C352" t="inlineStr">
        <is>
          <t>Stimulus</t>
        </is>
      </c>
      <c r="D352" t="inlineStr">
        <is>
          <t>foodwaste_narrative</t>
        </is>
      </c>
      <c r="E352" t="n">
        <v>60</v>
      </c>
      <c r="F352" t="inlineStr">
        <is>
          <t>Engagement</t>
        </is>
      </c>
      <c r="G352" t="n">
        <v>50</v>
      </c>
      <c r="H352" t="n">
        <v>23.33</v>
      </c>
      <c r="I352" t="n">
        <v>4</v>
      </c>
      <c r="J352" t="inlineStr">
        <is>
          <t>NA</t>
        </is>
      </c>
      <c r="K352" t="n">
        <v>96</v>
      </c>
    </row>
    <row r="353">
      <c r="A353" t="inlineStr">
        <is>
          <t>SIMULATED Food Waste Remote Study</t>
        </is>
      </c>
      <c r="B353" t="inlineStr">
        <is>
          <t>RESP0047</t>
        </is>
      </c>
      <c r="C353" t="inlineStr">
        <is>
          <t>Stimulus</t>
        </is>
      </c>
      <c r="D353" t="inlineStr">
        <is>
          <t>foodwaste_narrative</t>
        </is>
      </c>
      <c r="E353" t="n">
        <v>60</v>
      </c>
      <c r="F353" t="inlineStr">
        <is>
          <t>Joy</t>
        </is>
      </c>
      <c r="G353" t="n">
        <v>50</v>
      </c>
      <c r="H353" t="n">
        <v>5.22</v>
      </c>
      <c r="I353" t="n">
        <v>2</v>
      </c>
      <c r="J353" t="inlineStr">
        <is>
          <t>NA</t>
        </is>
      </c>
      <c r="K353" t="n">
        <v>96</v>
      </c>
    </row>
    <row r="354">
      <c r="A354" t="inlineStr">
        <is>
          <t>SIMULATED Food Waste Remote Study</t>
        </is>
      </c>
      <c r="B354" t="inlineStr">
        <is>
          <t>RESP0047</t>
        </is>
      </c>
      <c r="C354" t="inlineStr">
        <is>
          <t>Stimulus</t>
        </is>
      </c>
      <c r="D354" t="inlineStr">
        <is>
          <t>foodwaste_narrative</t>
        </is>
      </c>
      <c r="E354" t="n">
        <v>60</v>
      </c>
      <c r="F354" t="inlineStr">
        <is>
          <t>Brow Furrow</t>
        </is>
      </c>
      <c r="G354" t="n">
        <v>50</v>
      </c>
      <c r="H354" t="n">
        <v>2.5</v>
      </c>
      <c r="I354" t="n">
        <v>2</v>
      </c>
      <c r="J354" t="inlineStr">
        <is>
          <t>NA</t>
        </is>
      </c>
      <c r="K354" t="n">
        <v>96</v>
      </c>
    </row>
    <row r="355">
      <c r="A355" t="inlineStr">
        <is>
          <t>SIMULATED Food Waste Remote Study</t>
        </is>
      </c>
      <c r="B355" t="inlineStr">
        <is>
          <t>RESP0047</t>
        </is>
      </c>
      <c r="C355" t="inlineStr">
        <is>
          <t>Stimulus</t>
        </is>
      </c>
      <c r="D355" t="inlineStr">
        <is>
          <t>foodwaste_narrative</t>
        </is>
      </c>
      <c r="E355" t="n">
        <v>60</v>
      </c>
      <c r="F355" t="inlineStr">
        <is>
          <t>Positive Valence</t>
        </is>
      </c>
      <c r="G355" t="n">
        <v>50</v>
      </c>
      <c r="H355" t="n">
        <v>0</v>
      </c>
      <c r="I355" t="n">
        <v>0</v>
      </c>
      <c r="J355" t="inlineStr">
        <is>
          <t>NA</t>
        </is>
      </c>
      <c r="K355" t="n">
        <v>96</v>
      </c>
    </row>
    <row r="356">
      <c r="A356" t="inlineStr">
        <is>
          <t>SIMULATED Food Waste Remote Study</t>
        </is>
      </c>
      <c r="B356" t="inlineStr">
        <is>
          <t>RESP0047</t>
        </is>
      </c>
      <c r="C356" t="inlineStr">
        <is>
          <t>Stimulus</t>
        </is>
      </c>
      <c r="D356" t="inlineStr">
        <is>
          <t>foodwaste_narrative</t>
        </is>
      </c>
      <c r="E356" t="n">
        <v>60</v>
      </c>
      <c r="F356" t="inlineStr">
        <is>
          <t>Negative Valence</t>
        </is>
      </c>
      <c r="G356" t="n">
        <v>-50</v>
      </c>
      <c r="H356" t="n">
        <v>14.22</v>
      </c>
      <c r="I356" t="n">
        <v>2</v>
      </c>
      <c r="J356" t="inlineStr">
        <is>
          <t>NA</t>
        </is>
      </c>
      <c r="K356" t="n">
        <v>96</v>
      </c>
    </row>
    <row r="357">
      <c r="A357" t="inlineStr">
        <is>
          <t>SIMULATED Food Waste Remote Study</t>
        </is>
      </c>
      <c r="B357" t="inlineStr">
        <is>
          <t>RESP0047</t>
        </is>
      </c>
      <c r="C357" t="inlineStr">
        <is>
          <t>Stimulus</t>
        </is>
      </c>
      <c r="D357" t="inlineStr">
        <is>
          <t>foodwaste_visual</t>
        </is>
      </c>
      <c r="E357" t="n">
        <v>62</v>
      </c>
      <c r="F357" t="inlineStr">
        <is>
          <t>Engagement</t>
        </is>
      </c>
      <c r="G357" t="n">
        <v>50</v>
      </c>
      <c r="H357" t="n">
        <v>82.2</v>
      </c>
      <c r="I357" t="n">
        <v>17</v>
      </c>
      <c r="J357" t="inlineStr">
        <is>
          <t>NA</t>
        </is>
      </c>
      <c r="K357" t="n">
        <v>96.2</v>
      </c>
    </row>
    <row r="358">
      <c r="A358" t="inlineStr">
        <is>
          <t>SIMULATED Food Waste Remote Study</t>
        </is>
      </c>
      <c r="B358" t="inlineStr">
        <is>
          <t>RESP0047</t>
        </is>
      </c>
      <c r="C358" t="inlineStr">
        <is>
          <t>Stimulus</t>
        </is>
      </c>
      <c r="D358" t="inlineStr">
        <is>
          <t>foodwaste_visual</t>
        </is>
      </c>
      <c r="E358" t="n">
        <v>62</v>
      </c>
      <c r="F358" t="inlineStr">
        <is>
          <t>Joy</t>
        </is>
      </c>
      <c r="G358" t="n">
        <v>50</v>
      </c>
      <c r="H358" t="n">
        <v>0</v>
      </c>
      <c r="I358" t="n">
        <v>0</v>
      </c>
      <c r="J358" t="inlineStr">
        <is>
          <t>NA</t>
        </is>
      </c>
      <c r="K358" t="n">
        <v>96.2</v>
      </c>
    </row>
    <row r="359">
      <c r="A359" t="inlineStr">
        <is>
          <t>SIMULATED Food Waste Remote Study</t>
        </is>
      </c>
      <c r="B359" t="inlineStr">
        <is>
          <t>RESP0047</t>
        </is>
      </c>
      <c r="C359" t="inlineStr">
        <is>
          <t>Stimulus</t>
        </is>
      </c>
      <c r="D359" t="inlineStr">
        <is>
          <t>foodwaste_visual</t>
        </is>
      </c>
      <c r="E359" t="n">
        <v>62</v>
      </c>
      <c r="F359" t="inlineStr">
        <is>
          <t>Brow Furrow</t>
        </is>
      </c>
      <c r="G359" t="n">
        <v>50</v>
      </c>
      <c r="H359" t="n">
        <v>3.49</v>
      </c>
      <c r="I359" t="n">
        <v>4</v>
      </c>
      <c r="J359" t="inlineStr">
        <is>
          <t>NA</t>
        </is>
      </c>
      <c r="K359" t="n">
        <v>96.2</v>
      </c>
    </row>
    <row r="360">
      <c r="A360" t="inlineStr">
        <is>
          <t>SIMULATED Food Waste Remote Study</t>
        </is>
      </c>
      <c r="B360" t="inlineStr">
        <is>
          <t>RESP0047</t>
        </is>
      </c>
      <c r="C360" t="inlineStr">
        <is>
          <t>Stimulus</t>
        </is>
      </c>
      <c r="D360" t="inlineStr">
        <is>
          <t>foodwaste_visual</t>
        </is>
      </c>
      <c r="E360" t="n">
        <v>62</v>
      </c>
      <c r="F360" t="inlineStr">
        <is>
          <t>Positive Valence</t>
        </is>
      </c>
      <c r="G360" t="n">
        <v>50</v>
      </c>
      <c r="H360" t="n">
        <v>12.37</v>
      </c>
      <c r="I360" t="n">
        <v>2</v>
      </c>
      <c r="J360" t="inlineStr">
        <is>
          <t>NA</t>
        </is>
      </c>
      <c r="K360" t="n">
        <v>96.2</v>
      </c>
    </row>
    <row r="361">
      <c r="A361" t="inlineStr">
        <is>
          <t>SIMULATED Food Waste Remote Study</t>
        </is>
      </c>
      <c r="B361" t="inlineStr">
        <is>
          <t>RESP0047</t>
        </is>
      </c>
      <c r="C361" t="inlineStr">
        <is>
          <t>Stimulus</t>
        </is>
      </c>
      <c r="D361" t="inlineStr">
        <is>
          <t>foodwaste_visual</t>
        </is>
      </c>
      <c r="E361" t="n">
        <v>62</v>
      </c>
      <c r="F361" t="inlineStr">
        <is>
          <t>Negative Valence</t>
        </is>
      </c>
      <c r="G361" t="n">
        <v>-50</v>
      </c>
      <c r="H361" t="n">
        <v>30.32</v>
      </c>
      <c r="I361" t="n">
        <v>9</v>
      </c>
      <c r="J361" t="inlineStr">
        <is>
          <t>NA</t>
        </is>
      </c>
      <c r="K361" t="n">
        <v>96.2</v>
      </c>
    </row>
    <row r="362">
      <c r="A362" t="inlineStr">
        <is>
          <t>SIMULATED Food Waste Remote Study</t>
        </is>
      </c>
      <c r="B362" t="inlineStr">
        <is>
          <t>RESP0048</t>
        </is>
      </c>
      <c r="C362" t="inlineStr">
        <is>
          <t>Stimulus</t>
        </is>
      </c>
      <c r="D362" t="inlineStr">
        <is>
          <t>foodwaste_narrative</t>
        </is>
      </c>
      <c r="E362" t="n">
        <v>60</v>
      </c>
      <c r="F362" t="inlineStr">
        <is>
          <t>Engagement</t>
        </is>
      </c>
      <c r="G362" t="n">
        <v>50</v>
      </c>
      <c r="H362" t="n">
        <v>47.06</v>
      </c>
      <c r="I362" t="n">
        <v>9</v>
      </c>
      <c r="J362" t="inlineStr">
        <is>
          <t>NA</t>
        </is>
      </c>
      <c r="K362" t="n">
        <v>99.40000000000001</v>
      </c>
    </row>
    <row r="363">
      <c r="A363" t="inlineStr">
        <is>
          <t>SIMULATED Food Waste Remote Study</t>
        </is>
      </c>
      <c r="B363" t="inlineStr">
        <is>
          <t>RESP0048</t>
        </is>
      </c>
      <c r="C363" t="inlineStr">
        <is>
          <t>Stimulus</t>
        </is>
      </c>
      <c r="D363" t="inlineStr">
        <is>
          <t>foodwaste_narrative</t>
        </is>
      </c>
      <c r="E363" t="n">
        <v>60</v>
      </c>
      <c r="F363" t="inlineStr">
        <is>
          <t>Joy</t>
        </is>
      </c>
      <c r="G363" t="n">
        <v>50</v>
      </c>
      <c r="H363" t="n">
        <v>0.72</v>
      </c>
      <c r="I363" t="n">
        <v>1</v>
      </c>
      <c r="J363" t="inlineStr">
        <is>
          <t>NA</t>
        </is>
      </c>
      <c r="K363" t="n">
        <v>99.40000000000001</v>
      </c>
    </row>
    <row r="364">
      <c r="A364" t="inlineStr">
        <is>
          <t>SIMULATED Food Waste Remote Study</t>
        </is>
      </c>
      <c r="B364" t="inlineStr">
        <is>
          <t>RESP0048</t>
        </is>
      </c>
      <c r="C364" t="inlineStr">
        <is>
          <t>Stimulus</t>
        </is>
      </c>
      <c r="D364" t="inlineStr">
        <is>
          <t>foodwaste_narrative</t>
        </is>
      </c>
      <c r="E364" t="n">
        <v>60</v>
      </c>
      <c r="F364" t="inlineStr">
        <is>
          <t>Brow Furrow</t>
        </is>
      </c>
      <c r="G364" t="n">
        <v>50</v>
      </c>
      <c r="H364" t="n">
        <v>4.89</v>
      </c>
      <c r="I364" t="n">
        <v>1</v>
      </c>
      <c r="J364" t="inlineStr">
        <is>
          <t>NA</t>
        </is>
      </c>
      <c r="K364" t="n">
        <v>99.40000000000001</v>
      </c>
    </row>
    <row r="365">
      <c r="A365" t="inlineStr">
        <is>
          <t>SIMULATED Food Waste Remote Study</t>
        </is>
      </c>
      <c r="B365" t="inlineStr">
        <is>
          <t>RESP0048</t>
        </is>
      </c>
      <c r="C365" t="inlineStr">
        <is>
          <t>Stimulus</t>
        </is>
      </c>
      <c r="D365" t="inlineStr">
        <is>
          <t>foodwaste_narrative</t>
        </is>
      </c>
      <c r="E365" t="n">
        <v>60</v>
      </c>
      <c r="F365" t="inlineStr">
        <is>
          <t>Positive Valence</t>
        </is>
      </c>
      <c r="G365" t="n">
        <v>50</v>
      </c>
      <c r="H365" t="n">
        <v>7.17</v>
      </c>
      <c r="I365" t="n">
        <v>3</v>
      </c>
      <c r="J365" t="inlineStr">
        <is>
          <t>NA</t>
        </is>
      </c>
      <c r="K365" t="n">
        <v>99.40000000000001</v>
      </c>
    </row>
    <row r="366">
      <c r="A366" t="inlineStr">
        <is>
          <t>SIMULATED Food Waste Remote Study</t>
        </is>
      </c>
      <c r="B366" t="inlineStr">
        <is>
          <t>RESP0048</t>
        </is>
      </c>
      <c r="C366" t="inlineStr">
        <is>
          <t>Stimulus</t>
        </is>
      </c>
      <c r="D366" t="inlineStr">
        <is>
          <t>foodwaste_narrative</t>
        </is>
      </c>
      <c r="E366" t="n">
        <v>60</v>
      </c>
      <c r="F366" t="inlineStr">
        <is>
          <t>Negative Valence</t>
        </is>
      </c>
      <c r="G366" t="n">
        <v>-50</v>
      </c>
      <c r="H366" t="n">
        <v>0.78</v>
      </c>
      <c r="I366" t="n">
        <v>1</v>
      </c>
      <c r="J366" t="inlineStr">
        <is>
          <t>NA</t>
        </is>
      </c>
      <c r="K366" t="n">
        <v>99.40000000000001</v>
      </c>
    </row>
    <row r="367">
      <c r="A367" t="inlineStr">
        <is>
          <t>SIMULATED Food Waste Remote Study</t>
        </is>
      </c>
      <c r="B367" t="inlineStr">
        <is>
          <t>RESP0048</t>
        </is>
      </c>
      <c r="C367" t="inlineStr">
        <is>
          <t>Stimulus</t>
        </is>
      </c>
      <c r="D367" t="inlineStr">
        <is>
          <t>foodwaste_visual</t>
        </is>
      </c>
      <c r="E367" t="n">
        <v>62</v>
      </c>
      <c r="F367" t="inlineStr">
        <is>
          <t>Engagement</t>
        </is>
      </c>
      <c r="G367" t="n">
        <v>50</v>
      </c>
      <c r="H367" t="n">
        <v>9.779999999999999</v>
      </c>
      <c r="I367" t="n">
        <v>2</v>
      </c>
      <c r="J367" t="inlineStr">
        <is>
          <t>NA</t>
        </is>
      </c>
      <c r="K367" t="n">
        <v>99.59999999999999</v>
      </c>
    </row>
    <row r="368">
      <c r="A368" t="inlineStr">
        <is>
          <t>SIMULATED Food Waste Remote Study</t>
        </is>
      </c>
      <c r="B368" t="inlineStr">
        <is>
          <t>RESP0048</t>
        </is>
      </c>
      <c r="C368" t="inlineStr">
        <is>
          <t>Stimulus</t>
        </is>
      </c>
      <c r="D368" t="inlineStr">
        <is>
          <t>foodwaste_visual</t>
        </is>
      </c>
      <c r="E368" t="n">
        <v>62</v>
      </c>
      <c r="F368" t="inlineStr">
        <is>
          <t>Joy</t>
        </is>
      </c>
      <c r="G368" t="n">
        <v>50</v>
      </c>
      <c r="H368" t="n">
        <v>17.8</v>
      </c>
      <c r="I368" t="n">
        <v>8</v>
      </c>
      <c r="J368" t="inlineStr">
        <is>
          <t>NA</t>
        </is>
      </c>
      <c r="K368" t="n">
        <v>99.59999999999999</v>
      </c>
    </row>
    <row r="369">
      <c r="A369" t="inlineStr">
        <is>
          <t>SIMULATED Food Waste Remote Study</t>
        </is>
      </c>
      <c r="B369" t="inlineStr">
        <is>
          <t>RESP0048</t>
        </is>
      </c>
      <c r="C369" t="inlineStr">
        <is>
          <t>Stimulus</t>
        </is>
      </c>
      <c r="D369" t="inlineStr">
        <is>
          <t>foodwaste_visual</t>
        </is>
      </c>
      <c r="E369" t="n">
        <v>62</v>
      </c>
      <c r="F369" t="inlineStr">
        <is>
          <t>Brow Furrow</t>
        </is>
      </c>
      <c r="G369" t="n">
        <v>50</v>
      </c>
      <c r="H369" t="n">
        <v>12.85</v>
      </c>
      <c r="I369" t="n">
        <v>5</v>
      </c>
      <c r="J369" t="inlineStr">
        <is>
          <t>NA</t>
        </is>
      </c>
      <c r="K369" t="n">
        <v>99.59999999999999</v>
      </c>
    </row>
    <row r="370">
      <c r="A370" t="inlineStr">
        <is>
          <t>SIMULATED Food Waste Remote Study</t>
        </is>
      </c>
      <c r="B370" t="inlineStr">
        <is>
          <t>RESP0048</t>
        </is>
      </c>
      <c r="C370" t="inlineStr">
        <is>
          <t>Stimulus</t>
        </is>
      </c>
      <c r="D370" t="inlineStr">
        <is>
          <t>foodwaste_visual</t>
        </is>
      </c>
      <c r="E370" t="n">
        <v>62</v>
      </c>
      <c r="F370" t="inlineStr">
        <is>
          <t>Positive Valence</t>
        </is>
      </c>
      <c r="G370" t="n">
        <v>50</v>
      </c>
      <c r="H370" t="n">
        <v>4.35</v>
      </c>
      <c r="I370" t="n">
        <v>1</v>
      </c>
      <c r="J370" t="inlineStr">
        <is>
          <t>NA</t>
        </is>
      </c>
      <c r="K370" t="n">
        <v>99.59999999999999</v>
      </c>
    </row>
    <row r="371">
      <c r="A371" t="inlineStr">
        <is>
          <t>SIMULATED Food Waste Remote Study</t>
        </is>
      </c>
      <c r="B371" t="inlineStr">
        <is>
          <t>RESP0048</t>
        </is>
      </c>
      <c r="C371" t="inlineStr">
        <is>
          <t>Stimulus</t>
        </is>
      </c>
      <c r="D371" t="inlineStr">
        <is>
          <t>foodwaste_visual</t>
        </is>
      </c>
      <c r="E371" t="n">
        <v>62</v>
      </c>
      <c r="F371" t="inlineStr">
        <is>
          <t>Negative Valence</t>
        </is>
      </c>
      <c r="G371" t="n">
        <v>-50</v>
      </c>
      <c r="H371" t="n">
        <v>5.27</v>
      </c>
      <c r="I371" t="n">
        <v>2</v>
      </c>
      <c r="J371" t="inlineStr">
        <is>
          <t>NA</t>
        </is>
      </c>
      <c r="K371" t="n">
        <v>99.59999999999999</v>
      </c>
    </row>
    <row r="372">
      <c r="A372" t="inlineStr">
        <is>
          <t>SIMULATED Food Waste Remote Study</t>
        </is>
      </c>
      <c r="B372" t="inlineStr">
        <is>
          <t>RESP0049</t>
        </is>
      </c>
      <c r="C372" t="inlineStr">
        <is>
          <t>Stimulus</t>
        </is>
      </c>
      <c r="D372" t="inlineStr">
        <is>
          <t>foodwaste_narrative</t>
        </is>
      </c>
      <c r="E372" t="n">
        <v>60</v>
      </c>
      <c r="F372" t="inlineStr">
        <is>
          <t>Engagement</t>
        </is>
      </c>
      <c r="G372" t="n">
        <v>50</v>
      </c>
      <c r="H372" t="n">
        <v>7.5</v>
      </c>
      <c r="I372" t="n">
        <v>4</v>
      </c>
      <c r="J372" t="inlineStr">
        <is>
          <t>NA</t>
        </is>
      </c>
      <c r="K372" t="n">
        <v>84.90000000000001</v>
      </c>
    </row>
    <row r="373">
      <c r="A373" t="inlineStr">
        <is>
          <t>SIMULATED Food Waste Remote Study</t>
        </is>
      </c>
      <c r="B373" t="inlineStr">
        <is>
          <t>RESP0049</t>
        </is>
      </c>
      <c r="C373" t="inlineStr">
        <is>
          <t>Stimulus</t>
        </is>
      </c>
      <c r="D373" t="inlineStr">
        <is>
          <t>foodwaste_narrative</t>
        </is>
      </c>
      <c r="E373" t="n">
        <v>60</v>
      </c>
      <c r="F373" t="inlineStr">
        <is>
          <t>Joy</t>
        </is>
      </c>
      <c r="G373" t="n">
        <v>50</v>
      </c>
      <c r="H373" t="n">
        <v>0</v>
      </c>
      <c r="I373" t="n">
        <v>0</v>
      </c>
      <c r="J373" t="inlineStr">
        <is>
          <t>NA</t>
        </is>
      </c>
      <c r="K373" t="n">
        <v>84.90000000000001</v>
      </c>
    </row>
    <row r="374">
      <c r="A374" t="inlineStr">
        <is>
          <t>SIMULATED Food Waste Remote Study</t>
        </is>
      </c>
      <c r="B374" t="inlineStr">
        <is>
          <t>RESP0049</t>
        </is>
      </c>
      <c r="C374" t="inlineStr">
        <is>
          <t>Stimulus</t>
        </is>
      </c>
      <c r="D374" t="inlineStr">
        <is>
          <t>foodwaste_narrative</t>
        </is>
      </c>
      <c r="E374" t="n">
        <v>60</v>
      </c>
      <c r="F374" t="inlineStr">
        <is>
          <t>Brow Furrow</t>
        </is>
      </c>
      <c r="G374" t="n">
        <v>50</v>
      </c>
      <c r="H374" t="n">
        <v>0</v>
      </c>
      <c r="I374" t="n">
        <v>0</v>
      </c>
      <c r="J374" t="inlineStr">
        <is>
          <t>NA</t>
        </is>
      </c>
      <c r="K374" t="n">
        <v>84.90000000000001</v>
      </c>
    </row>
    <row r="375">
      <c r="A375" t="inlineStr">
        <is>
          <t>SIMULATED Food Waste Remote Study</t>
        </is>
      </c>
      <c r="B375" t="inlineStr">
        <is>
          <t>RESP0049</t>
        </is>
      </c>
      <c r="C375" t="inlineStr">
        <is>
          <t>Stimulus</t>
        </is>
      </c>
      <c r="D375" t="inlineStr">
        <is>
          <t>foodwaste_narrative</t>
        </is>
      </c>
      <c r="E375" t="n">
        <v>60</v>
      </c>
      <c r="F375" t="inlineStr">
        <is>
          <t>Positive Valence</t>
        </is>
      </c>
      <c r="G375" t="n">
        <v>50</v>
      </c>
      <c r="H375" t="n">
        <v>0</v>
      </c>
      <c r="I375" t="n">
        <v>0</v>
      </c>
      <c r="J375" t="inlineStr">
        <is>
          <t>NA</t>
        </is>
      </c>
      <c r="K375" t="n">
        <v>84.90000000000001</v>
      </c>
    </row>
    <row r="376">
      <c r="A376" t="inlineStr">
        <is>
          <t>SIMULATED Food Waste Remote Study</t>
        </is>
      </c>
      <c r="B376" t="inlineStr">
        <is>
          <t>RESP0049</t>
        </is>
      </c>
      <c r="C376" t="inlineStr">
        <is>
          <t>Stimulus</t>
        </is>
      </c>
      <c r="D376" t="inlineStr">
        <is>
          <t>foodwaste_narrative</t>
        </is>
      </c>
      <c r="E376" t="n">
        <v>60</v>
      </c>
      <c r="F376" t="inlineStr">
        <is>
          <t>Negative Valence</t>
        </is>
      </c>
      <c r="G376" t="n">
        <v>-50</v>
      </c>
      <c r="H376" t="n">
        <v>0</v>
      </c>
      <c r="I376" t="n">
        <v>0</v>
      </c>
      <c r="J376" t="inlineStr">
        <is>
          <t>NA</t>
        </is>
      </c>
      <c r="K376" t="n">
        <v>84.90000000000001</v>
      </c>
    </row>
    <row r="377">
      <c r="A377" t="inlineStr">
        <is>
          <t>SIMULATED Food Waste Remote Study</t>
        </is>
      </c>
      <c r="B377" t="inlineStr">
        <is>
          <t>RESP0049</t>
        </is>
      </c>
      <c r="C377" t="inlineStr">
        <is>
          <t>Stimulus</t>
        </is>
      </c>
      <c r="D377" t="inlineStr">
        <is>
          <t>foodwaste_visual</t>
        </is>
      </c>
      <c r="E377" t="n">
        <v>62</v>
      </c>
      <c r="F377" t="inlineStr">
        <is>
          <t>Engagement</t>
        </is>
      </c>
      <c r="G377" t="n">
        <v>50</v>
      </c>
      <c r="H377" t="n">
        <v>16.56</v>
      </c>
      <c r="I377" t="n">
        <v>6</v>
      </c>
      <c r="J377" t="inlineStr">
        <is>
          <t>NA</t>
        </is>
      </c>
      <c r="K377" t="n">
        <v>79.09999999999999</v>
      </c>
    </row>
    <row r="378">
      <c r="A378" t="inlineStr">
        <is>
          <t>SIMULATED Food Waste Remote Study</t>
        </is>
      </c>
      <c r="B378" t="inlineStr">
        <is>
          <t>RESP0049</t>
        </is>
      </c>
      <c r="C378" t="inlineStr">
        <is>
          <t>Stimulus</t>
        </is>
      </c>
      <c r="D378" t="inlineStr">
        <is>
          <t>foodwaste_visual</t>
        </is>
      </c>
      <c r="E378" t="n">
        <v>62</v>
      </c>
      <c r="F378" t="inlineStr">
        <is>
          <t>Joy</t>
        </is>
      </c>
      <c r="G378" t="n">
        <v>50</v>
      </c>
      <c r="H378" t="n">
        <v>0</v>
      </c>
      <c r="I378" t="n">
        <v>0</v>
      </c>
      <c r="J378" t="inlineStr">
        <is>
          <t>NA</t>
        </is>
      </c>
      <c r="K378" t="n">
        <v>79.09999999999999</v>
      </c>
    </row>
    <row r="379">
      <c r="A379" t="inlineStr">
        <is>
          <t>SIMULATED Food Waste Remote Study</t>
        </is>
      </c>
      <c r="B379" t="inlineStr">
        <is>
          <t>RESP0049</t>
        </is>
      </c>
      <c r="C379" t="inlineStr">
        <is>
          <t>Stimulus</t>
        </is>
      </c>
      <c r="D379" t="inlineStr">
        <is>
          <t>foodwaste_visual</t>
        </is>
      </c>
      <c r="E379" t="n">
        <v>62</v>
      </c>
      <c r="F379" t="inlineStr">
        <is>
          <t>Brow Furrow</t>
        </is>
      </c>
      <c r="G379" t="n">
        <v>50</v>
      </c>
      <c r="H379" t="n">
        <v>19.57</v>
      </c>
      <c r="I379" t="n">
        <v>7</v>
      </c>
      <c r="J379" t="inlineStr">
        <is>
          <t>NA</t>
        </is>
      </c>
      <c r="K379" t="n">
        <v>79.09999999999999</v>
      </c>
    </row>
    <row r="380">
      <c r="A380" t="inlineStr">
        <is>
          <t>SIMULATED Food Waste Remote Study</t>
        </is>
      </c>
      <c r="B380" t="inlineStr">
        <is>
          <t>RESP0049</t>
        </is>
      </c>
      <c r="C380" t="inlineStr">
        <is>
          <t>Stimulus</t>
        </is>
      </c>
      <c r="D380" t="inlineStr">
        <is>
          <t>foodwaste_visual</t>
        </is>
      </c>
      <c r="E380" t="n">
        <v>62</v>
      </c>
      <c r="F380" t="inlineStr">
        <is>
          <t>Positive Valence</t>
        </is>
      </c>
      <c r="G380" t="n">
        <v>50</v>
      </c>
      <c r="H380" t="n">
        <v>0</v>
      </c>
      <c r="I380" t="n">
        <v>0</v>
      </c>
      <c r="J380" t="inlineStr">
        <is>
          <t>NA</t>
        </is>
      </c>
      <c r="K380" t="n">
        <v>79.09999999999999</v>
      </c>
    </row>
    <row r="381">
      <c r="A381" t="inlineStr">
        <is>
          <t>SIMULATED Food Waste Remote Study</t>
        </is>
      </c>
      <c r="B381" t="inlineStr">
        <is>
          <t>RESP0049</t>
        </is>
      </c>
      <c r="C381" t="inlineStr">
        <is>
          <t>Stimulus</t>
        </is>
      </c>
      <c r="D381" t="inlineStr">
        <is>
          <t>foodwaste_visual</t>
        </is>
      </c>
      <c r="E381" t="n">
        <v>62</v>
      </c>
      <c r="F381" t="inlineStr">
        <is>
          <t>Negative Valence</t>
        </is>
      </c>
      <c r="G381" t="n">
        <v>-50</v>
      </c>
      <c r="H381" t="n">
        <v>5.43</v>
      </c>
      <c r="I381" t="n">
        <v>5</v>
      </c>
      <c r="J381" t="inlineStr">
        <is>
          <t>NA</t>
        </is>
      </c>
      <c r="K381" t="n">
        <v>79.09999999999999</v>
      </c>
    </row>
    <row r="382">
      <c r="A382" t="inlineStr">
        <is>
          <t>SIMULATED Food Waste Remote Study</t>
        </is>
      </c>
      <c r="B382" t="inlineStr">
        <is>
          <t>RESP0050</t>
        </is>
      </c>
      <c r="C382" t="inlineStr">
        <is>
          <t>Stimulus</t>
        </is>
      </c>
      <c r="D382" t="inlineStr">
        <is>
          <t>foodwaste_narrative</t>
        </is>
      </c>
      <c r="E382" t="n">
        <v>60</v>
      </c>
      <c r="F382" t="inlineStr">
        <is>
          <t>Engagement</t>
        </is>
      </c>
      <c r="G382" t="n">
        <v>50</v>
      </c>
      <c r="H382" t="n">
        <v>44.56</v>
      </c>
      <c r="I382" t="n">
        <v>13</v>
      </c>
      <c r="J382" t="inlineStr">
        <is>
          <t>NA</t>
        </is>
      </c>
      <c r="K382" t="n">
        <v>99.09999999999999</v>
      </c>
    </row>
    <row r="383">
      <c r="A383" t="inlineStr">
        <is>
          <t>SIMULATED Food Waste Remote Study</t>
        </is>
      </c>
      <c r="B383" t="inlineStr">
        <is>
          <t>RESP0050</t>
        </is>
      </c>
      <c r="C383" t="inlineStr">
        <is>
          <t>Stimulus</t>
        </is>
      </c>
      <c r="D383" t="inlineStr">
        <is>
          <t>foodwaste_narrative</t>
        </is>
      </c>
      <c r="E383" t="n">
        <v>60</v>
      </c>
      <c r="F383" t="inlineStr">
        <is>
          <t>Joy</t>
        </is>
      </c>
      <c r="G383" t="n">
        <v>50</v>
      </c>
      <c r="H383" t="n">
        <v>0</v>
      </c>
      <c r="I383" t="n">
        <v>0</v>
      </c>
      <c r="J383" t="inlineStr">
        <is>
          <t>NA</t>
        </is>
      </c>
      <c r="K383" t="n">
        <v>99.09999999999999</v>
      </c>
    </row>
    <row r="384">
      <c r="A384" t="inlineStr">
        <is>
          <t>SIMULATED Food Waste Remote Study</t>
        </is>
      </c>
      <c r="B384" t="inlineStr">
        <is>
          <t>RESP0050</t>
        </is>
      </c>
      <c r="C384" t="inlineStr">
        <is>
          <t>Stimulus</t>
        </is>
      </c>
      <c r="D384" t="inlineStr">
        <is>
          <t>foodwaste_narrative</t>
        </is>
      </c>
      <c r="E384" t="n">
        <v>60</v>
      </c>
      <c r="F384" t="inlineStr">
        <is>
          <t>Brow Furrow</t>
        </is>
      </c>
      <c r="G384" t="n">
        <v>50</v>
      </c>
      <c r="H384" t="n">
        <v>0</v>
      </c>
      <c r="I384" t="n">
        <v>0</v>
      </c>
      <c r="J384" t="inlineStr">
        <is>
          <t>NA</t>
        </is>
      </c>
      <c r="K384" t="n">
        <v>99.09999999999999</v>
      </c>
    </row>
    <row r="385">
      <c r="A385" t="inlineStr">
        <is>
          <t>SIMULATED Food Waste Remote Study</t>
        </is>
      </c>
      <c r="B385" t="inlineStr">
        <is>
          <t>RESP0050</t>
        </is>
      </c>
      <c r="C385" t="inlineStr">
        <is>
          <t>Stimulus</t>
        </is>
      </c>
      <c r="D385" t="inlineStr">
        <is>
          <t>foodwaste_narrative</t>
        </is>
      </c>
      <c r="E385" t="n">
        <v>60</v>
      </c>
      <c r="F385" t="inlineStr">
        <is>
          <t>Positive Valence</t>
        </is>
      </c>
      <c r="G385" t="n">
        <v>50</v>
      </c>
      <c r="H385" t="n">
        <v>3.17</v>
      </c>
      <c r="I385" t="n">
        <v>1</v>
      </c>
      <c r="J385" t="inlineStr">
        <is>
          <t>NA</t>
        </is>
      </c>
      <c r="K385" t="n">
        <v>99.09999999999999</v>
      </c>
    </row>
    <row r="386">
      <c r="A386" t="inlineStr">
        <is>
          <t>SIMULATED Food Waste Remote Study</t>
        </is>
      </c>
      <c r="B386" t="inlineStr">
        <is>
          <t>RESP0050</t>
        </is>
      </c>
      <c r="C386" t="inlineStr">
        <is>
          <t>Stimulus</t>
        </is>
      </c>
      <c r="D386" t="inlineStr">
        <is>
          <t>foodwaste_narrative</t>
        </is>
      </c>
      <c r="E386" t="n">
        <v>60</v>
      </c>
      <c r="F386" t="inlineStr">
        <is>
          <t>Negative Valence</t>
        </is>
      </c>
      <c r="G386" t="n">
        <v>-50</v>
      </c>
      <c r="H386" t="n">
        <v>1.11</v>
      </c>
      <c r="I386" t="n">
        <v>1</v>
      </c>
      <c r="J386" t="inlineStr">
        <is>
          <t>NA</t>
        </is>
      </c>
      <c r="K386" t="n">
        <v>99.09999999999999</v>
      </c>
    </row>
    <row r="387">
      <c r="A387" t="inlineStr">
        <is>
          <t>SIMULATED Food Waste Remote Study</t>
        </is>
      </c>
      <c r="B387" t="inlineStr">
        <is>
          <t>RESP0050</t>
        </is>
      </c>
      <c r="C387" t="inlineStr">
        <is>
          <t>Stimulus</t>
        </is>
      </c>
      <c r="D387" t="inlineStr">
        <is>
          <t>foodwaste_visual</t>
        </is>
      </c>
      <c r="E387" t="n">
        <v>62</v>
      </c>
      <c r="F387" t="inlineStr">
        <is>
          <t>Engagement</t>
        </is>
      </c>
      <c r="G387" t="n">
        <v>50</v>
      </c>
      <c r="H387" t="n">
        <v>54.19</v>
      </c>
      <c r="I387" t="n">
        <v>12</v>
      </c>
      <c r="J387" t="inlineStr">
        <is>
          <t>NA</t>
        </is>
      </c>
      <c r="K387" t="n">
        <v>99.3</v>
      </c>
    </row>
    <row r="388">
      <c r="A388" t="inlineStr">
        <is>
          <t>SIMULATED Food Waste Remote Study</t>
        </is>
      </c>
      <c r="B388" t="inlineStr">
        <is>
          <t>RESP0050</t>
        </is>
      </c>
      <c r="C388" t="inlineStr">
        <is>
          <t>Stimulus</t>
        </is>
      </c>
      <c r="D388" t="inlineStr">
        <is>
          <t>foodwaste_visual</t>
        </is>
      </c>
      <c r="E388" t="n">
        <v>62</v>
      </c>
      <c r="F388" t="inlineStr">
        <is>
          <t>Joy</t>
        </is>
      </c>
      <c r="G388" t="n">
        <v>50</v>
      </c>
      <c r="H388" t="n">
        <v>0</v>
      </c>
      <c r="I388" t="n">
        <v>0</v>
      </c>
      <c r="J388" t="inlineStr">
        <is>
          <t>NA</t>
        </is>
      </c>
      <c r="K388" t="n">
        <v>99.3</v>
      </c>
    </row>
    <row r="389">
      <c r="A389" t="inlineStr">
        <is>
          <t>SIMULATED Food Waste Remote Study</t>
        </is>
      </c>
      <c r="B389" t="inlineStr">
        <is>
          <t>RESP0050</t>
        </is>
      </c>
      <c r="C389" t="inlineStr">
        <is>
          <t>Stimulus</t>
        </is>
      </c>
      <c r="D389" t="inlineStr">
        <is>
          <t>foodwaste_visual</t>
        </is>
      </c>
      <c r="E389" t="n">
        <v>62</v>
      </c>
      <c r="F389" t="inlineStr">
        <is>
          <t>Brow Furrow</t>
        </is>
      </c>
      <c r="G389" t="n">
        <v>50</v>
      </c>
      <c r="H389" t="n">
        <v>38.33</v>
      </c>
      <c r="I389" t="n">
        <v>8</v>
      </c>
      <c r="J389" t="inlineStr">
        <is>
          <t>NA</t>
        </is>
      </c>
      <c r="K389" t="n">
        <v>99.3</v>
      </c>
    </row>
    <row r="390">
      <c r="A390" t="inlineStr">
        <is>
          <t>SIMULATED Food Waste Remote Study</t>
        </is>
      </c>
      <c r="B390" t="inlineStr">
        <is>
          <t>RESP0050</t>
        </is>
      </c>
      <c r="C390" t="inlineStr">
        <is>
          <t>Stimulus</t>
        </is>
      </c>
      <c r="D390" t="inlineStr">
        <is>
          <t>foodwaste_visual</t>
        </is>
      </c>
      <c r="E390" t="n">
        <v>62</v>
      </c>
      <c r="F390" t="inlineStr">
        <is>
          <t>Positive Valence</t>
        </is>
      </c>
      <c r="G390" t="n">
        <v>50</v>
      </c>
      <c r="H390" t="n">
        <v>1.88</v>
      </c>
      <c r="I390" t="n">
        <v>3</v>
      </c>
      <c r="J390" t="inlineStr">
        <is>
          <t>NA</t>
        </is>
      </c>
      <c r="K390" t="n">
        <v>99.3</v>
      </c>
    </row>
    <row r="391">
      <c r="A391" t="inlineStr">
        <is>
          <t>SIMULATED Food Waste Remote Study</t>
        </is>
      </c>
      <c r="B391" t="inlineStr">
        <is>
          <t>RESP0050</t>
        </is>
      </c>
      <c r="C391" t="inlineStr">
        <is>
          <t>Stimulus</t>
        </is>
      </c>
      <c r="D391" t="inlineStr">
        <is>
          <t>foodwaste_visual</t>
        </is>
      </c>
      <c r="E391" t="n">
        <v>62</v>
      </c>
      <c r="F391" t="inlineStr">
        <is>
          <t>Negative Valence</t>
        </is>
      </c>
      <c r="G391" t="n">
        <v>-50</v>
      </c>
      <c r="H391" t="n">
        <v>16.83</v>
      </c>
      <c r="I391" t="n">
        <v>6</v>
      </c>
      <c r="J391" t="inlineStr">
        <is>
          <t>NA</t>
        </is>
      </c>
      <c r="K391" t="n">
        <v>99.3</v>
      </c>
    </row>
    <row r="392">
      <c r="A392" t="inlineStr">
        <is>
          <t>SIMULATED Food Waste Remote Study</t>
        </is>
      </c>
      <c r="B392" t="inlineStr">
        <is>
          <t>RESP0052</t>
        </is>
      </c>
      <c r="C392" t="inlineStr">
        <is>
          <t>Stimulus</t>
        </is>
      </c>
      <c r="D392" t="inlineStr">
        <is>
          <t>foodwaste_narrative</t>
        </is>
      </c>
      <c r="E392" t="n">
        <v>60</v>
      </c>
      <c r="F392" t="inlineStr">
        <is>
          <t>Engagement</t>
        </is>
      </c>
      <c r="G392" t="n">
        <v>50</v>
      </c>
      <c r="H392" t="n">
        <v>0</v>
      </c>
      <c r="I392" t="n">
        <v>0</v>
      </c>
      <c r="J392" t="inlineStr">
        <is>
          <t>NA</t>
        </is>
      </c>
      <c r="K392" t="n">
        <v>94.7</v>
      </c>
    </row>
    <row r="393">
      <c r="A393" t="inlineStr">
        <is>
          <t>SIMULATED Food Waste Remote Study</t>
        </is>
      </c>
      <c r="B393" t="inlineStr">
        <is>
          <t>RESP0052</t>
        </is>
      </c>
      <c r="C393" t="inlineStr">
        <is>
          <t>Stimulus</t>
        </is>
      </c>
      <c r="D393" t="inlineStr">
        <is>
          <t>foodwaste_narrative</t>
        </is>
      </c>
      <c r="E393" t="n">
        <v>60</v>
      </c>
      <c r="F393" t="inlineStr">
        <is>
          <t>Joy</t>
        </is>
      </c>
      <c r="G393" t="n">
        <v>50</v>
      </c>
      <c r="H393" t="n">
        <v>0</v>
      </c>
      <c r="I393" t="n">
        <v>0</v>
      </c>
      <c r="J393" t="inlineStr">
        <is>
          <t>NA</t>
        </is>
      </c>
      <c r="K393" t="n">
        <v>94.7</v>
      </c>
    </row>
    <row r="394">
      <c r="A394" t="inlineStr">
        <is>
          <t>SIMULATED Food Waste Remote Study</t>
        </is>
      </c>
      <c r="B394" t="inlineStr">
        <is>
          <t>RESP0052</t>
        </is>
      </c>
      <c r="C394" t="inlineStr">
        <is>
          <t>Stimulus</t>
        </is>
      </c>
      <c r="D394" t="inlineStr">
        <is>
          <t>foodwaste_narrative</t>
        </is>
      </c>
      <c r="E394" t="n">
        <v>60</v>
      </c>
      <c r="F394" t="inlineStr">
        <is>
          <t>Brow Furrow</t>
        </is>
      </c>
      <c r="G394" t="n">
        <v>50</v>
      </c>
      <c r="H394" t="n">
        <v>0</v>
      </c>
      <c r="I394" t="n">
        <v>0</v>
      </c>
      <c r="J394" t="inlineStr">
        <is>
          <t>NA</t>
        </is>
      </c>
      <c r="K394" t="n">
        <v>94.7</v>
      </c>
    </row>
    <row r="395">
      <c r="A395" t="inlineStr">
        <is>
          <t>SIMULATED Food Waste Remote Study</t>
        </is>
      </c>
      <c r="B395" t="inlineStr">
        <is>
          <t>RESP0052</t>
        </is>
      </c>
      <c r="C395" t="inlineStr">
        <is>
          <t>Stimulus</t>
        </is>
      </c>
      <c r="D395" t="inlineStr">
        <is>
          <t>foodwaste_narrative</t>
        </is>
      </c>
      <c r="E395" t="n">
        <v>60</v>
      </c>
      <c r="F395" t="inlineStr">
        <is>
          <t>Positive Valence</t>
        </is>
      </c>
      <c r="G395" t="n">
        <v>50</v>
      </c>
      <c r="H395" t="n">
        <v>0.9399999999999999</v>
      </c>
      <c r="I395" t="n">
        <v>2</v>
      </c>
      <c r="J395" t="inlineStr">
        <is>
          <t>NA</t>
        </is>
      </c>
      <c r="K395" t="n">
        <v>94.7</v>
      </c>
    </row>
    <row r="396">
      <c r="A396" t="inlineStr">
        <is>
          <t>SIMULATED Food Waste Remote Study</t>
        </is>
      </c>
      <c r="B396" t="inlineStr">
        <is>
          <t>RESP0052</t>
        </is>
      </c>
      <c r="C396" t="inlineStr">
        <is>
          <t>Stimulus</t>
        </is>
      </c>
      <c r="D396" t="inlineStr">
        <is>
          <t>foodwaste_narrative</t>
        </is>
      </c>
      <c r="E396" t="n">
        <v>60</v>
      </c>
      <c r="F396" t="inlineStr">
        <is>
          <t>Negative Valence</t>
        </is>
      </c>
      <c r="G396" t="n">
        <v>-50</v>
      </c>
      <c r="H396" t="n">
        <v>0</v>
      </c>
      <c r="I396" t="n">
        <v>0</v>
      </c>
      <c r="J396" t="inlineStr">
        <is>
          <t>NA</t>
        </is>
      </c>
      <c r="K396" t="n">
        <v>94.7</v>
      </c>
    </row>
    <row r="397">
      <c r="A397" t="inlineStr">
        <is>
          <t>SIMULATED Food Waste Remote Study</t>
        </is>
      </c>
      <c r="B397" t="inlineStr">
        <is>
          <t>RESP0052</t>
        </is>
      </c>
      <c r="C397" t="inlineStr">
        <is>
          <t>Stimulus</t>
        </is>
      </c>
      <c r="D397" t="inlineStr">
        <is>
          <t>foodwaste_visual</t>
        </is>
      </c>
      <c r="E397" t="n">
        <v>62</v>
      </c>
      <c r="F397" t="inlineStr">
        <is>
          <t>Engagement</t>
        </is>
      </c>
      <c r="G397" t="n">
        <v>50</v>
      </c>
      <c r="H397" t="n">
        <v>54.41</v>
      </c>
      <c r="I397" t="n">
        <v>12</v>
      </c>
      <c r="J397" t="inlineStr">
        <is>
          <t>NA</t>
        </is>
      </c>
      <c r="K397" t="n">
        <v>94.90000000000001</v>
      </c>
    </row>
    <row r="398">
      <c r="A398" t="inlineStr">
        <is>
          <t>SIMULATED Food Waste Remote Study</t>
        </is>
      </c>
      <c r="B398" t="inlineStr">
        <is>
          <t>RESP0052</t>
        </is>
      </c>
      <c r="C398" t="inlineStr">
        <is>
          <t>Stimulus</t>
        </is>
      </c>
      <c r="D398" t="inlineStr">
        <is>
          <t>foodwaste_visual</t>
        </is>
      </c>
      <c r="E398" t="n">
        <v>62</v>
      </c>
      <c r="F398" t="inlineStr">
        <is>
          <t>Joy</t>
        </is>
      </c>
      <c r="G398" t="n">
        <v>50</v>
      </c>
      <c r="H398" t="n">
        <v>4.78</v>
      </c>
      <c r="I398" t="n">
        <v>2</v>
      </c>
      <c r="J398" t="inlineStr">
        <is>
          <t>NA</t>
        </is>
      </c>
      <c r="K398" t="n">
        <v>94.90000000000001</v>
      </c>
    </row>
    <row r="399">
      <c r="A399" t="inlineStr">
        <is>
          <t>SIMULATED Food Waste Remote Study</t>
        </is>
      </c>
      <c r="B399" t="inlineStr">
        <is>
          <t>RESP0052</t>
        </is>
      </c>
      <c r="C399" t="inlineStr">
        <is>
          <t>Stimulus</t>
        </is>
      </c>
      <c r="D399" t="inlineStr">
        <is>
          <t>foodwaste_visual</t>
        </is>
      </c>
      <c r="E399" t="n">
        <v>62</v>
      </c>
      <c r="F399" t="inlineStr">
        <is>
          <t>Brow Furrow</t>
        </is>
      </c>
      <c r="G399" t="n">
        <v>50</v>
      </c>
      <c r="H399" t="n">
        <v>0</v>
      </c>
      <c r="I399" t="n">
        <v>0</v>
      </c>
      <c r="J399" t="inlineStr">
        <is>
          <t>NA</t>
        </is>
      </c>
      <c r="K399" t="n">
        <v>94.90000000000001</v>
      </c>
    </row>
    <row r="400">
      <c r="A400" t="inlineStr">
        <is>
          <t>SIMULATED Food Waste Remote Study</t>
        </is>
      </c>
      <c r="B400" t="inlineStr">
        <is>
          <t>RESP0052</t>
        </is>
      </c>
      <c r="C400" t="inlineStr">
        <is>
          <t>Stimulus</t>
        </is>
      </c>
      <c r="D400" t="inlineStr">
        <is>
          <t>foodwaste_visual</t>
        </is>
      </c>
      <c r="E400" t="n">
        <v>62</v>
      </c>
      <c r="F400" t="inlineStr">
        <is>
          <t>Positive Valence</t>
        </is>
      </c>
      <c r="G400" t="n">
        <v>50</v>
      </c>
      <c r="H400" t="n">
        <v>1.56</v>
      </c>
      <c r="I400" t="n">
        <v>1</v>
      </c>
      <c r="J400" t="inlineStr">
        <is>
          <t>NA</t>
        </is>
      </c>
      <c r="K400" t="n">
        <v>94.90000000000001</v>
      </c>
    </row>
    <row r="401">
      <c r="A401" t="inlineStr">
        <is>
          <t>SIMULATED Food Waste Remote Study</t>
        </is>
      </c>
      <c r="B401" t="inlineStr">
        <is>
          <t>RESP0052</t>
        </is>
      </c>
      <c r="C401" t="inlineStr">
        <is>
          <t>Stimulus</t>
        </is>
      </c>
      <c r="D401" t="inlineStr">
        <is>
          <t>foodwaste_visual</t>
        </is>
      </c>
      <c r="E401" t="n">
        <v>62</v>
      </c>
      <c r="F401" t="inlineStr">
        <is>
          <t>Negative Valence</t>
        </is>
      </c>
      <c r="G401" t="n">
        <v>-50</v>
      </c>
      <c r="H401" t="n">
        <v>5</v>
      </c>
      <c r="I401" t="n">
        <v>1</v>
      </c>
      <c r="J401" t="inlineStr">
        <is>
          <t>NA</t>
        </is>
      </c>
      <c r="K401" t="n">
        <v>94.90000000000001</v>
      </c>
    </row>
    <row r="402">
      <c r="A402" t="inlineStr">
        <is>
          <t>SIMULATED Food Waste Remote Study</t>
        </is>
      </c>
      <c r="B402" t="inlineStr">
        <is>
          <t>RESP0053</t>
        </is>
      </c>
      <c r="C402" t="inlineStr">
        <is>
          <t>Stimulus</t>
        </is>
      </c>
      <c r="D402" t="inlineStr">
        <is>
          <t>foodwaste_narrative</t>
        </is>
      </c>
      <c r="E402" t="n">
        <v>60</v>
      </c>
      <c r="F402" t="inlineStr">
        <is>
          <t>Engagement</t>
        </is>
      </c>
      <c r="G402" t="n">
        <v>50</v>
      </c>
      <c r="H402" t="n">
        <v>27.11</v>
      </c>
      <c r="I402" t="n">
        <v>2</v>
      </c>
      <c r="J402" t="inlineStr">
        <is>
          <t>NA</t>
        </is>
      </c>
      <c r="K402" t="n">
        <v>99.2</v>
      </c>
    </row>
    <row r="403">
      <c r="A403" t="inlineStr">
        <is>
          <t>SIMULATED Food Waste Remote Study</t>
        </is>
      </c>
      <c r="B403" t="inlineStr">
        <is>
          <t>RESP0053</t>
        </is>
      </c>
      <c r="C403" t="inlineStr">
        <is>
          <t>Stimulus</t>
        </is>
      </c>
      <c r="D403" t="inlineStr">
        <is>
          <t>foodwaste_narrative</t>
        </is>
      </c>
      <c r="E403" t="n">
        <v>60</v>
      </c>
      <c r="F403" t="inlineStr">
        <is>
          <t>Joy</t>
        </is>
      </c>
      <c r="G403" t="n">
        <v>50</v>
      </c>
      <c r="H403" t="n">
        <v>0</v>
      </c>
      <c r="I403" t="n">
        <v>0</v>
      </c>
      <c r="J403" t="inlineStr">
        <is>
          <t>NA</t>
        </is>
      </c>
      <c r="K403" t="n">
        <v>99.2</v>
      </c>
    </row>
    <row r="404">
      <c r="A404" t="inlineStr">
        <is>
          <t>SIMULATED Food Waste Remote Study</t>
        </is>
      </c>
      <c r="B404" t="inlineStr">
        <is>
          <t>RESP0053</t>
        </is>
      </c>
      <c r="C404" t="inlineStr">
        <is>
          <t>Stimulus</t>
        </is>
      </c>
      <c r="D404" t="inlineStr">
        <is>
          <t>foodwaste_narrative</t>
        </is>
      </c>
      <c r="E404" t="n">
        <v>60</v>
      </c>
      <c r="F404" t="inlineStr">
        <is>
          <t>Brow Furrow</t>
        </is>
      </c>
      <c r="G404" t="n">
        <v>50</v>
      </c>
      <c r="H404" t="n">
        <v>2.78</v>
      </c>
      <c r="I404" t="n">
        <v>2</v>
      </c>
      <c r="J404" t="inlineStr">
        <is>
          <t>NA</t>
        </is>
      </c>
      <c r="K404" t="n">
        <v>99.2</v>
      </c>
    </row>
    <row r="405">
      <c r="A405" t="inlineStr">
        <is>
          <t>SIMULATED Food Waste Remote Study</t>
        </is>
      </c>
      <c r="B405" t="inlineStr">
        <is>
          <t>RESP0053</t>
        </is>
      </c>
      <c r="C405" t="inlineStr">
        <is>
          <t>Stimulus</t>
        </is>
      </c>
      <c r="D405" t="inlineStr">
        <is>
          <t>foodwaste_narrative</t>
        </is>
      </c>
      <c r="E405" t="n">
        <v>60</v>
      </c>
      <c r="F405" t="inlineStr">
        <is>
          <t>Positive Valence</t>
        </is>
      </c>
      <c r="G405" t="n">
        <v>50</v>
      </c>
      <c r="H405" t="n">
        <v>0</v>
      </c>
      <c r="I405" t="n">
        <v>0</v>
      </c>
      <c r="J405" t="inlineStr">
        <is>
          <t>NA</t>
        </is>
      </c>
      <c r="K405" t="n">
        <v>99.2</v>
      </c>
    </row>
    <row r="406">
      <c r="A406" t="inlineStr">
        <is>
          <t>SIMULATED Food Waste Remote Study</t>
        </is>
      </c>
      <c r="B406" t="inlineStr">
        <is>
          <t>RESP0053</t>
        </is>
      </c>
      <c r="C406" t="inlineStr">
        <is>
          <t>Stimulus</t>
        </is>
      </c>
      <c r="D406" t="inlineStr">
        <is>
          <t>foodwaste_narrative</t>
        </is>
      </c>
      <c r="E406" t="n">
        <v>60</v>
      </c>
      <c r="F406" t="inlineStr">
        <is>
          <t>Negative Valence</t>
        </is>
      </c>
      <c r="G406" t="n">
        <v>-50</v>
      </c>
      <c r="H406" t="n">
        <v>0</v>
      </c>
      <c r="I406" t="n">
        <v>0</v>
      </c>
      <c r="J406" t="inlineStr">
        <is>
          <t>NA</t>
        </is>
      </c>
      <c r="K406" t="n">
        <v>99.2</v>
      </c>
    </row>
    <row r="407">
      <c r="A407" t="inlineStr">
        <is>
          <t>SIMULATED Food Waste Remote Study</t>
        </is>
      </c>
      <c r="B407" t="inlineStr">
        <is>
          <t>RESP0053</t>
        </is>
      </c>
      <c r="C407" t="inlineStr">
        <is>
          <t>Stimulus</t>
        </is>
      </c>
      <c r="D407" t="inlineStr">
        <is>
          <t>foodwaste_visual</t>
        </is>
      </c>
      <c r="E407" t="n">
        <v>62</v>
      </c>
      <c r="F407" t="inlineStr">
        <is>
          <t>Engagement</t>
        </is>
      </c>
      <c r="G407" t="n">
        <v>50</v>
      </c>
      <c r="H407" t="n">
        <v>57.37</v>
      </c>
      <c r="I407" t="n">
        <v>11</v>
      </c>
      <c r="J407" t="inlineStr">
        <is>
          <t>NA</t>
        </is>
      </c>
      <c r="K407" t="n">
        <v>97.59999999999999</v>
      </c>
    </row>
    <row r="408">
      <c r="A408" t="inlineStr">
        <is>
          <t>SIMULATED Food Waste Remote Study</t>
        </is>
      </c>
      <c r="B408" t="inlineStr">
        <is>
          <t>RESP0053</t>
        </is>
      </c>
      <c r="C408" t="inlineStr">
        <is>
          <t>Stimulus</t>
        </is>
      </c>
      <c r="D408" t="inlineStr">
        <is>
          <t>foodwaste_visual</t>
        </is>
      </c>
      <c r="E408" t="n">
        <v>62</v>
      </c>
      <c r="F408" t="inlineStr">
        <is>
          <t>Joy</t>
        </is>
      </c>
      <c r="G408" t="n">
        <v>50</v>
      </c>
      <c r="H408" t="n">
        <v>2.1</v>
      </c>
      <c r="I408" t="n">
        <v>2</v>
      </c>
      <c r="J408" t="inlineStr">
        <is>
          <t>NA</t>
        </is>
      </c>
      <c r="K408" t="n">
        <v>97.59999999999999</v>
      </c>
    </row>
    <row r="409">
      <c r="A409" t="inlineStr">
        <is>
          <t>SIMULATED Food Waste Remote Study</t>
        </is>
      </c>
      <c r="B409" t="inlineStr">
        <is>
          <t>RESP0053</t>
        </is>
      </c>
      <c r="C409" t="inlineStr">
        <is>
          <t>Stimulus</t>
        </is>
      </c>
      <c r="D409" t="inlineStr">
        <is>
          <t>foodwaste_visual</t>
        </is>
      </c>
      <c r="E409" t="n">
        <v>62</v>
      </c>
      <c r="F409" t="inlineStr">
        <is>
          <t>Brow Furrow</t>
        </is>
      </c>
      <c r="G409" t="n">
        <v>50</v>
      </c>
      <c r="H409" t="n">
        <v>2.31</v>
      </c>
      <c r="I409" t="n">
        <v>1</v>
      </c>
      <c r="J409" t="inlineStr">
        <is>
          <t>NA</t>
        </is>
      </c>
      <c r="K409" t="n">
        <v>97.59999999999999</v>
      </c>
    </row>
    <row r="410">
      <c r="A410" t="inlineStr">
        <is>
          <t>SIMULATED Food Waste Remote Study</t>
        </is>
      </c>
      <c r="B410" t="inlineStr">
        <is>
          <t>RESP0053</t>
        </is>
      </c>
      <c r="C410" t="inlineStr">
        <is>
          <t>Stimulus</t>
        </is>
      </c>
      <c r="D410" t="inlineStr">
        <is>
          <t>foodwaste_visual</t>
        </is>
      </c>
      <c r="E410" t="n">
        <v>62</v>
      </c>
      <c r="F410" t="inlineStr">
        <is>
          <t>Positive Valence</t>
        </is>
      </c>
      <c r="G410" t="n">
        <v>50</v>
      </c>
      <c r="H410" t="n">
        <v>0</v>
      </c>
      <c r="I410" t="n">
        <v>0</v>
      </c>
      <c r="J410" t="inlineStr">
        <is>
          <t>NA</t>
        </is>
      </c>
      <c r="K410" t="n">
        <v>97.59999999999999</v>
      </c>
    </row>
    <row r="411">
      <c r="A411" t="inlineStr">
        <is>
          <t>SIMULATED Food Waste Remote Study</t>
        </is>
      </c>
      <c r="B411" t="inlineStr">
        <is>
          <t>RESP0053</t>
        </is>
      </c>
      <c r="C411" t="inlineStr">
        <is>
          <t>Stimulus</t>
        </is>
      </c>
      <c r="D411" t="inlineStr">
        <is>
          <t>foodwaste_visual</t>
        </is>
      </c>
      <c r="E411" t="n">
        <v>62</v>
      </c>
      <c r="F411" t="inlineStr">
        <is>
          <t>Negative Valence</t>
        </is>
      </c>
      <c r="G411" t="n">
        <v>-50</v>
      </c>
      <c r="H411" t="n">
        <v>16.29</v>
      </c>
      <c r="I411" t="n">
        <v>3</v>
      </c>
      <c r="J411" t="inlineStr">
        <is>
          <t>NA</t>
        </is>
      </c>
      <c r="K411" t="n">
        <v>97.59999999999999</v>
      </c>
    </row>
    <row r="412">
      <c r="A412" t="inlineStr">
        <is>
          <t>SIMULATED Food Waste Remote Study</t>
        </is>
      </c>
      <c r="B412" t="inlineStr">
        <is>
          <t>RESP0055</t>
        </is>
      </c>
      <c r="C412" t="inlineStr">
        <is>
          <t>Stimulus</t>
        </is>
      </c>
      <c r="D412" t="inlineStr">
        <is>
          <t>foodwaste_narrative</t>
        </is>
      </c>
      <c r="E412" t="n">
        <v>60</v>
      </c>
      <c r="F412" t="inlineStr">
        <is>
          <t>Engagement</t>
        </is>
      </c>
      <c r="G412" t="n">
        <v>50</v>
      </c>
      <c r="H412" t="n">
        <v>71.06</v>
      </c>
      <c r="I412" t="n">
        <v>17</v>
      </c>
      <c r="J412" t="inlineStr">
        <is>
          <t>NA</t>
        </is>
      </c>
      <c r="K412" t="n">
        <v>97.8</v>
      </c>
    </row>
    <row r="413">
      <c r="A413" t="inlineStr">
        <is>
          <t>SIMULATED Food Waste Remote Study</t>
        </is>
      </c>
      <c r="B413" t="inlineStr">
        <is>
          <t>RESP0055</t>
        </is>
      </c>
      <c r="C413" t="inlineStr">
        <is>
          <t>Stimulus</t>
        </is>
      </c>
      <c r="D413" t="inlineStr">
        <is>
          <t>foodwaste_narrative</t>
        </is>
      </c>
      <c r="E413" t="n">
        <v>60</v>
      </c>
      <c r="F413" t="inlineStr">
        <is>
          <t>Joy</t>
        </is>
      </c>
      <c r="G413" t="n">
        <v>50</v>
      </c>
      <c r="H413" t="n">
        <v>0</v>
      </c>
      <c r="I413" t="n">
        <v>0</v>
      </c>
      <c r="J413" t="inlineStr">
        <is>
          <t>NA</t>
        </is>
      </c>
      <c r="K413" t="n">
        <v>97.8</v>
      </c>
    </row>
    <row r="414">
      <c r="A414" t="inlineStr">
        <is>
          <t>SIMULATED Food Waste Remote Study</t>
        </is>
      </c>
      <c r="B414" t="inlineStr">
        <is>
          <t>RESP0055</t>
        </is>
      </c>
      <c r="C414" t="inlineStr">
        <is>
          <t>Stimulus</t>
        </is>
      </c>
      <c r="D414" t="inlineStr">
        <is>
          <t>foodwaste_narrative</t>
        </is>
      </c>
      <c r="E414" t="n">
        <v>60</v>
      </c>
      <c r="F414" t="inlineStr">
        <is>
          <t>Brow Furrow</t>
        </is>
      </c>
      <c r="G414" t="n">
        <v>50</v>
      </c>
      <c r="H414" t="n">
        <v>0</v>
      </c>
      <c r="I414" t="n">
        <v>0</v>
      </c>
      <c r="J414" t="inlineStr">
        <is>
          <t>NA</t>
        </is>
      </c>
      <c r="K414" t="n">
        <v>97.8</v>
      </c>
    </row>
    <row r="415">
      <c r="A415" t="inlineStr">
        <is>
          <t>SIMULATED Food Waste Remote Study</t>
        </is>
      </c>
      <c r="B415" t="inlineStr">
        <is>
          <t>RESP0055</t>
        </is>
      </c>
      <c r="C415" t="inlineStr">
        <is>
          <t>Stimulus</t>
        </is>
      </c>
      <c r="D415" t="inlineStr">
        <is>
          <t>foodwaste_narrative</t>
        </is>
      </c>
      <c r="E415" t="n">
        <v>60</v>
      </c>
      <c r="F415" t="inlineStr">
        <is>
          <t>Positive Valence</t>
        </is>
      </c>
      <c r="G415" t="n">
        <v>50</v>
      </c>
      <c r="H415" t="n">
        <v>2.22</v>
      </c>
      <c r="I415" t="n">
        <v>1</v>
      </c>
      <c r="J415" t="inlineStr">
        <is>
          <t>NA</t>
        </is>
      </c>
      <c r="K415" t="n">
        <v>97.8</v>
      </c>
    </row>
    <row r="416">
      <c r="A416" t="inlineStr">
        <is>
          <t>SIMULATED Food Waste Remote Study</t>
        </is>
      </c>
      <c r="B416" t="inlineStr">
        <is>
          <t>RESP0055</t>
        </is>
      </c>
      <c r="C416" t="inlineStr">
        <is>
          <t>Stimulus</t>
        </is>
      </c>
      <c r="D416" t="inlineStr">
        <is>
          <t>foodwaste_narrative</t>
        </is>
      </c>
      <c r="E416" t="n">
        <v>60</v>
      </c>
      <c r="F416" t="inlineStr">
        <is>
          <t>Negative Valence</t>
        </is>
      </c>
      <c r="G416" t="n">
        <v>-50</v>
      </c>
      <c r="H416" t="n">
        <v>0</v>
      </c>
      <c r="I416" t="n">
        <v>0</v>
      </c>
      <c r="J416" t="inlineStr">
        <is>
          <t>NA</t>
        </is>
      </c>
      <c r="K416" t="n">
        <v>97.8</v>
      </c>
    </row>
    <row r="417">
      <c r="A417" t="inlineStr">
        <is>
          <t>SIMULATED Food Waste Remote Study</t>
        </is>
      </c>
      <c r="B417" t="inlineStr">
        <is>
          <t>RESP0055</t>
        </is>
      </c>
      <c r="C417" t="inlineStr">
        <is>
          <t>Stimulus</t>
        </is>
      </c>
      <c r="D417" t="inlineStr">
        <is>
          <t>foodwaste_visual</t>
        </is>
      </c>
      <c r="E417" t="n">
        <v>62</v>
      </c>
      <c r="F417" t="inlineStr">
        <is>
          <t>Engagement</t>
        </is>
      </c>
      <c r="G417" t="n">
        <v>50</v>
      </c>
      <c r="H417" t="n">
        <v>88.01000000000001</v>
      </c>
      <c r="I417" t="n">
        <v>26</v>
      </c>
      <c r="J417" t="inlineStr">
        <is>
          <t>NA</t>
        </is>
      </c>
      <c r="K417" t="n">
        <v>97.40000000000001</v>
      </c>
    </row>
    <row r="418">
      <c r="A418" t="inlineStr">
        <is>
          <t>SIMULATED Food Waste Remote Study</t>
        </is>
      </c>
      <c r="B418" t="inlineStr">
        <is>
          <t>RESP0055</t>
        </is>
      </c>
      <c r="C418" t="inlineStr">
        <is>
          <t>Stimulus</t>
        </is>
      </c>
      <c r="D418" t="inlineStr">
        <is>
          <t>foodwaste_visual</t>
        </is>
      </c>
      <c r="E418" t="n">
        <v>62</v>
      </c>
      <c r="F418" t="inlineStr">
        <is>
          <t>Joy</t>
        </is>
      </c>
      <c r="G418" t="n">
        <v>50</v>
      </c>
      <c r="H418" t="n">
        <v>3.01</v>
      </c>
      <c r="I418" t="n">
        <v>2</v>
      </c>
      <c r="J418" t="inlineStr">
        <is>
          <t>NA</t>
        </is>
      </c>
      <c r="K418" t="n">
        <v>97.40000000000001</v>
      </c>
    </row>
    <row r="419">
      <c r="A419" t="inlineStr">
        <is>
          <t>SIMULATED Food Waste Remote Study</t>
        </is>
      </c>
      <c r="B419" t="inlineStr">
        <is>
          <t>RESP0055</t>
        </is>
      </c>
      <c r="C419" t="inlineStr">
        <is>
          <t>Stimulus</t>
        </is>
      </c>
      <c r="D419" t="inlineStr">
        <is>
          <t>foodwaste_visual</t>
        </is>
      </c>
      <c r="E419" t="n">
        <v>62</v>
      </c>
      <c r="F419" t="inlineStr">
        <is>
          <t>Brow Furrow</t>
        </is>
      </c>
      <c r="G419" t="n">
        <v>50</v>
      </c>
      <c r="H419" t="n">
        <v>1.4</v>
      </c>
      <c r="I419" t="n">
        <v>2</v>
      </c>
      <c r="J419" t="inlineStr">
        <is>
          <t>NA</t>
        </is>
      </c>
      <c r="K419" t="n">
        <v>97.40000000000001</v>
      </c>
    </row>
    <row r="420">
      <c r="A420" t="inlineStr">
        <is>
          <t>SIMULATED Food Waste Remote Study</t>
        </is>
      </c>
      <c r="B420" t="inlineStr">
        <is>
          <t>RESP0055</t>
        </is>
      </c>
      <c r="C420" t="inlineStr">
        <is>
          <t>Stimulus</t>
        </is>
      </c>
      <c r="D420" t="inlineStr">
        <is>
          <t>foodwaste_visual</t>
        </is>
      </c>
      <c r="E420" t="n">
        <v>62</v>
      </c>
      <c r="F420" t="inlineStr">
        <is>
          <t>Positive Valence</t>
        </is>
      </c>
      <c r="G420" t="n">
        <v>50</v>
      </c>
      <c r="H420" t="n">
        <v>0</v>
      </c>
      <c r="I420" t="n">
        <v>0</v>
      </c>
      <c r="J420" t="inlineStr">
        <is>
          <t>NA</t>
        </is>
      </c>
      <c r="K420" t="n">
        <v>97.40000000000001</v>
      </c>
    </row>
    <row r="421">
      <c r="A421" t="inlineStr">
        <is>
          <t>SIMULATED Food Waste Remote Study</t>
        </is>
      </c>
      <c r="B421" t="inlineStr">
        <is>
          <t>RESP0055</t>
        </is>
      </c>
      <c r="C421" t="inlineStr">
        <is>
          <t>Stimulus</t>
        </is>
      </c>
      <c r="D421" t="inlineStr">
        <is>
          <t>foodwaste_visual</t>
        </is>
      </c>
      <c r="E421" t="n">
        <v>62</v>
      </c>
      <c r="F421" t="inlineStr">
        <is>
          <t>Negative Valence</t>
        </is>
      </c>
      <c r="G421" t="n">
        <v>-50</v>
      </c>
      <c r="H421" t="n">
        <v>0</v>
      </c>
      <c r="I421" t="n">
        <v>0</v>
      </c>
      <c r="J421" t="inlineStr">
        <is>
          <t>NA</t>
        </is>
      </c>
      <c r="K421" t="n">
        <v>97.40000000000001</v>
      </c>
    </row>
    <row r="422">
      <c r="A422" t="inlineStr">
        <is>
          <t>SIMULATED Food Waste Remote Study</t>
        </is>
      </c>
      <c r="B422" t="inlineStr">
        <is>
          <t>RESP0056</t>
        </is>
      </c>
      <c r="C422" t="inlineStr">
        <is>
          <t>Stimulus</t>
        </is>
      </c>
      <c r="D422" t="inlineStr">
        <is>
          <t>foodwaste_narrative</t>
        </is>
      </c>
      <c r="E422" t="n">
        <v>60</v>
      </c>
      <c r="F422" t="inlineStr">
        <is>
          <t>Engagement</t>
        </is>
      </c>
      <c r="G422" t="n">
        <v>50</v>
      </c>
      <c r="H422" t="n">
        <v>68.61</v>
      </c>
      <c r="I422" t="n">
        <v>21</v>
      </c>
      <c r="J422" t="inlineStr">
        <is>
          <t>NA</t>
        </is>
      </c>
      <c r="K422" t="n">
        <v>99</v>
      </c>
    </row>
    <row r="423">
      <c r="A423" t="inlineStr">
        <is>
          <t>SIMULATED Food Waste Remote Study</t>
        </is>
      </c>
      <c r="B423" t="inlineStr">
        <is>
          <t>RESP0056</t>
        </is>
      </c>
      <c r="C423" t="inlineStr">
        <is>
          <t>Stimulus</t>
        </is>
      </c>
      <c r="D423" t="inlineStr">
        <is>
          <t>foodwaste_narrative</t>
        </is>
      </c>
      <c r="E423" t="n">
        <v>60</v>
      </c>
      <c r="F423" t="inlineStr">
        <is>
          <t>Joy</t>
        </is>
      </c>
      <c r="G423" t="n">
        <v>50</v>
      </c>
      <c r="H423" t="n">
        <v>0</v>
      </c>
      <c r="I423" t="n">
        <v>0</v>
      </c>
      <c r="J423" t="inlineStr">
        <is>
          <t>NA</t>
        </is>
      </c>
      <c r="K423" t="n">
        <v>99</v>
      </c>
    </row>
    <row r="424">
      <c r="A424" t="inlineStr">
        <is>
          <t>SIMULATED Food Waste Remote Study</t>
        </is>
      </c>
      <c r="B424" t="inlineStr">
        <is>
          <t>RESP0056</t>
        </is>
      </c>
      <c r="C424" t="inlineStr">
        <is>
          <t>Stimulus</t>
        </is>
      </c>
      <c r="D424" t="inlineStr">
        <is>
          <t>foodwaste_narrative</t>
        </is>
      </c>
      <c r="E424" t="n">
        <v>60</v>
      </c>
      <c r="F424" t="inlineStr">
        <is>
          <t>Brow Furrow</t>
        </is>
      </c>
      <c r="G424" t="n">
        <v>50</v>
      </c>
      <c r="H424" t="n">
        <v>27.67</v>
      </c>
      <c r="I424" t="n">
        <v>6</v>
      </c>
      <c r="J424" t="inlineStr">
        <is>
          <t>NA</t>
        </is>
      </c>
      <c r="K424" t="n">
        <v>99</v>
      </c>
    </row>
    <row r="425">
      <c r="A425" t="inlineStr">
        <is>
          <t>SIMULATED Food Waste Remote Study</t>
        </is>
      </c>
      <c r="B425" t="inlineStr">
        <is>
          <t>RESP0056</t>
        </is>
      </c>
      <c r="C425" t="inlineStr">
        <is>
          <t>Stimulus</t>
        </is>
      </c>
      <c r="D425" t="inlineStr">
        <is>
          <t>foodwaste_narrative</t>
        </is>
      </c>
      <c r="E425" t="n">
        <v>60</v>
      </c>
      <c r="F425" t="inlineStr">
        <is>
          <t>Positive Valence</t>
        </is>
      </c>
      <c r="G425" t="n">
        <v>50</v>
      </c>
      <c r="H425" t="n">
        <v>0</v>
      </c>
      <c r="I425" t="n">
        <v>0</v>
      </c>
      <c r="J425" t="inlineStr">
        <is>
          <t>NA</t>
        </is>
      </c>
      <c r="K425" t="n">
        <v>99</v>
      </c>
    </row>
    <row r="426">
      <c r="A426" t="inlineStr">
        <is>
          <t>SIMULATED Food Waste Remote Study</t>
        </is>
      </c>
      <c r="B426" t="inlineStr">
        <is>
          <t>RESP0056</t>
        </is>
      </c>
      <c r="C426" t="inlineStr">
        <is>
          <t>Stimulus</t>
        </is>
      </c>
      <c r="D426" t="inlineStr">
        <is>
          <t>foodwaste_narrative</t>
        </is>
      </c>
      <c r="E426" t="n">
        <v>60</v>
      </c>
      <c r="F426" t="inlineStr">
        <is>
          <t>Negative Valence</t>
        </is>
      </c>
      <c r="G426" t="n">
        <v>-50</v>
      </c>
      <c r="H426" t="n">
        <v>9.779999999999999</v>
      </c>
      <c r="I426" t="n">
        <v>8</v>
      </c>
      <c r="J426" t="inlineStr">
        <is>
          <t>NA</t>
        </is>
      </c>
      <c r="K426" t="n">
        <v>99</v>
      </c>
    </row>
    <row r="427">
      <c r="A427" t="inlineStr">
        <is>
          <t>SIMULATED Food Waste Remote Study</t>
        </is>
      </c>
      <c r="B427" t="inlineStr">
        <is>
          <t>RESP0056</t>
        </is>
      </c>
      <c r="C427" t="inlineStr">
        <is>
          <t>Stimulus</t>
        </is>
      </c>
      <c r="D427" t="inlineStr">
        <is>
          <t>foodwaste_visual</t>
        </is>
      </c>
      <c r="E427" t="n">
        <v>62</v>
      </c>
      <c r="F427" t="inlineStr">
        <is>
          <t>Engagement</t>
        </is>
      </c>
      <c r="G427" t="n">
        <v>50</v>
      </c>
      <c r="H427" t="n">
        <v>63.39</v>
      </c>
      <c r="I427" t="n">
        <v>19</v>
      </c>
      <c r="J427" t="inlineStr">
        <is>
          <t>NA</t>
        </is>
      </c>
      <c r="K427" t="n">
        <v>99.59999999999999</v>
      </c>
    </row>
    <row r="428">
      <c r="A428" t="inlineStr">
        <is>
          <t>SIMULATED Food Waste Remote Study</t>
        </is>
      </c>
      <c r="B428" t="inlineStr">
        <is>
          <t>RESP0056</t>
        </is>
      </c>
      <c r="C428" t="inlineStr">
        <is>
          <t>Stimulus</t>
        </is>
      </c>
      <c r="D428" t="inlineStr">
        <is>
          <t>foodwaste_visual</t>
        </is>
      </c>
      <c r="E428" t="n">
        <v>62</v>
      </c>
      <c r="F428" t="inlineStr">
        <is>
          <t>Joy</t>
        </is>
      </c>
      <c r="G428" t="n">
        <v>50</v>
      </c>
      <c r="H428" t="n">
        <v>6.24</v>
      </c>
      <c r="I428" t="n">
        <v>1</v>
      </c>
      <c r="J428" t="inlineStr">
        <is>
          <t>NA</t>
        </is>
      </c>
      <c r="K428" t="n">
        <v>99.59999999999999</v>
      </c>
    </row>
    <row r="429">
      <c r="A429" t="inlineStr">
        <is>
          <t>SIMULATED Food Waste Remote Study</t>
        </is>
      </c>
      <c r="B429" t="inlineStr">
        <is>
          <t>RESP0056</t>
        </is>
      </c>
      <c r="C429" t="inlineStr">
        <is>
          <t>Stimulus</t>
        </is>
      </c>
      <c r="D429" t="inlineStr">
        <is>
          <t>foodwaste_visual</t>
        </is>
      </c>
      <c r="E429" t="n">
        <v>62</v>
      </c>
      <c r="F429" t="inlineStr">
        <is>
          <t>Brow Furrow</t>
        </is>
      </c>
      <c r="G429" t="n">
        <v>50</v>
      </c>
      <c r="H429" t="n">
        <v>36.67</v>
      </c>
      <c r="I429" t="n">
        <v>13</v>
      </c>
      <c r="J429" t="inlineStr">
        <is>
          <t>NA</t>
        </is>
      </c>
      <c r="K429" t="n">
        <v>99.59999999999999</v>
      </c>
    </row>
    <row r="430">
      <c r="A430" t="inlineStr">
        <is>
          <t>SIMULATED Food Waste Remote Study</t>
        </is>
      </c>
      <c r="B430" t="inlineStr">
        <is>
          <t>RESP0056</t>
        </is>
      </c>
      <c r="C430" t="inlineStr">
        <is>
          <t>Stimulus</t>
        </is>
      </c>
      <c r="D430" t="inlineStr">
        <is>
          <t>foodwaste_visual</t>
        </is>
      </c>
      <c r="E430" t="n">
        <v>62</v>
      </c>
      <c r="F430" t="inlineStr">
        <is>
          <t>Positive Valence</t>
        </is>
      </c>
      <c r="G430" t="n">
        <v>50</v>
      </c>
      <c r="H430" t="n">
        <v>0</v>
      </c>
      <c r="I430" t="n">
        <v>0</v>
      </c>
      <c r="J430" t="inlineStr">
        <is>
          <t>NA</t>
        </is>
      </c>
      <c r="K430" t="n">
        <v>99.59999999999999</v>
      </c>
    </row>
    <row r="431">
      <c r="A431" t="inlineStr">
        <is>
          <t>SIMULATED Food Waste Remote Study</t>
        </is>
      </c>
      <c r="B431" t="inlineStr">
        <is>
          <t>RESP0056</t>
        </is>
      </c>
      <c r="C431" t="inlineStr">
        <is>
          <t>Stimulus</t>
        </is>
      </c>
      <c r="D431" t="inlineStr">
        <is>
          <t>foodwaste_visual</t>
        </is>
      </c>
      <c r="E431" t="n">
        <v>62</v>
      </c>
      <c r="F431" t="inlineStr">
        <is>
          <t>Negative Valence</t>
        </is>
      </c>
      <c r="G431" t="n">
        <v>-50</v>
      </c>
      <c r="H431" t="n">
        <v>13.66</v>
      </c>
      <c r="I431" t="n">
        <v>7</v>
      </c>
      <c r="J431" t="inlineStr">
        <is>
          <t>NA</t>
        </is>
      </c>
      <c r="K431" t="n">
        <v>99.59999999999999</v>
      </c>
    </row>
    <row r="432">
      <c r="A432" t="inlineStr">
        <is>
          <t>SIMULATED Food Waste Remote Study</t>
        </is>
      </c>
      <c r="B432" t="inlineStr">
        <is>
          <t>RESP0058</t>
        </is>
      </c>
      <c r="C432" t="inlineStr">
        <is>
          <t>Stimulus</t>
        </is>
      </c>
      <c r="D432" t="inlineStr">
        <is>
          <t>foodwaste_narrative</t>
        </is>
      </c>
      <c r="E432" t="n">
        <v>60</v>
      </c>
      <c r="F432" t="inlineStr">
        <is>
          <t>Engagement</t>
        </is>
      </c>
      <c r="G432" t="n">
        <v>50</v>
      </c>
      <c r="H432" t="n">
        <v>12.39</v>
      </c>
      <c r="I432" t="n">
        <v>4</v>
      </c>
      <c r="J432" t="inlineStr">
        <is>
          <t>NA</t>
        </is>
      </c>
      <c r="K432" t="n">
        <v>99.3</v>
      </c>
    </row>
    <row r="433">
      <c r="A433" t="inlineStr">
        <is>
          <t>SIMULATED Food Waste Remote Study</t>
        </is>
      </c>
      <c r="B433" t="inlineStr">
        <is>
          <t>RESP0058</t>
        </is>
      </c>
      <c r="C433" t="inlineStr">
        <is>
          <t>Stimulus</t>
        </is>
      </c>
      <c r="D433" t="inlineStr">
        <is>
          <t>foodwaste_narrative</t>
        </is>
      </c>
      <c r="E433" t="n">
        <v>60</v>
      </c>
      <c r="F433" t="inlineStr">
        <is>
          <t>Joy</t>
        </is>
      </c>
      <c r="G433" t="n">
        <v>50</v>
      </c>
      <c r="H433" t="n">
        <v>1.94</v>
      </c>
      <c r="I433" t="n">
        <v>1</v>
      </c>
      <c r="J433" t="inlineStr">
        <is>
          <t>NA</t>
        </is>
      </c>
      <c r="K433" t="n">
        <v>99.3</v>
      </c>
    </row>
    <row r="434">
      <c r="A434" t="inlineStr">
        <is>
          <t>SIMULATED Food Waste Remote Study</t>
        </is>
      </c>
      <c r="B434" t="inlineStr">
        <is>
          <t>RESP0058</t>
        </is>
      </c>
      <c r="C434" t="inlineStr">
        <is>
          <t>Stimulus</t>
        </is>
      </c>
      <c r="D434" t="inlineStr">
        <is>
          <t>foodwaste_narrative</t>
        </is>
      </c>
      <c r="E434" t="n">
        <v>60</v>
      </c>
      <c r="F434" t="inlineStr">
        <is>
          <t>Brow Furrow</t>
        </is>
      </c>
      <c r="G434" t="n">
        <v>50</v>
      </c>
      <c r="H434" t="n">
        <v>0</v>
      </c>
      <c r="I434" t="n">
        <v>0</v>
      </c>
      <c r="J434" t="inlineStr">
        <is>
          <t>NA</t>
        </is>
      </c>
      <c r="K434" t="n">
        <v>99.3</v>
      </c>
    </row>
    <row r="435">
      <c r="A435" t="inlineStr">
        <is>
          <t>SIMULATED Food Waste Remote Study</t>
        </is>
      </c>
      <c r="B435" t="inlineStr">
        <is>
          <t>RESP0058</t>
        </is>
      </c>
      <c r="C435" t="inlineStr">
        <is>
          <t>Stimulus</t>
        </is>
      </c>
      <c r="D435" t="inlineStr">
        <is>
          <t>foodwaste_narrative</t>
        </is>
      </c>
      <c r="E435" t="n">
        <v>60</v>
      </c>
      <c r="F435" t="inlineStr">
        <is>
          <t>Positive Valence</t>
        </is>
      </c>
      <c r="G435" t="n">
        <v>50</v>
      </c>
      <c r="H435" t="n">
        <v>0</v>
      </c>
      <c r="I435" t="n">
        <v>0</v>
      </c>
      <c r="J435" t="inlineStr">
        <is>
          <t>NA</t>
        </is>
      </c>
      <c r="K435" t="n">
        <v>99.3</v>
      </c>
    </row>
    <row r="436">
      <c r="A436" t="inlineStr">
        <is>
          <t>SIMULATED Food Waste Remote Study</t>
        </is>
      </c>
      <c r="B436" t="inlineStr">
        <is>
          <t>RESP0058</t>
        </is>
      </c>
      <c r="C436" t="inlineStr">
        <is>
          <t>Stimulus</t>
        </is>
      </c>
      <c r="D436" t="inlineStr">
        <is>
          <t>foodwaste_narrative</t>
        </is>
      </c>
      <c r="E436" t="n">
        <v>60</v>
      </c>
      <c r="F436" t="inlineStr">
        <is>
          <t>Negative Valence</t>
        </is>
      </c>
      <c r="G436" t="n">
        <v>-50</v>
      </c>
      <c r="H436" t="n">
        <v>17.17</v>
      </c>
      <c r="I436" t="n">
        <v>5</v>
      </c>
      <c r="J436" t="inlineStr">
        <is>
          <t>NA</t>
        </is>
      </c>
      <c r="K436" t="n">
        <v>99.3</v>
      </c>
    </row>
    <row r="437">
      <c r="A437" t="inlineStr">
        <is>
          <t>SIMULATED Food Waste Remote Study</t>
        </is>
      </c>
      <c r="B437" t="inlineStr">
        <is>
          <t>RESP0058</t>
        </is>
      </c>
      <c r="C437" t="inlineStr">
        <is>
          <t>Stimulus</t>
        </is>
      </c>
      <c r="D437" t="inlineStr">
        <is>
          <t>foodwaste_visual</t>
        </is>
      </c>
      <c r="E437" t="n">
        <v>62</v>
      </c>
      <c r="F437" t="inlineStr">
        <is>
          <t>Engagement</t>
        </is>
      </c>
      <c r="G437" t="n">
        <v>50</v>
      </c>
      <c r="H437" t="n">
        <v>55.27</v>
      </c>
      <c r="I437" t="n">
        <v>16</v>
      </c>
      <c r="J437" t="inlineStr">
        <is>
          <t>NA</t>
        </is>
      </c>
      <c r="K437" t="n">
        <v>99.09999999999999</v>
      </c>
    </row>
    <row r="438">
      <c r="A438" t="inlineStr">
        <is>
          <t>SIMULATED Food Waste Remote Study</t>
        </is>
      </c>
      <c r="B438" t="inlineStr">
        <is>
          <t>RESP0058</t>
        </is>
      </c>
      <c r="C438" t="inlineStr">
        <is>
          <t>Stimulus</t>
        </is>
      </c>
      <c r="D438" t="inlineStr">
        <is>
          <t>foodwaste_visual</t>
        </is>
      </c>
      <c r="E438" t="n">
        <v>62</v>
      </c>
      <c r="F438" t="inlineStr">
        <is>
          <t>Joy</t>
        </is>
      </c>
      <c r="G438" t="n">
        <v>50</v>
      </c>
      <c r="H438" t="n">
        <v>0</v>
      </c>
      <c r="I438" t="n">
        <v>0</v>
      </c>
      <c r="J438" t="inlineStr">
        <is>
          <t>NA</t>
        </is>
      </c>
      <c r="K438" t="n">
        <v>99.09999999999999</v>
      </c>
    </row>
    <row r="439">
      <c r="A439" t="inlineStr">
        <is>
          <t>SIMULATED Food Waste Remote Study</t>
        </is>
      </c>
      <c r="B439" t="inlineStr">
        <is>
          <t>RESP0058</t>
        </is>
      </c>
      <c r="C439" t="inlineStr">
        <is>
          <t>Stimulus</t>
        </is>
      </c>
      <c r="D439" t="inlineStr">
        <is>
          <t>foodwaste_visual</t>
        </is>
      </c>
      <c r="E439" t="n">
        <v>62</v>
      </c>
      <c r="F439" t="inlineStr">
        <is>
          <t>Brow Furrow</t>
        </is>
      </c>
      <c r="G439" t="n">
        <v>50</v>
      </c>
      <c r="H439" t="n">
        <v>2.69</v>
      </c>
      <c r="I439" t="n">
        <v>3</v>
      </c>
      <c r="J439" t="inlineStr">
        <is>
          <t>NA</t>
        </is>
      </c>
      <c r="K439" t="n">
        <v>99.09999999999999</v>
      </c>
    </row>
    <row r="440">
      <c r="A440" t="inlineStr">
        <is>
          <t>SIMULATED Food Waste Remote Study</t>
        </is>
      </c>
      <c r="B440" t="inlineStr">
        <is>
          <t>RESP0058</t>
        </is>
      </c>
      <c r="C440" t="inlineStr">
        <is>
          <t>Stimulus</t>
        </is>
      </c>
      <c r="D440" t="inlineStr">
        <is>
          <t>foodwaste_visual</t>
        </is>
      </c>
      <c r="E440" t="n">
        <v>62</v>
      </c>
      <c r="F440" t="inlineStr">
        <is>
          <t>Positive Valence</t>
        </is>
      </c>
      <c r="G440" t="n">
        <v>50</v>
      </c>
      <c r="H440" t="n">
        <v>6.51</v>
      </c>
      <c r="I440" t="n">
        <v>2</v>
      </c>
      <c r="J440" t="inlineStr">
        <is>
          <t>NA</t>
        </is>
      </c>
      <c r="K440" t="n">
        <v>99.09999999999999</v>
      </c>
    </row>
    <row r="441">
      <c r="A441" t="inlineStr">
        <is>
          <t>SIMULATED Food Waste Remote Study</t>
        </is>
      </c>
      <c r="B441" t="inlineStr">
        <is>
          <t>RESP0058</t>
        </is>
      </c>
      <c r="C441" t="inlineStr">
        <is>
          <t>Stimulus</t>
        </is>
      </c>
      <c r="D441" t="inlineStr">
        <is>
          <t>foodwaste_visual</t>
        </is>
      </c>
      <c r="E441" t="n">
        <v>62</v>
      </c>
      <c r="F441" t="inlineStr">
        <is>
          <t>Negative Valence</t>
        </is>
      </c>
      <c r="G441" t="n">
        <v>-50</v>
      </c>
      <c r="H441" t="n">
        <v>3.17</v>
      </c>
      <c r="I441" t="n">
        <v>3</v>
      </c>
      <c r="J441" t="inlineStr">
        <is>
          <t>NA</t>
        </is>
      </c>
      <c r="K441" t="n">
        <v>99.09999999999999</v>
      </c>
    </row>
    <row r="442">
      <c r="A442" t="inlineStr">
        <is>
          <t>SIMULATED Food Waste Remote Study</t>
        </is>
      </c>
      <c r="B442" t="inlineStr">
        <is>
          <t>RESP0059</t>
        </is>
      </c>
      <c r="C442" t="inlineStr">
        <is>
          <t>Stimulus</t>
        </is>
      </c>
      <c r="D442" t="inlineStr">
        <is>
          <t>foodwaste_narrative</t>
        </is>
      </c>
      <c r="E442" t="n">
        <v>60</v>
      </c>
      <c r="F442" t="inlineStr">
        <is>
          <t>Engagement</t>
        </is>
      </c>
      <c r="G442" t="n">
        <v>50</v>
      </c>
      <c r="H442" t="n">
        <v>15.5</v>
      </c>
      <c r="I442" t="n">
        <v>7</v>
      </c>
      <c r="J442" t="inlineStr">
        <is>
          <t>NA</t>
        </is>
      </c>
      <c r="K442" t="n">
        <v>94.90000000000001</v>
      </c>
    </row>
    <row r="443">
      <c r="A443" t="inlineStr">
        <is>
          <t>SIMULATED Food Waste Remote Study</t>
        </is>
      </c>
      <c r="B443" t="inlineStr">
        <is>
          <t>RESP0059</t>
        </is>
      </c>
      <c r="C443" t="inlineStr">
        <is>
          <t>Stimulus</t>
        </is>
      </c>
      <c r="D443" t="inlineStr">
        <is>
          <t>foodwaste_narrative</t>
        </is>
      </c>
      <c r="E443" t="n">
        <v>60</v>
      </c>
      <c r="F443" t="inlineStr">
        <is>
          <t>Joy</t>
        </is>
      </c>
      <c r="G443" t="n">
        <v>50</v>
      </c>
      <c r="H443" t="n">
        <v>2.17</v>
      </c>
      <c r="I443" t="n">
        <v>1</v>
      </c>
      <c r="J443" t="inlineStr">
        <is>
          <t>NA</t>
        </is>
      </c>
      <c r="K443" t="n">
        <v>94.90000000000001</v>
      </c>
    </row>
    <row r="444">
      <c r="A444" t="inlineStr">
        <is>
          <t>SIMULATED Food Waste Remote Study</t>
        </is>
      </c>
      <c r="B444" t="inlineStr">
        <is>
          <t>RESP0059</t>
        </is>
      </c>
      <c r="C444" t="inlineStr">
        <is>
          <t>Stimulus</t>
        </is>
      </c>
      <c r="D444" t="inlineStr">
        <is>
          <t>foodwaste_narrative</t>
        </is>
      </c>
      <c r="E444" t="n">
        <v>60</v>
      </c>
      <c r="F444" t="inlineStr">
        <is>
          <t>Brow Furrow</t>
        </is>
      </c>
      <c r="G444" t="n">
        <v>50</v>
      </c>
      <c r="H444" t="n">
        <v>1.94</v>
      </c>
      <c r="I444" t="n">
        <v>1</v>
      </c>
      <c r="J444" t="inlineStr">
        <is>
          <t>NA</t>
        </is>
      </c>
      <c r="K444" t="n">
        <v>94.90000000000001</v>
      </c>
    </row>
    <row r="445">
      <c r="A445" t="inlineStr">
        <is>
          <t>SIMULATED Food Waste Remote Study</t>
        </is>
      </c>
      <c r="B445" t="inlineStr">
        <is>
          <t>RESP0059</t>
        </is>
      </c>
      <c r="C445" t="inlineStr">
        <is>
          <t>Stimulus</t>
        </is>
      </c>
      <c r="D445" t="inlineStr">
        <is>
          <t>foodwaste_narrative</t>
        </is>
      </c>
      <c r="E445" t="n">
        <v>60</v>
      </c>
      <c r="F445" t="inlineStr">
        <is>
          <t>Positive Valence</t>
        </is>
      </c>
      <c r="G445" t="n">
        <v>50</v>
      </c>
      <c r="H445" t="n">
        <v>0</v>
      </c>
      <c r="I445" t="n">
        <v>0</v>
      </c>
      <c r="J445" t="inlineStr">
        <is>
          <t>NA</t>
        </is>
      </c>
      <c r="K445" t="n">
        <v>94.90000000000001</v>
      </c>
    </row>
    <row r="446">
      <c r="A446" t="inlineStr">
        <is>
          <t>SIMULATED Food Waste Remote Study</t>
        </is>
      </c>
      <c r="B446" t="inlineStr">
        <is>
          <t>RESP0059</t>
        </is>
      </c>
      <c r="C446" t="inlineStr">
        <is>
          <t>Stimulus</t>
        </is>
      </c>
      <c r="D446" t="inlineStr">
        <is>
          <t>foodwaste_narrative</t>
        </is>
      </c>
      <c r="E446" t="n">
        <v>60</v>
      </c>
      <c r="F446" t="inlineStr">
        <is>
          <t>Negative Valence</t>
        </is>
      </c>
      <c r="G446" t="n">
        <v>-50</v>
      </c>
      <c r="H446" t="n">
        <v>7.44</v>
      </c>
      <c r="I446" t="n">
        <v>1</v>
      </c>
      <c r="J446" t="inlineStr">
        <is>
          <t>NA</t>
        </is>
      </c>
      <c r="K446" t="n">
        <v>94.90000000000001</v>
      </c>
    </row>
    <row r="447">
      <c r="A447" t="inlineStr">
        <is>
          <t>SIMULATED Food Waste Remote Study</t>
        </is>
      </c>
      <c r="B447" t="inlineStr">
        <is>
          <t>RESP0059</t>
        </is>
      </c>
      <c r="C447" t="inlineStr">
        <is>
          <t>Stimulus</t>
        </is>
      </c>
      <c r="D447" t="inlineStr">
        <is>
          <t>foodwaste_visual</t>
        </is>
      </c>
      <c r="E447" t="n">
        <v>62</v>
      </c>
      <c r="F447" t="inlineStr">
        <is>
          <t>Engagement</t>
        </is>
      </c>
      <c r="G447" t="n">
        <v>50</v>
      </c>
      <c r="H447" t="n">
        <v>43.23</v>
      </c>
      <c r="I447" t="n">
        <v>13</v>
      </c>
      <c r="J447" t="inlineStr">
        <is>
          <t>NA</t>
        </is>
      </c>
      <c r="K447" t="n">
        <v>93.09999999999999</v>
      </c>
    </row>
    <row r="448">
      <c r="A448" t="inlineStr">
        <is>
          <t>SIMULATED Food Waste Remote Study</t>
        </is>
      </c>
      <c r="B448" t="inlineStr">
        <is>
          <t>RESP0059</t>
        </is>
      </c>
      <c r="C448" t="inlineStr">
        <is>
          <t>Stimulus</t>
        </is>
      </c>
      <c r="D448" t="inlineStr">
        <is>
          <t>foodwaste_visual</t>
        </is>
      </c>
      <c r="E448" t="n">
        <v>62</v>
      </c>
      <c r="F448" t="inlineStr">
        <is>
          <t>Joy</t>
        </is>
      </c>
      <c r="G448" t="n">
        <v>50</v>
      </c>
      <c r="H448" t="n">
        <v>0</v>
      </c>
      <c r="I448" t="n">
        <v>0</v>
      </c>
      <c r="J448" t="inlineStr">
        <is>
          <t>NA</t>
        </is>
      </c>
      <c r="K448" t="n">
        <v>93.09999999999999</v>
      </c>
    </row>
    <row r="449">
      <c r="A449" t="inlineStr">
        <is>
          <t>SIMULATED Food Waste Remote Study</t>
        </is>
      </c>
      <c r="B449" t="inlineStr">
        <is>
          <t>RESP0059</t>
        </is>
      </c>
      <c r="C449" t="inlineStr">
        <is>
          <t>Stimulus</t>
        </is>
      </c>
      <c r="D449" t="inlineStr">
        <is>
          <t>foodwaste_visual</t>
        </is>
      </c>
      <c r="E449" t="n">
        <v>62</v>
      </c>
      <c r="F449" t="inlineStr">
        <is>
          <t>Brow Furrow</t>
        </is>
      </c>
      <c r="G449" t="n">
        <v>50</v>
      </c>
      <c r="H449" t="n">
        <v>6.45</v>
      </c>
      <c r="I449" t="n">
        <v>2</v>
      </c>
      <c r="J449" t="inlineStr">
        <is>
          <t>NA</t>
        </is>
      </c>
      <c r="K449" t="n">
        <v>93.09999999999999</v>
      </c>
    </row>
    <row r="450">
      <c r="A450" t="inlineStr">
        <is>
          <t>SIMULATED Food Waste Remote Study</t>
        </is>
      </c>
      <c r="B450" t="inlineStr">
        <is>
          <t>RESP0059</t>
        </is>
      </c>
      <c r="C450" t="inlineStr">
        <is>
          <t>Stimulus</t>
        </is>
      </c>
      <c r="D450" t="inlineStr">
        <is>
          <t>foodwaste_visual</t>
        </is>
      </c>
      <c r="E450" t="n">
        <v>62</v>
      </c>
      <c r="F450" t="inlineStr">
        <is>
          <t>Positive Valence</t>
        </is>
      </c>
      <c r="G450" t="n">
        <v>50</v>
      </c>
      <c r="H450" t="n">
        <v>5.11</v>
      </c>
      <c r="I450" t="n">
        <v>3</v>
      </c>
      <c r="J450" t="inlineStr">
        <is>
          <t>NA</t>
        </is>
      </c>
      <c r="K450" t="n">
        <v>93.09999999999999</v>
      </c>
    </row>
    <row r="451">
      <c r="A451" t="inlineStr">
        <is>
          <t>SIMULATED Food Waste Remote Study</t>
        </is>
      </c>
      <c r="B451" t="inlineStr">
        <is>
          <t>RESP0059</t>
        </is>
      </c>
      <c r="C451" t="inlineStr">
        <is>
          <t>Stimulus</t>
        </is>
      </c>
      <c r="D451" t="inlineStr">
        <is>
          <t>foodwaste_visual</t>
        </is>
      </c>
      <c r="E451" t="n">
        <v>62</v>
      </c>
      <c r="F451" t="inlineStr">
        <is>
          <t>Negative Valence</t>
        </is>
      </c>
      <c r="G451" t="n">
        <v>-50</v>
      </c>
      <c r="H451" t="n">
        <v>3.82</v>
      </c>
      <c r="I451" t="n">
        <v>2</v>
      </c>
      <c r="J451" t="inlineStr">
        <is>
          <t>NA</t>
        </is>
      </c>
      <c r="K451" t="n">
        <v>93.09999999999999</v>
      </c>
    </row>
    <row r="452">
      <c r="A452" t="inlineStr">
        <is>
          <t>SIMULATED Food Waste Remote Study</t>
        </is>
      </c>
      <c r="B452" t="inlineStr">
        <is>
          <t>RESP0061</t>
        </is>
      </c>
      <c r="C452" t="inlineStr">
        <is>
          <t>Stimulus</t>
        </is>
      </c>
      <c r="D452" t="inlineStr">
        <is>
          <t>foodwaste_narrative</t>
        </is>
      </c>
      <c r="E452" t="n">
        <v>60</v>
      </c>
      <c r="F452" t="inlineStr">
        <is>
          <t>Engagement</t>
        </is>
      </c>
      <c r="G452" t="n">
        <v>50</v>
      </c>
      <c r="H452" t="n">
        <v>0</v>
      </c>
      <c r="I452" t="n">
        <v>0</v>
      </c>
      <c r="J452" t="inlineStr">
        <is>
          <t>NA</t>
        </is>
      </c>
      <c r="K452" t="n">
        <v>99.8</v>
      </c>
    </row>
    <row r="453">
      <c r="A453" t="inlineStr">
        <is>
          <t>SIMULATED Food Waste Remote Study</t>
        </is>
      </c>
      <c r="B453" t="inlineStr">
        <is>
          <t>RESP0061</t>
        </is>
      </c>
      <c r="C453" t="inlineStr">
        <is>
          <t>Stimulus</t>
        </is>
      </c>
      <c r="D453" t="inlineStr">
        <is>
          <t>foodwaste_narrative</t>
        </is>
      </c>
      <c r="E453" t="n">
        <v>60</v>
      </c>
      <c r="F453" t="inlineStr">
        <is>
          <t>Joy</t>
        </is>
      </c>
      <c r="G453" t="n">
        <v>50</v>
      </c>
      <c r="H453" t="n">
        <v>0.9399999999999999</v>
      </c>
      <c r="I453" t="n">
        <v>1</v>
      </c>
      <c r="J453" t="inlineStr">
        <is>
          <t>NA</t>
        </is>
      </c>
      <c r="K453" t="n">
        <v>99.8</v>
      </c>
    </row>
    <row r="454">
      <c r="A454" t="inlineStr">
        <is>
          <t>SIMULATED Food Waste Remote Study</t>
        </is>
      </c>
      <c r="B454" t="inlineStr">
        <is>
          <t>RESP0061</t>
        </is>
      </c>
      <c r="C454" t="inlineStr">
        <is>
          <t>Stimulus</t>
        </is>
      </c>
      <c r="D454" t="inlineStr">
        <is>
          <t>foodwaste_narrative</t>
        </is>
      </c>
      <c r="E454" t="n">
        <v>60</v>
      </c>
      <c r="F454" t="inlineStr">
        <is>
          <t>Brow Furrow</t>
        </is>
      </c>
      <c r="G454" t="n">
        <v>50</v>
      </c>
      <c r="H454" t="n">
        <v>5.22</v>
      </c>
      <c r="I454" t="n">
        <v>1</v>
      </c>
      <c r="J454" t="inlineStr">
        <is>
          <t>NA</t>
        </is>
      </c>
      <c r="K454" t="n">
        <v>99.8</v>
      </c>
    </row>
    <row r="455">
      <c r="A455" t="inlineStr">
        <is>
          <t>SIMULATED Food Waste Remote Study</t>
        </is>
      </c>
      <c r="B455" t="inlineStr">
        <is>
          <t>RESP0061</t>
        </is>
      </c>
      <c r="C455" t="inlineStr">
        <is>
          <t>Stimulus</t>
        </is>
      </c>
      <c r="D455" t="inlineStr">
        <is>
          <t>foodwaste_narrative</t>
        </is>
      </c>
      <c r="E455" t="n">
        <v>60</v>
      </c>
      <c r="F455" t="inlineStr">
        <is>
          <t>Positive Valence</t>
        </is>
      </c>
      <c r="G455" t="n">
        <v>50</v>
      </c>
      <c r="H455" t="n">
        <v>11.33</v>
      </c>
      <c r="I455" t="n">
        <v>4</v>
      </c>
      <c r="J455" t="inlineStr">
        <is>
          <t>NA</t>
        </is>
      </c>
      <c r="K455" t="n">
        <v>99.8</v>
      </c>
    </row>
    <row r="456">
      <c r="A456" t="inlineStr">
        <is>
          <t>SIMULATED Food Waste Remote Study</t>
        </is>
      </c>
      <c r="B456" t="inlineStr">
        <is>
          <t>RESP0061</t>
        </is>
      </c>
      <c r="C456" t="inlineStr">
        <is>
          <t>Stimulus</t>
        </is>
      </c>
      <c r="D456" t="inlineStr">
        <is>
          <t>foodwaste_narrative</t>
        </is>
      </c>
      <c r="E456" t="n">
        <v>60</v>
      </c>
      <c r="F456" t="inlineStr">
        <is>
          <t>Negative Valence</t>
        </is>
      </c>
      <c r="G456" t="n">
        <v>-50</v>
      </c>
      <c r="H456" t="n">
        <v>0</v>
      </c>
      <c r="I456" t="n">
        <v>0</v>
      </c>
      <c r="J456" t="inlineStr">
        <is>
          <t>NA</t>
        </is>
      </c>
      <c r="K456" t="n">
        <v>99.8</v>
      </c>
    </row>
    <row r="457">
      <c r="A457" t="inlineStr">
        <is>
          <t>SIMULATED Food Waste Remote Study</t>
        </is>
      </c>
      <c r="B457" t="inlineStr">
        <is>
          <t>RESP0061</t>
        </is>
      </c>
      <c r="C457" t="inlineStr">
        <is>
          <t>Stimulus</t>
        </is>
      </c>
      <c r="D457" t="inlineStr">
        <is>
          <t>foodwaste_visual</t>
        </is>
      </c>
      <c r="E457" t="n">
        <v>62</v>
      </c>
      <c r="F457" t="inlineStr">
        <is>
          <t>Engagement</t>
        </is>
      </c>
      <c r="G457" t="n">
        <v>50</v>
      </c>
      <c r="H457" t="n">
        <v>35.11</v>
      </c>
      <c r="I457" t="n">
        <v>8</v>
      </c>
      <c r="J457" t="inlineStr">
        <is>
          <t>NA</t>
        </is>
      </c>
      <c r="K457" t="n">
        <v>99.90000000000001</v>
      </c>
    </row>
    <row r="458">
      <c r="A458" t="inlineStr">
        <is>
          <t>SIMULATED Food Waste Remote Study</t>
        </is>
      </c>
      <c r="B458" t="inlineStr">
        <is>
          <t>RESP0061</t>
        </is>
      </c>
      <c r="C458" t="inlineStr">
        <is>
          <t>Stimulus</t>
        </is>
      </c>
      <c r="D458" t="inlineStr">
        <is>
          <t>foodwaste_visual</t>
        </is>
      </c>
      <c r="E458" t="n">
        <v>62</v>
      </c>
      <c r="F458" t="inlineStr">
        <is>
          <t>Joy</t>
        </is>
      </c>
      <c r="G458" t="n">
        <v>50</v>
      </c>
      <c r="H458" t="n">
        <v>4.19</v>
      </c>
      <c r="I458" t="n">
        <v>1</v>
      </c>
      <c r="J458" t="inlineStr">
        <is>
          <t>NA</t>
        </is>
      </c>
      <c r="K458" t="n">
        <v>99.90000000000001</v>
      </c>
    </row>
    <row r="459">
      <c r="A459" t="inlineStr">
        <is>
          <t>SIMULATED Food Waste Remote Study</t>
        </is>
      </c>
      <c r="B459" t="inlineStr">
        <is>
          <t>RESP0061</t>
        </is>
      </c>
      <c r="C459" t="inlineStr">
        <is>
          <t>Stimulus</t>
        </is>
      </c>
      <c r="D459" t="inlineStr">
        <is>
          <t>foodwaste_visual</t>
        </is>
      </c>
      <c r="E459" t="n">
        <v>62</v>
      </c>
      <c r="F459" t="inlineStr">
        <is>
          <t>Brow Furrow</t>
        </is>
      </c>
      <c r="G459" t="n">
        <v>50</v>
      </c>
      <c r="H459" t="n">
        <v>36.4</v>
      </c>
      <c r="I459" t="n">
        <v>8</v>
      </c>
      <c r="J459" t="inlineStr">
        <is>
          <t>NA</t>
        </is>
      </c>
      <c r="K459" t="n">
        <v>99.90000000000001</v>
      </c>
    </row>
    <row r="460">
      <c r="A460" t="inlineStr">
        <is>
          <t>SIMULATED Food Waste Remote Study</t>
        </is>
      </c>
      <c r="B460" t="inlineStr">
        <is>
          <t>RESP0061</t>
        </is>
      </c>
      <c r="C460" t="inlineStr">
        <is>
          <t>Stimulus</t>
        </is>
      </c>
      <c r="D460" t="inlineStr">
        <is>
          <t>foodwaste_visual</t>
        </is>
      </c>
      <c r="E460" t="n">
        <v>62</v>
      </c>
      <c r="F460" t="inlineStr">
        <is>
          <t>Positive Valence</t>
        </is>
      </c>
      <c r="G460" t="n">
        <v>50</v>
      </c>
      <c r="H460" t="n">
        <v>0</v>
      </c>
      <c r="I460" t="n">
        <v>0</v>
      </c>
      <c r="J460" t="inlineStr">
        <is>
          <t>NA</t>
        </is>
      </c>
      <c r="K460" t="n">
        <v>99.90000000000001</v>
      </c>
    </row>
    <row r="461">
      <c r="A461" t="inlineStr">
        <is>
          <t>SIMULATED Food Waste Remote Study</t>
        </is>
      </c>
      <c r="B461" t="inlineStr">
        <is>
          <t>RESP0061</t>
        </is>
      </c>
      <c r="C461" t="inlineStr">
        <is>
          <t>Stimulus</t>
        </is>
      </c>
      <c r="D461" t="inlineStr">
        <is>
          <t>foodwaste_visual</t>
        </is>
      </c>
      <c r="E461" t="n">
        <v>62</v>
      </c>
      <c r="F461" t="inlineStr">
        <is>
          <t>Negative Valence</t>
        </is>
      </c>
      <c r="G461" t="n">
        <v>-50</v>
      </c>
      <c r="H461" t="n">
        <v>10.91</v>
      </c>
      <c r="I461" t="n">
        <v>4</v>
      </c>
      <c r="J461" t="inlineStr">
        <is>
          <t>NA</t>
        </is>
      </c>
      <c r="K461" t="n">
        <v>99.90000000000001</v>
      </c>
    </row>
    <row r="462">
      <c r="A462" t="inlineStr">
        <is>
          <t>SIMULATED Food Waste Remote Study</t>
        </is>
      </c>
      <c r="B462" t="inlineStr">
        <is>
          <t>RESP0062</t>
        </is>
      </c>
      <c r="C462" t="inlineStr">
        <is>
          <t>Stimulus</t>
        </is>
      </c>
      <c r="D462" t="inlineStr">
        <is>
          <t>foodwaste_narrative</t>
        </is>
      </c>
      <c r="E462" t="n">
        <v>60</v>
      </c>
      <c r="F462" t="inlineStr">
        <is>
          <t>Engagement</t>
        </is>
      </c>
      <c r="G462" t="n">
        <v>50</v>
      </c>
      <c r="H462" t="n">
        <v>10.06</v>
      </c>
      <c r="I462" t="n">
        <v>5</v>
      </c>
      <c r="J462" t="inlineStr">
        <is>
          <t>NA</t>
        </is>
      </c>
      <c r="K462" t="n">
        <v>94.7</v>
      </c>
    </row>
    <row r="463">
      <c r="A463" t="inlineStr">
        <is>
          <t>SIMULATED Food Waste Remote Study</t>
        </is>
      </c>
      <c r="B463" t="inlineStr">
        <is>
          <t>RESP0062</t>
        </is>
      </c>
      <c r="C463" t="inlineStr">
        <is>
          <t>Stimulus</t>
        </is>
      </c>
      <c r="D463" t="inlineStr">
        <is>
          <t>foodwaste_narrative</t>
        </is>
      </c>
      <c r="E463" t="n">
        <v>60</v>
      </c>
      <c r="F463" t="inlineStr">
        <is>
          <t>Joy</t>
        </is>
      </c>
      <c r="G463" t="n">
        <v>50</v>
      </c>
      <c r="H463" t="n">
        <v>0.89</v>
      </c>
      <c r="I463" t="n">
        <v>1</v>
      </c>
      <c r="J463" t="inlineStr">
        <is>
          <t>NA</t>
        </is>
      </c>
      <c r="K463" t="n">
        <v>94.7</v>
      </c>
    </row>
    <row r="464">
      <c r="A464" t="inlineStr">
        <is>
          <t>SIMULATED Food Waste Remote Study</t>
        </is>
      </c>
      <c r="B464" t="inlineStr">
        <is>
          <t>RESP0062</t>
        </is>
      </c>
      <c r="C464" t="inlineStr">
        <is>
          <t>Stimulus</t>
        </is>
      </c>
      <c r="D464" t="inlineStr">
        <is>
          <t>foodwaste_narrative</t>
        </is>
      </c>
      <c r="E464" t="n">
        <v>60</v>
      </c>
      <c r="F464" t="inlineStr">
        <is>
          <t>Brow Furrow</t>
        </is>
      </c>
      <c r="G464" t="n">
        <v>50</v>
      </c>
      <c r="H464" t="n">
        <v>7.67</v>
      </c>
      <c r="I464" t="n">
        <v>3</v>
      </c>
      <c r="J464" t="inlineStr">
        <is>
          <t>NA</t>
        </is>
      </c>
      <c r="K464" t="n">
        <v>94.7</v>
      </c>
    </row>
    <row r="465">
      <c r="A465" t="inlineStr">
        <is>
          <t>SIMULATED Food Waste Remote Study</t>
        </is>
      </c>
      <c r="B465" t="inlineStr">
        <is>
          <t>RESP0062</t>
        </is>
      </c>
      <c r="C465" t="inlineStr">
        <is>
          <t>Stimulus</t>
        </is>
      </c>
      <c r="D465" t="inlineStr">
        <is>
          <t>foodwaste_narrative</t>
        </is>
      </c>
      <c r="E465" t="n">
        <v>60</v>
      </c>
      <c r="F465" t="inlineStr">
        <is>
          <t>Positive Valence</t>
        </is>
      </c>
      <c r="G465" t="n">
        <v>50</v>
      </c>
      <c r="H465" t="n">
        <v>0</v>
      </c>
      <c r="I465" t="n">
        <v>0</v>
      </c>
      <c r="J465" t="inlineStr">
        <is>
          <t>NA</t>
        </is>
      </c>
      <c r="K465" t="n">
        <v>94.7</v>
      </c>
    </row>
    <row r="466">
      <c r="A466" t="inlineStr">
        <is>
          <t>SIMULATED Food Waste Remote Study</t>
        </is>
      </c>
      <c r="B466" t="inlineStr">
        <is>
          <t>RESP0062</t>
        </is>
      </c>
      <c r="C466" t="inlineStr">
        <is>
          <t>Stimulus</t>
        </is>
      </c>
      <c r="D466" t="inlineStr">
        <is>
          <t>foodwaste_narrative</t>
        </is>
      </c>
      <c r="E466" t="n">
        <v>60</v>
      </c>
      <c r="F466" t="inlineStr">
        <is>
          <t>Negative Valence</t>
        </is>
      </c>
      <c r="G466" t="n">
        <v>-50</v>
      </c>
      <c r="H466" t="n">
        <v>0.22</v>
      </c>
      <c r="I466" t="n">
        <v>1</v>
      </c>
      <c r="J466" t="inlineStr">
        <is>
          <t>NA</t>
        </is>
      </c>
      <c r="K466" t="n">
        <v>94.7</v>
      </c>
    </row>
    <row r="467">
      <c r="A467" t="inlineStr">
        <is>
          <t>SIMULATED Food Waste Remote Study</t>
        </is>
      </c>
      <c r="B467" t="inlineStr">
        <is>
          <t>RESP0062</t>
        </is>
      </c>
      <c r="C467" t="inlineStr">
        <is>
          <t>Stimulus</t>
        </is>
      </c>
      <c r="D467" t="inlineStr">
        <is>
          <t>foodwaste_visual</t>
        </is>
      </c>
      <c r="E467" t="n">
        <v>62</v>
      </c>
      <c r="F467" t="inlineStr">
        <is>
          <t>Engagement</t>
        </is>
      </c>
      <c r="G467" t="n">
        <v>50</v>
      </c>
      <c r="H467" t="n">
        <v>24.35</v>
      </c>
      <c r="I467" t="n">
        <v>5</v>
      </c>
      <c r="J467" t="inlineStr">
        <is>
          <t>NA</t>
        </is>
      </c>
      <c r="K467" t="n">
        <v>94.2</v>
      </c>
    </row>
    <row r="468">
      <c r="A468" t="inlineStr">
        <is>
          <t>SIMULATED Food Waste Remote Study</t>
        </is>
      </c>
      <c r="B468" t="inlineStr">
        <is>
          <t>RESP0062</t>
        </is>
      </c>
      <c r="C468" t="inlineStr">
        <is>
          <t>Stimulus</t>
        </is>
      </c>
      <c r="D468" t="inlineStr">
        <is>
          <t>foodwaste_visual</t>
        </is>
      </c>
      <c r="E468" t="n">
        <v>62</v>
      </c>
      <c r="F468" t="inlineStr">
        <is>
          <t>Joy</t>
        </is>
      </c>
      <c r="G468" t="n">
        <v>50</v>
      </c>
      <c r="H468" t="n">
        <v>0</v>
      </c>
      <c r="I468" t="n">
        <v>0</v>
      </c>
      <c r="J468" t="inlineStr">
        <is>
          <t>NA</t>
        </is>
      </c>
      <c r="K468" t="n">
        <v>94.2</v>
      </c>
    </row>
    <row r="469">
      <c r="A469" t="inlineStr">
        <is>
          <t>SIMULATED Food Waste Remote Study</t>
        </is>
      </c>
      <c r="B469" t="inlineStr">
        <is>
          <t>RESP0062</t>
        </is>
      </c>
      <c r="C469" t="inlineStr">
        <is>
          <t>Stimulus</t>
        </is>
      </c>
      <c r="D469" t="inlineStr">
        <is>
          <t>foodwaste_visual</t>
        </is>
      </c>
      <c r="E469" t="n">
        <v>62</v>
      </c>
      <c r="F469" t="inlineStr">
        <is>
          <t>Brow Furrow</t>
        </is>
      </c>
      <c r="G469" t="n">
        <v>50</v>
      </c>
      <c r="H469" t="n">
        <v>0</v>
      </c>
      <c r="I469" t="n">
        <v>0</v>
      </c>
      <c r="J469" t="inlineStr">
        <is>
          <t>NA</t>
        </is>
      </c>
      <c r="K469" t="n">
        <v>94.2</v>
      </c>
    </row>
    <row r="470">
      <c r="A470" t="inlineStr">
        <is>
          <t>SIMULATED Food Waste Remote Study</t>
        </is>
      </c>
      <c r="B470" t="inlineStr">
        <is>
          <t>RESP0062</t>
        </is>
      </c>
      <c r="C470" t="inlineStr">
        <is>
          <t>Stimulus</t>
        </is>
      </c>
      <c r="D470" t="inlineStr">
        <is>
          <t>foodwaste_visual</t>
        </is>
      </c>
      <c r="E470" t="n">
        <v>62</v>
      </c>
      <c r="F470" t="inlineStr">
        <is>
          <t>Positive Valence</t>
        </is>
      </c>
      <c r="G470" t="n">
        <v>50</v>
      </c>
      <c r="H470" t="n">
        <v>0</v>
      </c>
      <c r="I470" t="n">
        <v>0</v>
      </c>
      <c r="J470" t="inlineStr">
        <is>
          <t>NA</t>
        </is>
      </c>
      <c r="K470" t="n">
        <v>94.2</v>
      </c>
    </row>
    <row r="471">
      <c r="A471" t="inlineStr">
        <is>
          <t>SIMULATED Food Waste Remote Study</t>
        </is>
      </c>
      <c r="B471" t="inlineStr">
        <is>
          <t>RESP0062</t>
        </is>
      </c>
      <c r="C471" t="inlineStr">
        <is>
          <t>Stimulus</t>
        </is>
      </c>
      <c r="D471" t="inlineStr">
        <is>
          <t>foodwaste_visual</t>
        </is>
      </c>
      <c r="E471" t="n">
        <v>62</v>
      </c>
      <c r="F471" t="inlineStr">
        <is>
          <t>Negative Valence</t>
        </is>
      </c>
      <c r="G471" t="n">
        <v>-50</v>
      </c>
      <c r="H471" t="n">
        <v>2.37</v>
      </c>
      <c r="I471" t="n">
        <v>1</v>
      </c>
      <c r="J471" t="inlineStr">
        <is>
          <t>NA</t>
        </is>
      </c>
      <c r="K471" t="n">
        <v>94.2</v>
      </c>
    </row>
    <row r="472">
      <c r="A472" t="inlineStr">
        <is>
          <t>SIMULATED Food Waste Remote Study</t>
        </is>
      </c>
      <c r="B472" t="inlineStr">
        <is>
          <t>RESP0063</t>
        </is>
      </c>
      <c r="C472" t="inlineStr">
        <is>
          <t>Stimulus</t>
        </is>
      </c>
      <c r="D472" t="inlineStr">
        <is>
          <t>foodwaste_narrative</t>
        </is>
      </c>
      <c r="E472" t="n">
        <v>60</v>
      </c>
      <c r="F472" t="inlineStr">
        <is>
          <t>Engagement</t>
        </is>
      </c>
      <c r="G472" t="n">
        <v>50</v>
      </c>
      <c r="H472" t="n">
        <v>26.61</v>
      </c>
      <c r="I472" t="n">
        <v>6</v>
      </c>
      <c r="J472" t="inlineStr">
        <is>
          <t>NA</t>
        </is>
      </c>
      <c r="K472" t="n">
        <v>91.90000000000001</v>
      </c>
    </row>
    <row r="473">
      <c r="A473" t="inlineStr">
        <is>
          <t>SIMULATED Food Waste Remote Study</t>
        </is>
      </c>
      <c r="B473" t="inlineStr">
        <is>
          <t>RESP0063</t>
        </is>
      </c>
      <c r="C473" t="inlineStr">
        <is>
          <t>Stimulus</t>
        </is>
      </c>
      <c r="D473" t="inlineStr">
        <is>
          <t>foodwaste_narrative</t>
        </is>
      </c>
      <c r="E473" t="n">
        <v>60</v>
      </c>
      <c r="F473" t="inlineStr">
        <is>
          <t>Joy</t>
        </is>
      </c>
      <c r="G473" t="n">
        <v>50</v>
      </c>
      <c r="H473" t="n">
        <v>0.61</v>
      </c>
      <c r="I473" t="n">
        <v>1</v>
      </c>
      <c r="J473" t="inlineStr">
        <is>
          <t>NA</t>
        </is>
      </c>
      <c r="K473" t="n">
        <v>91.90000000000001</v>
      </c>
    </row>
    <row r="474">
      <c r="A474" t="inlineStr">
        <is>
          <t>SIMULATED Food Waste Remote Study</t>
        </is>
      </c>
      <c r="B474" t="inlineStr">
        <is>
          <t>RESP0063</t>
        </is>
      </c>
      <c r="C474" t="inlineStr">
        <is>
          <t>Stimulus</t>
        </is>
      </c>
      <c r="D474" t="inlineStr">
        <is>
          <t>foodwaste_narrative</t>
        </is>
      </c>
      <c r="E474" t="n">
        <v>60</v>
      </c>
      <c r="F474" t="inlineStr">
        <is>
          <t>Brow Furrow</t>
        </is>
      </c>
      <c r="G474" t="n">
        <v>50</v>
      </c>
      <c r="H474" t="n">
        <v>9.109999999999999</v>
      </c>
      <c r="I474" t="n">
        <v>2</v>
      </c>
      <c r="J474" t="inlineStr">
        <is>
          <t>NA</t>
        </is>
      </c>
      <c r="K474" t="n">
        <v>91.90000000000001</v>
      </c>
    </row>
    <row r="475">
      <c r="A475" t="inlineStr">
        <is>
          <t>SIMULATED Food Waste Remote Study</t>
        </is>
      </c>
      <c r="B475" t="inlineStr">
        <is>
          <t>RESP0063</t>
        </is>
      </c>
      <c r="C475" t="inlineStr">
        <is>
          <t>Stimulus</t>
        </is>
      </c>
      <c r="D475" t="inlineStr">
        <is>
          <t>foodwaste_narrative</t>
        </is>
      </c>
      <c r="E475" t="n">
        <v>60</v>
      </c>
      <c r="F475" t="inlineStr">
        <is>
          <t>Positive Valence</t>
        </is>
      </c>
      <c r="G475" t="n">
        <v>50</v>
      </c>
      <c r="H475" t="n">
        <v>0</v>
      </c>
      <c r="I475" t="n">
        <v>0</v>
      </c>
      <c r="J475" t="inlineStr">
        <is>
          <t>NA</t>
        </is>
      </c>
      <c r="K475" t="n">
        <v>91.90000000000001</v>
      </c>
    </row>
    <row r="476">
      <c r="A476" t="inlineStr">
        <is>
          <t>SIMULATED Food Waste Remote Study</t>
        </is>
      </c>
      <c r="B476" t="inlineStr">
        <is>
          <t>RESP0063</t>
        </is>
      </c>
      <c r="C476" t="inlineStr">
        <is>
          <t>Stimulus</t>
        </is>
      </c>
      <c r="D476" t="inlineStr">
        <is>
          <t>foodwaste_narrative</t>
        </is>
      </c>
      <c r="E476" t="n">
        <v>60</v>
      </c>
      <c r="F476" t="inlineStr">
        <is>
          <t>Negative Valence</t>
        </is>
      </c>
      <c r="G476" t="n">
        <v>-50</v>
      </c>
      <c r="H476" t="n">
        <v>0</v>
      </c>
      <c r="I476" t="n">
        <v>0</v>
      </c>
      <c r="J476" t="inlineStr">
        <is>
          <t>NA</t>
        </is>
      </c>
      <c r="K476" t="n">
        <v>91.90000000000001</v>
      </c>
    </row>
    <row r="477">
      <c r="A477" t="inlineStr">
        <is>
          <t>SIMULATED Food Waste Remote Study</t>
        </is>
      </c>
      <c r="B477" t="inlineStr">
        <is>
          <t>RESP0063</t>
        </is>
      </c>
      <c r="C477" t="inlineStr">
        <is>
          <t>Stimulus</t>
        </is>
      </c>
      <c r="D477" t="inlineStr">
        <is>
          <t>foodwaste_visual</t>
        </is>
      </c>
      <c r="E477" t="n">
        <v>62</v>
      </c>
      <c r="F477" t="inlineStr">
        <is>
          <t>Engagement</t>
        </is>
      </c>
      <c r="G477" t="n">
        <v>50</v>
      </c>
      <c r="H477" t="n">
        <v>71.98999999999999</v>
      </c>
      <c r="I477" t="n">
        <v>17</v>
      </c>
      <c r="J477" t="inlineStr">
        <is>
          <t>NA</t>
        </is>
      </c>
      <c r="K477" t="n">
        <v>96.8</v>
      </c>
    </row>
    <row r="478">
      <c r="A478" t="inlineStr">
        <is>
          <t>SIMULATED Food Waste Remote Study</t>
        </is>
      </c>
      <c r="B478" t="inlineStr">
        <is>
          <t>RESP0063</t>
        </is>
      </c>
      <c r="C478" t="inlineStr">
        <is>
          <t>Stimulus</t>
        </is>
      </c>
      <c r="D478" t="inlineStr">
        <is>
          <t>foodwaste_visual</t>
        </is>
      </c>
      <c r="E478" t="n">
        <v>62</v>
      </c>
      <c r="F478" t="inlineStr">
        <is>
          <t>Joy</t>
        </is>
      </c>
      <c r="G478" t="n">
        <v>50</v>
      </c>
      <c r="H478" t="n">
        <v>8.119999999999999</v>
      </c>
      <c r="I478" t="n">
        <v>3</v>
      </c>
      <c r="J478" t="inlineStr">
        <is>
          <t>NA</t>
        </is>
      </c>
      <c r="K478" t="n">
        <v>96.8</v>
      </c>
    </row>
    <row r="479">
      <c r="A479" t="inlineStr">
        <is>
          <t>SIMULATED Food Waste Remote Study</t>
        </is>
      </c>
      <c r="B479" t="inlineStr">
        <is>
          <t>RESP0063</t>
        </is>
      </c>
      <c r="C479" t="inlineStr">
        <is>
          <t>Stimulus</t>
        </is>
      </c>
      <c r="D479" t="inlineStr">
        <is>
          <t>foodwaste_visual</t>
        </is>
      </c>
      <c r="E479" t="n">
        <v>62</v>
      </c>
      <c r="F479" t="inlineStr">
        <is>
          <t>Brow Furrow</t>
        </is>
      </c>
      <c r="G479" t="n">
        <v>50</v>
      </c>
      <c r="H479" t="n">
        <v>4.95</v>
      </c>
      <c r="I479" t="n">
        <v>6</v>
      </c>
      <c r="J479" t="inlineStr">
        <is>
          <t>NA</t>
        </is>
      </c>
      <c r="K479" t="n">
        <v>96.8</v>
      </c>
    </row>
    <row r="480">
      <c r="A480" t="inlineStr">
        <is>
          <t>SIMULATED Food Waste Remote Study</t>
        </is>
      </c>
      <c r="B480" t="inlineStr">
        <is>
          <t>RESP0063</t>
        </is>
      </c>
      <c r="C480" t="inlineStr">
        <is>
          <t>Stimulus</t>
        </is>
      </c>
      <c r="D480" t="inlineStr">
        <is>
          <t>foodwaste_visual</t>
        </is>
      </c>
      <c r="E480" t="n">
        <v>62</v>
      </c>
      <c r="F480" t="inlineStr">
        <is>
          <t>Positive Valence</t>
        </is>
      </c>
      <c r="G480" t="n">
        <v>50</v>
      </c>
      <c r="H480" t="n">
        <v>0</v>
      </c>
      <c r="I480" t="n">
        <v>0</v>
      </c>
      <c r="J480" t="inlineStr">
        <is>
          <t>NA</t>
        </is>
      </c>
      <c r="K480" t="n">
        <v>96.8</v>
      </c>
    </row>
    <row r="481">
      <c r="A481" t="inlineStr">
        <is>
          <t>SIMULATED Food Waste Remote Study</t>
        </is>
      </c>
      <c r="B481" t="inlineStr">
        <is>
          <t>RESP0063</t>
        </is>
      </c>
      <c r="C481" t="inlineStr">
        <is>
          <t>Stimulus</t>
        </is>
      </c>
      <c r="D481" t="inlineStr">
        <is>
          <t>foodwaste_visual</t>
        </is>
      </c>
      <c r="E481" t="n">
        <v>62</v>
      </c>
      <c r="F481" t="inlineStr">
        <is>
          <t>Negative Valence</t>
        </is>
      </c>
      <c r="G481" t="n">
        <v>-50</v>
      </c>
      <c r="H481" t="n">
        <v>6.18</v>
      </c>
      <c r="I481" t="n">
        <v>3</v>
      </c>
      <c r="J481" t="inlineStr">
        <is>
          <t>NA</t>
        </is>
      </c>
      <c r="K481" t="n">
        <v>96.8</v>
      </c>
    </row>
    <row r="482">
      <c r="A482" t="inlineStr">
        <is>
          <t>SIMULATED Food Waste Remote Study</t>
        </is>
      </c>
      <c r="B482" t="inlineStr">
        <is>
          <t>RESP0064</t>
        </is>
      </c>
      <c r="C482" t="inlineStr">
        <is>
          <t>Stimulus</t>
        </is>
      </c>
      <c r="D482" t="inlineStr">
        <is>
          <t>foodwaste_narrative</t>
        </is>
      </c>
      <c r="E482" t="n">
        <v>60</v>
      </c>
      <c r="F482" t="inlineStr">
        <is>
          <t>Engagement</t>
        </is>
      </c>
      <c r="G482" t="n">
        <v>50</v>
      </c>
      <c r="H482" t="n">
        <v>6.72</v>
      </c>
      <c r="I482" t="n">
        <v>2</v>
      </c>
      <c r="J482" t="inlineStr">
        <is>
          <t>NA</t>
        </is>
      </c>
      <c r="K482" t="n">
        <v>99.2</v>
      </c>
    </row>
    <row r="483">
      <c r="A483" t="inlineStr">
        <is>
          <t>SIMULATED Food Waste Remote Study</t>
        </is>
      </c>
      <c r="B483" t="inlineStr">
        <is>
          <t>RESP0064</t>
        </is>
      </c>
      <c r="C483" t="inlineStr">
        <is>
          <t>Stimulus</t>
        </is>
      </c>
      <c r="D483" t="inlineStr">
        <is>
          <t>foodwaste_narrative</t>
        </is>
      </c>
      <c r="E483" t="n">
        <v>60</v>
      </c>
      <c r="F483" t="inlineStr">
        <is>
          <t>Joy</t>
        </is>
      </c>
      <c r="G483" t="n">
        <v>50</v>
      </c>
      <c r="H483" t="n">
        <v>0.5600000000000001</v>
      </c>
      <c r="I483" t="n">
        <v>1</v>
      </c>
      <c r="J483" t="inlineStr">
        <is>
          <t>NA</t>
        </is>
      </c>
      <c r="K483" t="n">
        <v>99.2</v>
      </c>
    </row>
    <row r="484">
      <c r="A484" t="inlineStr">
        <is>
          <t>SIMULATED Food Waste Remote Study</t>
        </is>
      </c>
      <c r="B484" t="inlineStr">
        <is>
          <t>RESP0064</t>
        </is>
      </c>
      <c r="C484" t="inlineStr">
        <is>
          <t>Stimulus</t>
        </is>
      </c>
      <c r="D484" t="inlineStr">
        <is>
          <t>foodwaste_narrative</t>
        </is>
      </c>
      <c r="E484" t="n">
        <v>60</v>
      </c>
      <c r="F484" t="inlineStr">
        <is>
          <t>Brow Furrow</t>
        </is>
      </c>
      <c r="G484" t="n">
        <v>50</v>
      </c>
      <c r="H484" t="n">
        <v>12.94</v>
      </c>
      <c r="I484" t="n">
        <v>4</v>
      </c>
      <c r="J484" t="inlineStr">
        <is>
          <t>NA</t>
        </is>
      </c>
      <c r="K484" t="n">
        <v>99.2</v>
      </c>
    </row>
    <row r="485">
      <c r="A485" t="inlineStr">
        <is>
          <t>SIMULATED Food Waste Remote Study</t>
        </is>
      </c>
      <c r="B485" t="inlineStr">
        <is>
          <t>RESP0064</t>
        </is>
      </c>
      <c r="C485" t="inlineStr">
        <is>
          <t>Stimulus</t>
        </is>
      </c>
      <c r="D485" t="inlineStr">
        <is>
          <t>foodwaste_narrative</t>
        </is>
      </c>
      <c r="E485" t="n">
        <v>60</v>
      </c>
      <c r="F485" t="inlineStr">
        <is>
          <t>Positive Valence</t>
        </is>
      </c>
      <c r="G485" t="n">
        <v>50</v>
      </c>
      <c r="H485" t="n">
        <v>1.28</v>
      </c>
      <c r="I485" t="n">
        <v>1</v>
      </c>
      <c r="J485" t="inlineStr">
        <is>
          <t>NA</t>
        </is>
      </c>
      <c r="K485" t="n">
        <v>99.2</v>
      </c>
    </row>
    <row r="486">
      <c r="A486" t="inlineStr">
        <is>
          <t>SIMULATED Food Waste Remote Study</t>
        </is>
      </c>
      <c r="B486" t="inlineStr">
        <is>
          <t>RESP0064</t>
        </is>
      </c>
      <c r="C486" t="inlineStr">
        <is>
          <t>Stimulus</t>
        </is>
      </c>
      <c r="D486" t="inlineStr">
        <is>
          <t>foodwaste_narrative</t>
        </is>
      </c>
      <c r="E486" t="n">
        <v>60</v>
      </c>
      <c r="F486" t="inlineStr">
        <is>
          <t>Negative Valence</t>
        </is>
      </c>
      <c r="G486" t="n">
        <v>-50</v>
      </c>
      <c r="H486" t="n">
        <v>0</v>
      </c>
      <c r="I486" t="n">
        <v>0</v>
      </c>
      <c r="J486" t="inlineStr">
        <is>
          <t>NA</t>
        </is>
      </c>
      <c r="K486" t="n">
        <v>99.2</v>
      </c>
    </row>
    <row r="487">
      <c r="A487" t="inlineStr">
        <is>
          <t>SIMULATED Food Waste Remote Study</t>
        </is>
      </c>
      <c r="B487" t="inlineStr">
        <is>
          <t>RESP0064</t>
        </is>
      </c>
      <c r="C487" t="inlineStr">
        <is>
          <t>Stimulus</t>
        </is>
      </c>
      <c r="D487" t="inlineStr">
        <is>
          <t>foodwaste_visual</t>
        </is>
      </c>
      <c r="E487" t="n">
        <v>62</v>
      </c>
      <c r="F487" t="inlineStr">
        <is>
          <t>Engagement</t>
        </is>
      </c>
      <c r="G487" t="n">
        <v>50</v>
      </c>
      <c r="H487" t="n">
        <v>64.62</v>
      </c>
      <c r="I487" t="n">
        <v>21</v>
      </c>
      <c r="J487" t="inlineStr">
        <is>
          <t>NA</t>
        </is>
      </c>
      <c r="K487" t="n">
        <v>99.09999999999999</v>
      </c>
    </row>
    <row r="488">
      <c r="A488" t="inlineStr">
        <is>
          <t>SIMULATED Food Waste Remote Study</t>
        </is>
      </c>
      <c r="B488" t="inlineStr">
        <is>
          <t>RESP0064</t>
        </is>
      </c>
      <c r="C488" t="inlineStr">
        <is>
          <t>Stimulus</t>
        </is>
      </c>
      <c r="D488" t="inlineStr">
        <is>
          <t>foodwaste_visual</t>
        </is>
      </c>
      <c r="E488" t="n">
        <v>62</v>
      </c>
      <c r="F488" t="inlineStr">
        <is>
          <t>Joy</t>
        </is>
      </c>
      <c r="G488" t="n">
        <v>50</v>
      </c>
      <c r="H488" t="n">
        <v>0</v>
      </c>
      <c r="I488" t="n">
        <v>0</v>
      </c>
      <c r="J488" t="inlineStr">
        <is>
          <t>NA</t>
        </is>
      </c>
      <c r="K488" t="n">
        <v>99.09999999999999</v>
      </c>
    </row>
    <row r="489">
      <c r="A489" t="inlineStr">
        <is>
          <t>SIMULATED Food Waste Remote Study</t>
        </is>
      </c>
      <c r="B489" t="inlineStr">
        <is>
          <t>RESP0064</t>
        </is>
      </c>
      <c r="C489" t="inlineStr">
        <is>
          <t>Stimulus</t>
        </is>
      </c>
      <c r="D489" t="inlineStr">
        <is>
          <t>foodwaste_visual</t>
        </is>
      </c>
      <c r="E489" t="n">
        <v>62</v>
      </c>
      <c r="F489" t="inlineStr">
        <is>
          <t>Brow Furrow</t>
        </is>
      </c>
      <c r="G489" t="n">
        <v>50</v>
      </c>
      <c r="H489" t="n">
        <v>28.17</v>
      </c>
      <c r="I489" t="n">
        <v>13</v>
      </c>
      <c r="J489" t="inlineStr">
        <is>
          <t>NA</t>
        </is>
      </c>
      <c r="K489" t="n">
        <v>99.09999999999999</v>
      </c>
    </row>
    <row r="490">
      <c r="A490" t="inlineStr">
        <is>
          <t>SIMULATED Food Waste Remote Study</t>
        </is>
      </c>
      <c r="B490" t="inlineStr">
        <is>
          <t>RESP0064</t>
        </is>
      </c>
      <c r="C490" t="inlineStr">
        <is>
          <t>Stimulus</t>
        </is>
      </c>
      <c r="D490" t="inlineStr">
        <is>
          <t>foodwaste_visual</t>
        </is>
      </c>
      <c r="E490" t="n">
        <v>62</v>
      </c>
      <c r="F490" t="inlineStr">
        <is>
          <t>Positive Valence</t>
        </is>
      </c>
      <c r="G490" t="n">
        <v>50</v>
      </c>
      <c r="H490" t="n">
        <v>5</v>
      </c>
      <c r="I490" t="n">
        <v>1</v>
      </c>
      <c r="J490" t="inlineStr">
        <is>
          <t>NA</t>
        </is>
      </c>
      <c r="K490" t="n">
        <v>99.09999999999999</v>
      </c>
    </row>
    <row r="491">
      <c r="A491" t="inlineStr">
        <is>
          <t>SIMULATED Food Waste Remote Study</t>
        </is>
      </c>
      <c r="B491" t="inlineStr">
        <is>
          <t>RESP0064</t>
        </is>
      </c>
      <c r="C491" t="inlineStr">
        <is>
          <t>Stimulus</t>
        </is>
      </c>
      <c r="D491" t="inlineStr">
        <is>
          <t>foodwaste_visual</t>
        </is>
      </c>
      <c r="E491" t="n">
        <v>62</v>
      </c>
      <c r="F491" t="inlineStr">
        <is>
          <t>Negative Valence</t>
        </is>
      </c>
      <c r="G491" t="n">
        <v>-50</v>
      </c>
      <c r="H491" t="n">
        <v>8.390000000000001</v>
      </c>
      <c r="I491" t="n">
        <v>4</v>
      </c>
      <c r="J491" t="inlineStr">
        <is>
          <t>NA</t>
        </is>
      </c>
      <c r="K491" t="n">
        <v>99.09999999999999</v>
      </c>
    </row>
    <row r="492">
      <c r="A492" t="inlineStr">
        <is>
          <t>SIMULATED Food Waste Remote Study</t>
        </is>
      </c>
      <c r="B492" t="inlineStr">
        <is>
          <t>RESP0065</t>
        </is>
      </c>
      <c r="C492" t="inlineStr">
        <is>
          <t>Stimulus</t>
        </is>
      </c>
      <c r="D492" t="inlineStr">
        <is>
          <t>foodwaste_narrative</t>
        </is>
      </c>
      <c r="E492" t="n">
        <v>60</v>
      </c>
      <c r="F492" t="inlineStr">
        <is>
          <t>Engagement</t>
        </is>
      </c>
      <c r="G492" t="n">
        <v>50</v>
      </c>
      <c r="H492" t="n">
        <v>12.83</v>
      </c>
      <c r="I492" t="n">
        <v>27</v>
      </c>
      <c r="J492" t="inlineStr">
        <is>
          <t>NA</t>
        </is>
      </c>
      <c r="K492" t="n">
        <v>54.6</v>
      </c>
    </row>
    <row r="493">
      <c r="A493" t="inlineStr">
        <is>
          <t>SIMULATED Food Waste Remote Study</t>
        </is>
      </c>
      <c r="B493" t="inlineStr">
        <is>
          <t>RESP0065</t>
        </is>
      </c>
      <c r="C493" t="inlineStr">
        <is>
          <t>Stimulus</t>
        </is>
      </c>
      <c r="D493" t="inlineStr">
        <is>
          <t>foodwaste_narrative</t>
        </is>
      </c>
      <c r="E493" t="n">
        <v>60</v>
      </c>
      <c r="F493" t="inlineStr">
        <is>
          <t>Joy</t>
        </is>
      </c>
      <c r="G493" t="n">
        <v>50</v>
      </c>
      <c r="H493" t="n">
        <v>0</v>
      </c>
      <c r="I493" t="n">
        <v>0</v>
      </c>
      <c r="J493" t="inlineStr">
        <is>
          <t>NA</t>
        </is>
      </c>
      <c r="K493" t="n">
        <v>54.6</v>
      </c>
    </row>
    <row r="494">
      <c r="A494" t="inlineStr">
        <is>
          <t>SIMULATED Food Waste Remote Study</t>
        </is>
      </c>
      <c r="B494" t="inlineStr">
        <is>
          <t>RESP0065</t>
        </is>
      </c>
      <c r="C494" t="inlineStr">
        <is>
          <t>Stimulus</t>
        </is>
      </c>
      <c r="D494" t="inlineStr">
        <is>
          <t>foodwaste_narrative</t>
        </is>
      </c>
      <c r="E494" t="n">
        <v>60</v>
      </c>
      <c r="F494" t="inlineStr">
        <is>
          <t>Brow Furrow</t>
        </is>
      </c>
      <c r="G494" t="n">
        <v>50</v>
      </c>
      <c r="H494" t="n">
        <v>3.72</v>
      </c>
      <c r="I494" t="n">
        <v>8</v>
      </c>
      <c r="J494" t="inlineStr">
        <is>
          <t>NA</t>
        </is>
      </c>
      <c r="K494" t="n">
        <v>54.6</v>
      </c>
    </row>
    <row r="495">
      <c r="A495" t="inlineStr">
        <is>
          <t>SIMULATED Food Waste Remote Study</t>
        </is>
      </c>
      <c r="B495" t="inlineStr">
        <is>
          <t>RESP0065</t>
        </is>
      </c>
      <c r="C495" t="inlineStr">
        <is>
          <t>Stimulus</t>
        </is>
      </c>
      <c r="D495" t="inlineStr">
        <is>
          <t>foodwaste_narrative</t>
        </is>
      </c>
      <c r="E495" t="n">
        <v>60</v>
      </c>
      <c r="F495" t="inlineStr">
        <is>
          <t>Positive Valence</t>
        </is>
      </c>
      <c r="G495" t="n">
        <v>50</v>
      </c>
      <c r="H495" t="n">
        <v>5.83</v>
      </c>
      <c r="I495" t="n">
        <v>13</v>
      </c>
      <c r="J495" t="inlineStr">
        <is>
          <t>NA</t>
        </is>
      </c>
      <c r="K495" t="n">
        <v>54.6</v>
      </c>
    </row>
    <row r="496">
      <c r="A496" t="inlineStr">
        <is>
          <t>SIMULATED Food Waste Remote Study</t>
        </is>
      </c>
      <c r="B496" t="inlineStr">
        <is>
          <t>RESP0065</t>
        </is>
      </c>
      <c r="C496" t="inlineStr">
        <is>
          <t>Stimulus</t>
        </is>
      </c>
      <c r="D496" t="inlineStr">
        <is>
          <t>foodwaste_narrative</t>
        </is>
      </c>
      <c r="E496" t="n">
        <v>60</v>
      </c>
      <c r="F496" t="inlineStr">
        <is>
          <t>Negative Valence</t>
        </is>
      </c>
      <c r="G496" t="n">
        <v>-50</v>
      </c>
      <c r="H496" t="n">
        <v>0.06</v>
      </c>
      <c r="I496" t="n">
        <v>1</v>
      </c>
      <c r="J496" t="inlineStr">
        <is>
          <t>NA</t>
        </is>
      </c>
      <c r="K496" t="n">
        <v>54.6</v>
      </c>
    </row>
    <row r="497">
      <c r="A497" t="inlineStr">
        <is>
          <t>SIMULATED Food Waste Remote Study</t>
        </is>
      </c>
      <c r="B497" t="inlineStr">
        <is>
          <t>RESP0065</t>
        </is>
      </c>
      <c r="C497" t="inlineStr">
        <is>
          <t>Stimulus</t>
        </is>
      </c>
      <c r="D497" t="inlineStr">
        <is>
          <t>foodwaste_visual</t>
        </is>
      </c>
      <c r="E497" t="n">
        <v>62</v>
      </c>
      <c r="F497" t="inlineStr">
        <is>
          <t>Engagement</t>
        </is>
      </c>
      <c r="G497" t="n">
        <v>50</v>
      </c>
      <c r="H497" t="n">
        <v>20.16</v>
      </c>
      <c r="I497" t="n">
        <v>56</v>
      </c>
      <c r="J497" t="inlineStr">
        <is>
          <t>NA</t>
        </is>
      </c>
      <c r="K497" t="n">
        <v>51.5</v>
      </c>
    </row>
    <row r="498">
      <c r="A498" t="inlineStr">
        <is>
          <t>SIMULATED Food Waste Remote Study</t>
        </is>
      </c>
      <c r="B498" t="inlineStr">
        <is>
          <t>RESP0065</t>
        </is>
      </c>
      <c r="C498" t="inlineStr">
        <is>
          <t>Stimulus</t>
        </is>
      </c>
      <c r="D498" t="inlineStr">
        <is>
          <t>foodwaste_visual</t>
        </is>
      </c>
      <c r="E498" t="n">
        <v>62</v>
      </c>
      <c r="F498" t="inlineStr">
        <is>
          <t>Joy</t>
        </is>
      </c>
      <c r="G498" t="n">
        <v>50</v>
      </c>
      <c r="H498" t="n">
        <v>2.8</v>
      </c>
      <c r="I498" t="n">
        <v>10</v>
      </c>
      <c r="J498" t="inlineStr">
        <is>
          <t>NA</t>
        </is>
      </c>
      <c r="K498" t="n">
        <v>51.5</v>
      </c>
    </row>
    <row r="499">
      <c r="A499" t="inlineStr">
        <is>
          <t>SIMULATED Food Waste Remote Study</t>
        </is>
      </c>
      <c r="B499" t="inlineStr">
        <is>
          <t>RESP0065</t>
        </is>
      </c>
      <c r="C499" t="inlineStr">
        <is>
          <t>Stimulus</t>
        </is>
      </c>
      <c r="D499" t="inlineStr">
        <is>
          <t>foodwaste_visual</t>
        </is>
      </c>
      <c r="E499" t="n">
        <v>62</v>
      </c>
      <c r="F499" t="inlineStr">
        <is>
          <t>Brow Furrow</t>
        </is>
      </c>
      <c r="G499" t="n">
        <v>50</v>
      </c>
      <c r="H499" t="n">
        <v>6.13</v>
      </c>
      <c r="I499" t="n">
        <v>20</v>
      </c>
      <c r="J499" t="inlineStr">
        <is>
          <t>NA</t>
        </is>
      </c>
      <c r="K499" t="n">
        <v>51.5</v>
      </c>
    </row>
    <row r="500">
      <c r="A500" t="inlineStr">
        <is>
          <t>SIMULATED Food Waste Remote Study</t>
        </is>
      </c>
      <c r="B500" t="inlineStr">
        <is>
          <t>RESP0065</t>
        </is>
      </c>
      <c r="C500" t="inlineStr">
        <is>
          <t>Stimulus</t>
        </is>
      </c>
      <c r="D500" t="inlineStr">
        <is>
          <t>foodwaste_visual</t>
        </is>
      </c>
      <c r="E500" t="n">
        <v>62</v>
      </c>
      <c r="F500" t="inlineStr">
        <is>
          <t>Positive Valence</t>
        </is>
      </c>
      <c r="G500" t="n">
        <v>50</v>
      </c>
      <c r="H500" t="n">
        <v>0</v>
      </c>
      <c r="I500" t="n">
        <v>0</v>
      </c>
      <c r="J500" t="inlineStr">
        <is>
          <t>NA</t>
        </is>
      </c>
      <c r="K500" t="n">
        <v>51.5</v>
      </c>
    </row>
    <row r="501">
      <c r="A501" t="inlineStr">
        <is>
          <t>SIMULATED Food Waste Remote Study</t>
        </is>
      </c>
      <c r="B501" t="inlineStr">
        <is>
          <t>RESP0065</t>
        </is>
      </c>
      <c r="C501" t="inlineStr">
        <is>
          <t>Stimulus</t>
        </is>
      </c>
      <c r="D501" t="inlineStr">
        <is>
          <t>foodwaste_visual</t>
        </is>
      </c>
      <c r="E501" t="n">
        <v>62</v>
      </c>
      <c r="F501" t="inlineStr">
        <is>
          <t>Negative Valence</t>
        </is>
      </c>
      <c r="G501" t="n">
        <v>-50</v>
      </c>
      <c r="H501" t="n">
        <v>0.38</v>
      </c>
      <c r="I501" t="n">
        <v>3</v>
      </c>
      <c r="J501" t="inlineStr">
        <is>
          <t>NA</t>
        </is>
      </c>
      <c r="K501" t="n">
        <v>51.5</v>
      </c>
    </row>
    <row r="502">
      <c r="A502" t="inlineStr">
        <is>
          <t>SIMULATED Food Waste Remote Study</t>
        </is>
      </c>
      <c r="B502" t="inlineStr">
        <is>
          <t>RESP0066</t>
        </is>
      </c>
      <c r="C502" t="inlineStr">
        <is>
          <t>Stimulus</t>
        </is>
      </c>
      <c r="D502" t="inlineStr">
        <is>
          <t>foodwaste_narrative</t>
        </is>
      </c>
      <c r="E502" t="n">
        <v>60</v>
      </c>
      <c r="F502" t="inlineStr">
        <is>
          <t>Engagement</t>
        </is>
      </c>
      <c r="G502" t="n">
        <v>50</v>
      </c>
      <c r="H502" t="n">
        <v>40.06</v>
      </c>
      <c r="I502" t="n">
        <v>10</v>
      </c>
      <c r="J502" t="inlineStr">
        <is>
          <t>NA</t>
        </is>
      </c>
      <c r="K502" t="n">
        <v>97.90000000000001</v>
      </c>
    </row>
    <row r="503">
      <c r="A503" t="inlineStr">
        <is>
          <t>SIMULATED Food Waste Remote Study</t>
        </is>
      </c>
      <c r="B503" t="inlineStr">
        <is>
          <t>RESP0066</t>
        </is>
      </c>
      <c r="C503" t="inlineStr">
        <is>
          <t>Stimulus</t>
        </is>
      </c>
      <c r="D503" t="inlineStr">
        <is>
          <t>foodwaste_narrative</t>
        </is>
      </c>
      <c r="E503" t="n">
        <v>60</v>
      </c>
      <c r="F503" t="inlineStr">
        <is>
          <t>Joy</t>
        </is>
      </c>
      <c r="G503" t="n">
        <v>50</v>
      </c>
      <c r="H503" t="n">
        <v>2.39</v>
      </c>
      <c r="I503" t="n">
        <v>1</v>
      </c>
      <c r="J503" t="inlineStr">
        <is>
          <t>NA</t>
        </is>
      </c>
      <c r="K503" t="n">
        <v>97.90000000000001</v>
      </c>
    </row>
    <row r="504">
      <c r="A504" t="inlineStr">
        <is>
          <t>SIMULATED Food Waste Remote Study</t>
        </is>
      </c>
      <c r="B504" t="inlineStr">
        <is>
          <t>RESP0066</t>
        </is>
      </c>
      <c r="C504" t="inlineStr">
        <is>
          <t>Stimulus</t>
        </is>
      </c>
      <c r="D504" t="inlineStr">
        <is>
          <t>foodwaste_narrative</t>
        </is>
      </c>
      <c r="E504" t="n">
        <v>60</v>
      </c>
      <c r="F504" t="inlineStr">
        <is>
          <t>Brow Furrow</t>
        </is>
      </c>
      <c r="G504" t="n">
        <v>50</v>
      </c>
      <c r="H504" t="n">
        <v>50.5</v>
      </c>
      <c r="I504" t="n">
        <v>14</v>
      </c>
      <c r="J504" t="inlineStr">
        <is>
          <t>NA</t>
        </is>
      </c>
      <c r="K504" t="n">
        <v>97.90000000000001</v>
      </c>
    </row>
    <row r="505">
      <c r="A505" t="inlineStr">
        <is>
          <t>SIMULATED Food Waste Remote Study</t>
        </is>
      </c>
      <c r="B505" t="inlineStr">
        <is>
          <t>RESP0066</t>
        </is>
      </c>
      <c r="C505" t="inlineStr">
        <is>
          <t>Stimulus</t>
        </is>
      </c>
      <c r="D505" t="inlineStr">
        <is>
          <t>foodwaste_narrative</t>
        </is>
      </c>
      <c r="E505" t="n">
        <v>60</v>
      </c>
      <c r="F505" t="inlineStr">
        <is>
          <t>Positive Valence</t>
        </is>
      </c>
      <c r="G505" t="n">
        <v>50</v>
      </c>
      <c r="H505" t="n">
        <v>0</v>
      </c>
      <c r="I505" t="n">
        <v>0</v>
      </c>
      <c r="J505" t="inlineStr">
        <is>
          <t>NA</t>
        </is>
      </c>
      <c r="K505" t="n">
        <v>97.90000000000001</v>
      </c>
    </row>
    <row r="506">
      <c r="A506" t="inlineStr">
        <is>
          <t>SIMULATED Food Waste Remote Study</t>
        </is>
      </c>
      <c r="B506" t="inlineStr">
        <is>
          <t>RESP0066</t>
        </is>
      </c>
      <c r="C506" t="inlineStr">
        <is>
          <t>Stimulus</t>
        </is>
      </c>
      <c r="D506" t="inlineStr">
        <is>
          <t>foodwaste_narrative</t>
        </is>
      </c>
      <c r="E506" t="n">
        <v>60</v>
      </c>
      <c r="F506" t="inlineStr">
        <is>
          <t>Negative Valence</t>
        </is>
      </c>
      <c r="G506" t="n">
        <v>-50</v>
      </c>
      <c r="H506" t="n">
        <v>1.89</v>
      </c>
      <c r="I506" t="n">
        <v>2</v>
      </c>
      <c r="J506" t="inlineStr">
        <is>
          <t>NA</t>
        </is>
      </c>
      <c r="K506" t="n">
        <v>97.90000000000001</v>
      </c>
    </row>
    <row r="507">
      <c r="A507" t="inlineStr">
        <is>
          <t>SIMULATED Food Waste Remote Study</t>
        </is>
      </c>
      <c r="B507" t="inlineStr">
        <is>
          <t>RESP0066</t>
        </is>
      </c>
      <c r="C507" t="inlineStr">
        <is>
          <t>Stimulus</t>
        </is>
      </c>
      <c r="D507" t="inlineStr">
        <is>
          <t>foodwaste_visual</t>
        </is>
      </c>
      <c r="E507" t="n">
        <v>62</v>
      </c>
      <c r="F507" t="inlineStr">
        <is>
          <t>Engagement</t>
        </is>
      </c>
      <c r="G507" t="n">
        <v>50</v>
      </c>
      <c r="H507" t="n">
        <v>63.98</v>
      </c>
      <c r="I507" t="n">
        <v>12</v>
      </c>
      <c r="J507" t="inlineStr">
        <is>
          <t>NA</t>
        </is>
      </c>
      <c r="K507" t="n">
        <v>95.8</v>
      </c>
    </row>
    <row r="508">
      <c r="A508" t="inlineStr">
        <is>
          <t>SIMULATED Food Waste Remote Study</t>
        </is>
      </c>
      <c r="B508" t="inlineStr">
        <is>
          <t>RESP0066</t>
        </is>
      </c>
      <c r="C508" t="inlineStr">
        <is>
          <t>Stimulus</t>
        </is>
      </c>
      <c r="D508" t="inlineStr">
        <is>
          <t>foodwaste_visual</t>
        </is>
      </c>
      <c r="E508" t="n">
        <v>62</v>
      </c>
      <c r="F508" t="inlineStr">
        <is>
          <t>Joy</t>
        </is>
      </c>
      <c r="G508" t="n">
        <v>50</v>
      </c>
      <c r="H508" t="n">
        <v>2.8</v>
      </c>
      <c r="I508" t="n">
        <v>1</v>
      </c>
      <c r="J508" t="inlineStr">
        <is>
          <t>NA</t>
        </is>
      </c>
      <c r="K508" t="n">
        <v>95.8</v>
      </c>
    </row>
    <row r="509">
      <c r="A509" t="inlineStr">
        <is>
          <t>SIMULATED Food Waste Remote Study</t>
        </is>
      </c>
      <c r="B509" t="inlineStr">
        <is>
          <t>RESP0066</t>
        </is>
      </c>
      <c r="C509" t="inlineStr">
        <is>
          <t>Stimulus</t>
        </is>
      </c>
      <c r="D509" t="inlineStr">
        <is>
          <t>foodwaste_visual</t>
        </is>
      </c>
      <c r="E509" t="n">
        <v>62</v>
      </c>
      <c r="F509" t="inlineStr">
        <is>
          <t>Brow Furrow</t>
        </is>
      </c>
      <c r="G509" t="n">
        <v>50</v>
      </c>
      <c r="H509" t="n">
        <v>29.73</v>
      </c>
      <c r="I509" t="n">
        <v>11</v>
      </c>
      <c r="J509" t="inlineStr">
        <is>
          <t>NA</t>
        </is>
      </c>
      <c r="K509" t="n">
        <v>95.8</v>
      </c>
    </row>
    <row r="510">
      <c r="A510" t="inlineStr">
        <is>
          <t>SIMULATED Food Waste Remote Study</t>
        </is>
      </c>
      <c r="B510" t="inlineStr">
        <is>
          <t>RESP0066</t>
        </is>
      </c>
      <c r="C510" t="inlineStr">
        <is>
          <t>Stimulus</t>
        </is>
      </c>
      <c r="D510" t="inlineStr">
        <is>
          <t>foodwaste_visual</t>
        </is>
      </c>
      <c r="E510" t="n">
        <v>62</v>
      </c>
      <c r="F510" t="inlineStr">
        <is>
          <t>Positive Valence</t>
        </is>
      </c>
      <c r="G510" t="n">
        <v>50</v>
      </c>
      <c r="H510" t="n">
        <v>19.25</v>
      </c>
      <c r="I510" t="n">
        <v>3</v>
      </c>
      <c r="J510" t="inlineStr">
        <is>
          <t>NA</t>
        </is>
      </c>
      <c r="K510" t="n">
        <v>95.8</v>
      </c>
    </row>
    <row r="511">
      <c r="A511" t="inlineStr">
        <is>
          <t>SIMULATED Food Waste Remote Study</t>
        </is>
      </c>
      <c r="B511" t="inlineStr">
        <is>
          <t>RESP0066</t>
        </is>
      </c>
      <c r="C511" t="inlineStr">
        <is>
          <t>Stimulus</t>
        </is>
      </c>
      <c r="D511" t="inlineStr">
        <is>
          <t>foodwaste_visual</t>
        </is>
      </c>
      <c r="E511" t="n">
        <v>62</v>
      </c>
      <c r="F511" t="inlineStr">
        <is>
          <t>Negative Valence</t>
        </is>
      </c>
      <c r="G511" t="n">
        <v>-50</v>
      </c>
      <c r="H511" t="n">
        <v>23.87</v>
      </c>
      <c r="I511" t="n">
        <v>12</v>
      </c>
      <c r="J511" t="inlineStr">
        <is>
          <t>NA</t>
        </is>
      </c>
      <c r="K511" t="n">
        <v>95.8</v>
      </c>
    </row>
    <row r="512">
      <c r="A512" t="inlineStr">
        <is>
          <t>SIMULATED Food Waste Remote Study</t>
        </is>
      </c>
      <c r="B512" t="inlineStr">
        <is>
          <t>RESP0067</t>
        </is>
      </c>
      <c r="C512" t="inlineStr">
        <is>
          <t>Stimulus</t>
        </is>
      </c>
      <c r="D512" t="inlineStr">
        <is>
          <t>foodwaste_narrative</t>
        </is>
      </c>
      <c r="E512" t="n">
        <v>60</v>
      </c>
      <c r="F512" t="inlineStr">
        <is>
          <t>Engagement</t>
        </is>
      </c>
      <c r="G512" t="n">
        <v>50</v>
      </c>
      <c r="H512" t="n">
        <v>4.61</v>
      </c>
      <c r="I512" t="n">
        <v>2</v>
      </c>
      <c r="J512" t="inlineStr">
        <is>
          <t>NA</t>
        </is>
      </c>
      <c r="K512" t="n">
        <v>99.5</v>
      </c>
    </row>
    <row r="513">
      <c r="A513" t="inlineStr">
        <is>
          <t>SIMULATED Food Waste Remote Study</t>
        </is>
      </c>
      <c r="B513" t="inlineStr">
        <is>
          <t>RESP0067</t>
        </is>
      </c>
      <c r="C513" t="inlineStr">
        <is>
          <t>Stimulus</t>
        </is>
      </c>
      <c r="D513" t="inlineStr">
        <is>
          <t>foodwaste_narrative</t>
        </is>
      </c>
      <c r="E513" t="n">
        <v>60</v>
      </c>
      <c r="F513" t="inlineStr">
        <is>
          <t>Joy</t>
        </is>
      </c>
      <c r="G513" t="n">
        <v>50</v>
      </c>
      <c r="H513" t="n">
        <v>0</v>
      </c>
      <c r="I513" t="n">
        <v>0</v>
      </c>
      <c r="J513" t="inlineStr">
        <is>
          <t>NA</t>
        </is>
      </c>
      <c r="K513" t="n">
        <v>99.5</v>
      </c>
    </row>
    <row r="514">
      <c r="A514" t="inlineStr">
        <is>
          <t>SIMULATED Food Waste Remote Study</t>
        </is>
      </c>
      <c r="B514" t="inlineStr">
        <is>
          <t>RESP0067</t>
        </is>
      </c>
      <c r="C514" t="inlineStr">
        <is>
          <t>Stimulus</t>
        </is>
      </c>
      <c r="D514" t="inlineStr">
        <is>
          <t>foodwaste_narrative</t>
        </is>
      </c>
      <c r="E514" t="n">
        <v>60</v>
      </c>
      <c r="F514" t="inlineStr">
        <is>
          <t>Brow Furrow</t>
        </is>
      </c>
      <c r="G514" t="n">
        <v>50</v>
      </c>
      <c r="H514" t="n">
        <v>2.61</v>
      </c>
      <c r="I514" t="n">
        <v>1</v>
      </c>
      <c r="J514" t="inlineStr">
        <is>
          <t>NA</t>
        </is>
      </c>
      <c r="K514" t="n">
        <v>99.5</v>
      </c>
    </row>
    <row r="515">
      <c r="A515" t="inlineStr">
        <is>
          <t>SIMULATED Food Waste Remote Study</t>
        </is>
      </c>
      <c r="B515" t="inlineStr">
        <is>
          <t>RESP0067</t>
        </is>
      </c>
      <c r="C515" t="inlineStr">
        <is>
          <t>Stimulus</t>
        </is>
      </c>
      <c r="D515" t="inlineStr">
        <is>
          <t>foodwaste_narrative</t>
        </is>
      </c>
      <c r="E515" t="n">
        <v>60</v>
      </c>
      <c r="F515" t="inlineStr">
        <is>
          <t>Positive Valence</t>
        </is>
      </c>
      <c r="G515" t="n">
        <v>50</v>
      </c>
      <c r="H515" t="n">
        <v>0.22</v>
      </c>
      <c r="I515" t="n">
        <v>1</v>
      </c>
      <c r="J515" t="inlineStr">
        <is>
          <t>NA</t>
        </is>
      </c>
      <c r="K515" t="n">
        <v>99.5</v>
      </c>
    </row>
    <row r="516">
      <c r="A516" t="inlineStr">
        <is>
          <t>SIMULATED Food Waste Remote Study</t>
        </is>
      </c>
      <c r="B516" t="inlineStr">
        <is>
          <t>RESP0067</t>
        </is>
      </c>
      <c r="C516" t="inlineStr">
        <is>
          <t>Stimulus</t>
        </is>
      </c>
      <c r="D516" t="inlineStr">
        <is>
          <t>foodwaste_narrative</t>
        </is>
      </c>
      <c r="E516" t="n">
        <v>60</v>
      </c>
      <c r="F516" t="inlineStr">
        <is>
          <t>Negative Valence</t>
        </is>
      </c>
      <c r="G516" t="n">
        <v>-50</v>
      </c>
      <c r="H516" t="n">
        <v>8.279999999999999</v>
      </c>
      <c r="I516" t="n">
        <v>2</v>
      </c>
      <c r="J516" t="inlineStr">
        <is>
          <t>NA</t>
        </is>
      </c>
      <c r="K516" t="n">
        <v>99.5</v>
      </c>
    </row>
    <row r="517">
      <c r="A517" t="inlineStr">
        <is>
          <t>SIMULATED Food Waste Remote Study</t>
        </is>
      </c>
      <c r="B517" t="inlineStr">
        <is>
          <t>RESP0067</t>
        </is>
      </c>
      <c r="C517" t="inlineStr">
        <is>
          <t>Stimulus</t>
        </is>
      </c>
      <c r="D517" t="inlineStr">
        <is>
          <t>foodwaste_visual</t>
        </is>
      </c>
      <c r="E517" t="n">
        <v>62</v>
      </c>
      <c r="F517" t="inlineStr">
        <is>
          <t>Engagement</t>
        </is>
      </c>
      <c r="G517" t="n">
        <v>50</v>
      </c>
      <c r="H517" t="n">
        <v>33.33</v>
      </c>
      <c r="I517" t="n">
        <v>7</v>
      </c>
      <c r="J517" t="inlineStr">
        <is>
          <t>NA</t>
        </is>
      </c>
      <c r="K517" t="n">
        <v>99.7</v>
      </c>
    </row>
    <row r="518">
      <c r="A518" t="inlineStr">
        <is>
          <t>SIMULATED Food Waste Remote Study</t>
        </is>
      </c>
      <c r="B518" t="inlineStr">
        <is>
          <t>RESP0067</t>
        </is>
      </c>
      <c r="C518" t="inlineStr">
        <is>
          <t>Stimulus</t>
        </is>
      </c>
      <c r="D518" t="inlineStr">
        <is>
          <t>foodwaste_visual</t>
        </is>
      </c>
      <c r="E518" t="n">
        <v>62</v>
      </c>
      <c r="F518" t="inlineStr">
        <is>
          <t>Joy</t>
        </is>
      </c>
      <c r="G518" t="n">
        <v>50</v>
      </c>
      <c r="H518" t="n">
        <v>7.42</v>
      </c>
      <c r="I518" t="n">
        <v>4</v>
      </c>
      <c r="J518" t="inlineStr">
        <is>
          <t>NA</t>
        </is>
      </c>
      <c r="K518" t="n">
        <v>99.7</v>
      </c>
    </row>
    <row r="519">
      <c r="A519" t="inlineStr">
        <is>
          <t>SIMULATED Food Waste Remote Study</t>
        </is>
      </c>
      <c r="B519" t="inlineStr">
        <is>
          <t>RESP0067</t>
        </is>
      </c>
      <c r="C519" t="inlineStr">
        <is>
          <t>Stimulus</t>
        </is>
      </c>
      <c r="D519" t="inlineStr">
        <is>
          <t>foodwaste_visual</t>
        </is>
      </c>
      <c r="E519" t="n">
        <v>62</v>
      </c>
      <c r="F519" t="inlineStr">
        <is>
          <t>Brow Furrow</t>
        </is>
      </c>
      <c r="G519" t="n">
        <v>50</v>
      </c>
      <c r="H519" t="n">
        <v>7.2</v>
      </c>
      <c r="I519" t="n">
        <v>2</v>
      </c>
      <c r="J519" t="inlineStr">
        <is>
          <t>NA</t>
        </is>
      </c>
      <c r="K519" t="n">
        <v>99.7</v>
      </c>
    </row>
    <row r="520">
      <c r="A520" t="inlineStr">
        <is>
          <t>SIMULATED Food Waste Remote Study</t>
        </is>
      </c>
      <c r="B520" t="inlineStr">
        <is>
          <t>RESP0067</t>
        </is>
      </c>
      <c r="C520" t="inlineStr">
        <is>
          <t>Stimulus</t>
        </is>
      </c>
      <c r="D520" t="inlineStr">
        <is>
          <t>foodwaste_visual</t>
        </is>
      </c>
      <c r="E520" t="n">
        <v>62</v>
      </c>
      <c r="F520" t="inlineStr">
        <is>
          <t>Positive Valence</t>
        </is>
      </c>
      <c r="G520" t="n">
        <v>50</v>
      </c>
      <c r="H520" t="n">
        <v>0</v>
      </c>
      <c r="I520" t="n">
        <v>0</v>
      </c>
      <c r="J520" t="inlineStr">
        <is>
          <t>NA</t>
        </is>
      </c>
      <c r="K520" t="n">
        <v>99.7</v>
      </c>
    </row>
    <row r="521">
      <c r="A521" t="inlineStr">
        <is>
          <t>SIMULATED Food Waste Remote Study</t>
        </is>
      </c>
      <c r="B521" t="inlineStr">
        <is>
          <t>RESP0067</t>
        </is>
      </c>
      <c r="C521" t="inlineStr">
        <is>
          <t>Stimulus</t>
        </is>
      </c>
      <c r="D521" t="inlineStr">
        <is>
          <t>foodwaste_visual</t>
        </is>
      </c>
      <c r="E521" t="n">
        <v>62</v>
      </c>
      <c r="F521" t="inlineStr">
        <is>
          <t>Negative Valence</t>
        </is>
      </c>
      <c r="G521" t="n">
        <v>-50</v>
      </c>
      <c r="H521" t="n">
        <v>17.15</v>
      </c>
      <c r="I521" t="n">
        <v>5</v>
      </c>
      <c r="J521" t="inlineStr">
        <is>
          <t>NA</t>
        </is>
      </c>
      <c r="K521" t="n">
        <v>99.7</v>
      </c>
    </row>
    <row r="522">
      <c r="A522" t="inlineStr">
        <is>
          <t>SIMULATED Food Waste Remote Study</t>
        </is>
      </c>
      <c r="B522" t="inlineStr">
        <is>
          <t>RESP0069</t>
        </is>
      </c>
      <c r="C522" t="inlineStr">
        <is>
          <t>Stimulus</t>
        </is>
      </c>
      <c r="D522" t="inlineStr">
        <is>
          <t>foodwaste_narrative</t>
        </is>
      </c>
      <c r="E522" t="n">
        <v>60</v>
      </c>
      <c r="F522" t="inlineStr">
        <is>
          <t>Engagement</t>
        </is>
      </c>
      <c r="G522" t="n">
        <v>50</v>
      </c>
      <c r="H522" t="n">
        <v>66.22</v>
      </c>
      <c r="I522" t="n">
        <v>12</v>
      </c>
      <c r="J522" t="inlineStr">
        <is>
          <t>NA</t>
        </is>
      </c>
      <c r="K522" t="n">
        <v>99.59999999999999</v>
      </c>
    </row>
    <row r="523">
      <c r="A523" t="inlineStr">
        <is>
          <t>SIMULATED Food Waste Remote Study</t>
        </is>
      </c>
      <c r="B523" t="inlineStr">
        <is>
          <t>RESP0069</t>
        </is>
      </c>
      <c r="C523" t="inlineStr">
        <is>
          <t>Stimulus</t>
        </is>
      </c>
      <c r="D523" t="inlineStr">
        <is>
          <t>foodwaste_narrative</t>
        </is>
      </c>
      <c r="E523" t="n">
        <v>60</v>
      </c>
      <c r="F523" t="inlineStr">
        <is>
          <t>Joy</t>
        </is>
      </c>
      <c r="G523" t="n">
        <v>50</v>
      </c>
      <c r="H523" t="n">
        <v>0</v>
      </c>
      <c r="I523" t="n">
        <v>0</v>
      </c>
      <c r="J523" t="inlineStr">
        <is>
          <t>NA</t>
        </is>
      </c>
      <c r="K523" t="n">
        <v>99.59999999999999</v>
      </c>
    </row>
    <row r="524">
      <c r="A524" t="inlineStr">
        <is>
          <t>SIMULATED Food Waste Remote Study</t>
        </is>
      </c>
      <c r="B524" t="inlineStr">
        <is>
          <t>RESP0069</t>
        </is>
      </c>
      <c r="C524" t="inlineStr">
        <is>
          <t>Stimulus</t>
        </is>
      </c>
      <c r="D524" t="inlineStr">
        <is>
          <t>foodwaste_narrative</t>
        </is>
      </c>
      <c r="E524" t="n">
        <v>60</v>
      </c>
      <c r="F524" t="inlineStr">
        <is>
          <t>Brow Furrow</t>
        </is>
      </c>
      <c r="G524" t="n">
        <v>50</v>
      </c>
      <c r="H524" t="n">
        <v>6.94</v>
      </c>
      <c r="I524" t="n">
        <v>2</v>
      </c>
      <c r="J524" t="inlineStr">
        <is>
          <t>NA</t>
        </is>
      </c>
      <c r="K524" t="n">
        <v>99.59999999999999</v>
      </c>
    </row>
    <row r="525">
      <c r="A525" t="inlineStr">
        <is>
          <t>SIMULATED Food Waste Remote Study</t>
        </is>
      </c>
      <c r="B525" t="inlineStr">
        <is>
          <t>RESP0069</t>
        </is>
      </c>
      <c r="C525" t="inlineStr">
        <is>
          <t>Stimulus</t>
        </is>
      </c>
      <c r="D525" t="inlineStr">
        <is>
          <t>foodwaste_narrative</t>
        </is>
      </c>
      <c r="E525" t="n">
        <v>60</v>
      </c>
      <c r="F525" t="inlineStr">
        <is>
          <t>Positive Valence</t>
        </is>
      </c>
      <c r="G525" t="n">
        <v>50</v>
      </c>
      <c r="H525" t="n">
        <v>0</v>
      </c>
      <c r="I525" t="n">
        <v>0</v>
      </c>
      <c r="J525" t="inlineStr">
        <is>
          <t>NA</t>
        </is>
      </c>
      <c r="K525" t="n">
        <v>99.59999999999999</v>
      </c>
    </row>
    <row r="526">
      <c r="A526" t="inlineStr">
        <is>
          <t>SIMULATED Food Waste Remote Study</t>
        </is>
      </c>
      <c r="B526" t="inlineStr">
        <is>
          <t>RESP0069</t>
        </is>
      </c>
      <c r="C526" t="inlineStr">
        <is>
          <t>Stimulus</t>
        </is>
      </c>
      <c r="D526" t="inlineStr">
        <is>
          <t>foodwaste_narrative</t>
        </is>
      </c>
      <c r="E526" t="n">
        <v>60</v>
      </c>
      <c r="F526" t="inlineStr">
        <is>
          <t>Negative Valence</t>
        </is>
      </c>
      <c r="G526" t="n">
        <v>-50</v>
      </c>
      <c r="H526" t="n">
        <v>7.11</v>
      </c>
      <c r="I526" t="n">
        <v>2</v>
      </c>
      <c r="J526" t="inlineStr">
        <is>
          <t>NA</t>
        </is>
      </c>
      <c r="K526" t="n">
        <v>99.59999999999999</v>
      </c>
    </row>
    <row r="527">
      <c r="A527" t="inlineStr">
        <is>
          <t>SIMULATED Food Waste Remote Study</t>
        </is>
      </c>
      <c r="B527" t="inlineStr">
        <is>
          <t>RESP0069</t>
        </is>
      </c>
      <c r="C527" t="inlineStr">
        <is>
          <t>Stimulus</t>
        </is>
      </c>
      <c r="D527" t="inlineStr">
        <is>
          <t>foodwaste_visual</t>
        </is>
      </c>
      <c r="E527" t="n">
        <v>62</v>
      </c>
      <c r="F527" t="inlineStr">
        <is>
          <t>Engagement</t>
        </is>
      </c>
      <c r="G527" t="n">
        <v>50</v>
      </c>
      <c r="H527" t="n">
        <v>57.63</v>
      </c>
      <c r="I527" t="n">
        <v>14</v>
      </c>
      <c r="J527" t="inlineStr">
        <is>
          <t>NA</t>
        </is>
      </c>
      <c r="K527" t="n">
        <v>99.09999999999999</v>
      </c>
    </row>
    <row r="528">
      <c r="A528" t="inlineStr">
        <is>
          <t>SIMULATED Food Waste Remote Study</t>
        </is>
      </c>
      <c r="B528" t="inlineStr">
        <is>
          <t>RESP0069</t>
        </is>
      </c>
      <c r="C528" t="inlineStr">
        <is>
          <t>Stimulus</t>
        </is>
      </c>
      <c r="D528" t="inlineStr">
        <is>
          <t>foodwaste_visual</t>
        </is>
      </c>
      <c r="E528" t="n">
        <v>62</v>
      </c>
      <c r="F528" t="inlineStr">
        <is>
          <t>Joy</t>
        </is>
      </c>
      <c r="G528" t="n">
        <v>50</v>
      </c>
      <c r="H528" t="n">
        <v>11.94</v>
      </c>
      <c r="I528" t="n">
        <v>3</v>
      </c>
      <c r="J528" t="inlineStr">
        <is>
          <t>NA</t>
        </is>
      </c>
      <c r="K528" t="n">
        <v>99.09999999999999</v>
      </c>
    </row>
    <row r="529">
      <c r="A529" t="inlineStr">
        <is>
          <t>SIMULATED Food Waste Remote Study</t>
        </is>
      </c>
      <c r="B529" t="inlineStr">
        <is>
          <t>RESP0069</t>
        </is>
      </c>
      <c r="C529" t="inlineStr">
        <is>
          <t>Stimulus</t>
        </is>
      </c>
      <c r="D529" t="inlineStr">
        <is>
          <t>foodwaste_visual</t>
        </is>
      </c>
      <c r="E529" t="n">
        <v>62</v>
      </c>
      <c r="F529" t="inlineStr">
        <is>
          <t>Brow Furrow</t>
        </is>
      </c>
      <c r="G529" t="n">
        <v>50</v>
      </c>
      <c r="H529" t="n">
        <v>1.88</v>
      </c>
      <c r="I529" t="n">
        <v>2</v>
      </c>
      <c r="J529" t="inlineStr">
        <is>
          <t>NA</t>
        </is>
      </c>
      <c r="K529" t="n">
        <v>99.09999999999999</v>
      </c>
    </row>
    <row r="530">
      <c r="A530" t="inlineStr">
        <is>
          <t>SIMULATED Food Waste Remote Study</t>
        </is>
      </c>
      <c r="B530" t="inlineStr">
        <is>
          <t>RESP0069</t>
        </is>
      </c>
      <c r="C530" t="inlineStr">
        <is>
          <t>Stimulus</t>
        </is>
      </c>
      <c r="D530" t="inlineStr">
        <is>
          <t>foodwaste_visual</t>
        </is>
      </c>
      <c r="E530" t="n">
        <v>62</v>
      </c>
      <c r="F530" t="inlineStr">
        <is>
          <t>Positive Valence</t>
        </is>
      </c>
      <c r="G530" t="n">
        <v>50</v>
      </c>
      <c r="H530" t="n">
        <v>1.88</v>
      </c>
      <c r="I530" t="n">
        <v>3</v>
      </c>
      <c r="J530" t="inlineStr">
        <is>
          <t>NA</t>
        </is>
      </c>
      <c r="K530" t="n">
        <v>99.09999999999999</v>
      </c>
    </row>
    <row r="531">
      <c r="A531" t="inlineStr">
        <is>
          <t>SIMULATED Food Waste Remote Study</t>
        </is>
      </c>
      <c r="B531" t="inlineStr">
        <is>
          <t>RESP0069</t>
        </is>
      </c>
      <c r="C531" t="inlineStr">
        <is>
          <t>Stimulus</t>
        </is>
      </c>
      <c r="D531" t="inlineStr">
        <is>
          <t>foodwaste_visual</t>
        </is>
      </c>
      <c r="E531" t="n">
        <v>62</v>
      </c>
      <c r="F531" t="inlineStr">
        <is>
          <t>Negative Valence</t>
        </is>
      </c>
      <c r="G531" t="n">
        <v>-50</v>
      </c>
      <c r="H531" t="n">
        <v>1.24</v>
      </c>
      <c r="I531" t="n">
        <v>1</v>
      </c>
      <c r="J531" t="inlineStr">
        <is>
          <t>NA</t>
        </is>
      </c>
      <c r="K531" t="n">
        <v>99.09999999999999</v>
      </c>
    </row>
    <row r="532">
      <c r="A532" t="inlineStr">
        <is>
          <t>SIMULATED Food Waste Remote Study</t>
        </is>
      </c>
      <c r="B532" t="inlineStr">
        <is>
          <t>RESP0071</t>
        </is>
      </c>
      <c r="C532" t="inlineStr">
        <is>
          <t>Stimulus</t>
        </is>
      </c>
      <c r="D532" t="inlineStr">
        <is>
          <t>foodwaste_narrative</t>
        </is>
      </c>
      <c r="E532" t="n">
        <v>60</v>
      </c>
      <c r="F532" t="inlineStr">
        <is>
          <t>Engagement</t>
        </is>
      </c>
      <c r="G532" t="n">
        <v>50</v>
      </c>
      <c r="H532" t="n">
        <v>0</v>
      </c>
      <c r="I532" t="n">
        <v>0</v>
      </c>
      <c r="J532" t="inlineStr">
        <is>
          <t>NA</t>
        </is>
      </c>
      <c r="K532" t="n">
        <v>90.7</v>
      </c>
    </row>
    <row r="533">
      <c r="A533" t="inlineStr">
        <is>
          <t>SIMULATED Food Waste Remote Study</t>
        </is>
      </c>
      <c r="B533" t="inlineStr">
        <is>
          <t>RESP0071</t>
        </is>
      </c>
      <c r="C533" t="inlineStr">
        <is>
          <t>Stimulus</t>
        </is>
      </c>
      <c r="D533" t="inlineStr">
        <is>
          <t>foodwaste_narrative</t>
        </is>
      </c>
      <c r="E533" t="n">
        <v>60</v>
      </c>
      <c r="F533" t="inlineStr">
        <is>
          <t>Joy</t>
        </is>
      </c>
      <c r="G533" t="n">
        <v>50</v>
      </c>
      <c r="H533" t="n">
        <v>5.44</v>
      </c>
      <c r="I533" t="n">
        <v>3</v>
      </c>
      <c r="J533" t="inlineStr">
        <is>
          <t>NA</t>
        </is>
      </c>
      <c r="K533" t="n">
        <v>90.7</v>
      </c>
    </row>
    <row r="534">
      <c r="A534" t="inlineStr">
        <is>
          <t>SIMULATED Food Waste Remote Study</t>
        </is>
      </c>
      <c r="B534" t="inlineStr">
        <is>
          <t>RESP0071</t>
        </is>
      </c>
      <c r="C534" t="inlineStr">
        <is>
          <t>Stimulus</t>
        </is>
      </c>
      <c r="D534" t="inlineStr">
        <is>
          <t>foodwaste_narrative</t>
        </is>
      </c>
      <c r="E534" t="n">
        <v>60</v>
      </c>
      <c r="F534" t="inlineStr">
        <is>
          <t>Brow Furrow</t>
        </is>
      </c>
      <c r="G534" t="n">
        <v>50</v>
      </c>
      <c r="H534" t="n">
        <v>0</v>
      </c>
      <c r="I534" t="n">
        <v>0</v>
      </c>
      <c r="J534" t="inlineStr">
        <is>
          <t>NA</t>
        </is>
      </c>
      <c r="K534" t="n">
        <v>90.7</v>
      </c>
    </row>
    <row r="535">
      <c r="A535" t="inlineStr">
        <is>
          <t>SIMULATED Food Waste Remote Study</t>
        </is>
      </c>
      <c r="B535" t="inlineStr">
        <is>
          <t>RESP0071</t>
        </is>
      </c>
      <c r="C535" t="inlineStr">
        <is>
          <t>Stimulus</t>
        </is>
      </c>
      <c r="D535" t="inlineStr">
        <is>
          <t>foodwaste_narrative</t>
        </is>
      </c>
      <c r="E535" t="n">
        <v>60</v>
      </c>
      <c r="F535" t="inlineStr">
        <is>
          <t>Positive Valence</t>
        </is>
      </c>
      <c r="G535" t="n">
        <v>50</v>
      </c>
      <c r="H535" t="n">
        <v>17.72</v>
      </c>
      <c r="I535" t="n">
        <v>8</v>
      </c>
      <c r="J535" t="inlineStr">
        <is>
          <t>NA</t>
        </is>
      </c>
      <c r="K535" t="n">
        <v>90.7</v>
      </c>
    </row>
    <row r="536">
      <c r="A536" t="inlineStr">
        <is>
          <t>SIMULATED Food Waste Remote Study</t>
        </is>
      </c>
      <c r="B536" t="inlineStr">
        <is>
          <t>RESP0071</t>
        </is>
      </c>
      <c r="C536" t="inlineStr">
        <is>
          <t>Stimulus</t>
        </is>
      </c>
      <c r="D536" t="inlineStr">
        <is>
          <t>foodwaste_narrative</t>
        </is>
      </c>
      <c r="E536" t="n">
        <v>60</v>
      </c>
      <c r="F536" t="inlineStr">
        <is>
          <t>Negative Valence</t>
        </is>
      </c>
      <c r="G536" t="n">
        <v>-50</v>
      </c>
      <c r="H536" t="n">
        <v>0</v>
      </c>
      <c r="I536" t="n">
        <v>0</v>
      </c>
      <c r="J536" t="inlineStr">
        <is>
          <t>NA</t>
        </is>
      </c>
      <c r="K536" t="n">
        <v>90.7</v>
      </c>
    </row>
    <row r="537">
      <c r="A537" t="inlineStr">
        <is>
          <t>SIMULATED Food Waste Remote Study</t>
        </is>
      </c>
      <c r="B537" t="inlineStr">
        <is>
          <t>RESP0071</t>
        </is>
      </c>
      <c r="C537" t="inlineStr">
        <is>
          <t>Stimulus</t>
        </is>
      </c>
      <c r="D537" t="inlineStr">
        <is>
          <t>foodwaste_visual</t>
        </is>
      </c>
      <c r="E537" t="n">
        <v>62</v>
      </c>
      <c r="F537" t="inlineStr">
        <is>
          <t>Engagement</t>
        </is>
      </c>
      <c r="G537" t="n">
        <v>50</v>
      </c>
      <c r="H537" t="n">
        <v>10.91</v>
      </c>
      <c r="I537" t="n">
        <v>4</v>
      </c>
      <c r="J537" t="inlineStr">
        <is>
          <t>NA</t>
        </is>
      </c>
      <c r="K537" t="n">
        <v>92.09999999999999</v>
      </c>
    </row>
    <row r="538">
      <c r="A538" t="inlineStr">
        <is>
          <t>SIMULATED Food Waste Remote Study</t>
        </is>
      </c>
      <c r="B538" t="inlineStr">
        <is>
          <t>RESP0071</t>
        </is>
      </c>
      <c r="C538" t="inlineStr">
        <is>
          <t>Stimulus</t>
        </is>
      </c>
      <c r="D538" t="inlineStr">
        <is>
          <t>foodwaste_visual</t>
        </is>
      </c>
      <c r="E538" t="n">
        <v>62</v>
      </c>
      <c r="F538" t="inlineStr">
        <is>
          <t>Joy</t>
        </is>
      </c>
      <c r="G538" t="n">
        <v>50</v>
      </c>
      <c r="H538" t="n">
        <v>0</v>
      </c>
      <c r="I538" t="n">
        <v>0</v>
      </c>
      <c r="J538" t="inlineStr">
        <is>
          <t>NA</t>
        </is>
      </c>
      <c r="K538" t="n">
        <v>92.09999999999999</v>
      </c>
    </row>
    <row r="539">
      <c r="A539" t="inlineStr">
        <is>
          <t>SIMULATED Food Waste Remote Study</t>
        </is>
      </c>
      <c r="B539" t="inlineStr">
        <is>
          <t>RESP0071</t>
        </is>
      </c>
      <c r="C539" t="inlineStr">
        <is>
          <t>Stimulus</t>
        </is>
      </c>
      <c r="D539" t="inlineStr">
        <is>
          <t>foodwaste_visual</t>
        </is>
      </c>
      <c r="E539" t="n">
        <v>62</v>
      </c>
      <c r="F539" t="inlineStr">
        <is>
          <t>Brow Furrow</t>
        </is>
      </c>
      <c r="G539" t="n">
        <v>50</v>
      </c>
      <c r="H539" t="n">
        <v>5.16</v>
      </c>
      <c r="I539" t="n">
        <v>2</v>
      </c>
      <c r="J539" t="inlineStr">
        <is>
          <t>NA</t>
        </is>
      </c>
      <c r="K539" t="n">
        <v>92.09999999999999</v>
      </c>
    </row>
    <row r="540">
      <c r="A540" t="inlineStr">
        <is>
          <t>SIMULATED Food Waste Remote Study</t>
        </is>
      </c>
      <c r="B540" t="inlineStr">
        <is>
          <t>RESP0071</t>
        </is>
      </c>
      <c r="C540" t="inlineStr">
        <is>
          <t>Stimulus</t>
        </is>
      </c>
      <c r="D540" t="inlineStr">
        <is>
          <t>foodwaste_visual</t>
        </is>
      </c>
      <c r="E540" t="n">
        <v>62</v>
      </c>
      <c r="F540" t="inlineStr">
        <is>
          <t>Positive Valence</t>
        </is>
      </c>
      <c r="G540" t="n">
        <v>50</v>
      </c>
      <c r="H540" t="n">
        <v>0.48</v>
      </c>
      <c r="I540" t="n">
        <v>1</v>
      </c>
      <c r="J540" t="inlineStr">
        <is>
          <t>NA</t>
        </is>
      </c>
      <c r="K540" t="n">
        <v>92.09999999999999</v>
      </c>
    </row>
    <row r="541">
      <c r="A541" t="inlineStr">
        <is>
          <t>SIMULATED Food Waste Remote Study</t>
        </is>
      </c>
      <c r="B541" t="inlineStr">
        <is>
          <t>RESP0071</t>
        </is>
      </c>
      <c r="C541" t="inlineStr">
        <is>
          <t>Stimulus</t>
        </is>
      </c>
      <c r="D541" t="inlineStr">
        <is>
          <t>foodwaste_visual</t>
        </is>
      </c>
      <c r="E541" t="n">
        <v>62</v>
      </c>
      <c r="F541" t="inlineStr">
        <is>
          <t>Negative Valence</t>
        </is>
      </c>
      <c r="G541" t="n">
        <v>-50</v>
      </c>
      <c r="H541" t="n">
        <v>2.53</v>
      </c>
      <c r="I541" t="n">
        <v>2</v>
      </c>
      <c r="J541" t="inlineStr">
        <is>
          <t>NA</t>
        </is>
      </c>
      <c r="K541" t="n">
        <v>92.09999999999999</v>
      </c>
    </row>
    <row r="542">
      <c r="A542" t="inlineStr">
        <is>
          <t>SIMULATED Food Waste Remote Study</t>
        </is>
      </c>
      <c r="B542" t="inlineStr">
        <is>
          <t>RESP0072</t>
        </is>
      </c>
      <c r="C542" t="inlineStr">
        <is>
          <t>Stimulus</t>
        </is>
      </c>
      <c r="D542" t="inlineStr">
        <is>
          <t>foodwaste_narrative</t>
        </is>
      </c>
      <c r="E542" t="n">
        <v>60</v>
      </c>
      <c r="F542" t="inlineStr">
        <is>
          <t>Engagement</t>
        </is>
      </c>
      <c r="G542" t="n">
        <v>50</v>
      </c>
      <c r="H542" t="n">
        <v>0</v>
      </c>
      <c r="I542" t="n">
        <v>0</v>
      </c>
      <c r="J542" t="inlineStr">
        <is>
          <t>NA</t>
        </is>
      </c>
      <c r="K542" t="n">
        <v>89.7</v>
      </c>
    </row>
    <row r="543">
      <c r="A543" t="inlineStr">
        <is>
          <t>SIMULATED Food Waste Remote Study</t>
        </is>
      </c>
      <c r="B543" t="inlineStr">
        <is>
          <t>RESP0072</t>
        </is>
      </c>
      <c r="C543" t="inlineStr">
        <is>
          <t>Stimulus</t>
        </is>
      </c>
      <c r="D543" t="inlineStr">
        <is>
          <t>foodwaste_narrative</t>
        </is>
      </c>
      <c r="E543" t="n">
        <v>60</v>
      </c>
      <c r="F543" t="inlineStr">
        <is>
          <t>Joy</t>
        </is>
      </c>
      <c r="G543" t="n">
        <v>50</v>
      </c>
      <c r="H543" t="n">
        <v>0</v>
      </c>
      <c r="I543" t="n">
        <v>0</v>
      </c>
      <c r="J543" t="inlineStr">
        <is>
          <t>NA</t>
        </is>
      </c>
      <c r="K543" t="n">
        <v>89.7</v>
      </c>
    </row>
    <row r="544">
      <c r="A544" t="inlineStr">
        <is>
          <t>SIMULATED Food Waste Remote Study</t>
        </is>
      </c>
      <c r="B544" t="inlineStr">
        <is>
          <t>RESP0072</t>
        </is>
      </c>
      <c r="C544" t="inlineStr">
        <is>
          <t>Stimulus</t>
        </is>
      </c>
      <c r="D544" t="inlineStr">
        <is>
          <t>foodwaste_narrative</t>
        </is>
      </c>
      <c r="E544" t="n">
        <v>60</v>
      </c>
      <c r="F544" t="inlineStr">
        <is>
          <t>Brow Furrow</t>
        </is>
      </c>
      <c r="G544" t="n">
        <v>50</v>
      </c>
      <c r="H544" t="n">
        <v>0</v>
      </c>
      <c r="I544" t="n">
        <v>0</v>
      </c>
      <c r="J544" t="inlineStr">
        <is>
          <t>NA</t>
        </is>
      </c>
      <c r="K544" t="n">
        <v>89.7</v>
      </c>
    </row>
    <row r="545">
      <c r="A545" t="inlineStr">
        <is>
          <t>SIMULATED Food Waste Remote Study</t>
        </is>
      </c>
      <c r="B545" t="inlineStr">
        <is>
          <t>RESP0072</t>
        </is>
      </c>
      <c r="C545" t="inlineStr">
        <is>
          <t>Stimulus</t>
        </is>
      </c>
      <c r="D545" t="inlineStr">
        <is>
          <t>foodwaste_narrative</t>
        </is>
      </c>
      <c r="E545" t="n">
        <v>60</v>
      </c>
      <c r="F545" t="inlineStr">
        <is>
          <t>Positive Valence</t>
        </is>
      </c>
      <c r="G545" t="n">
        <v>50</v>
      </c>
      <c r="H545" t="n">
        <v>6.94</v>
      </c>
      <c r="I545" t="n">
        <v>3</v>
      </c>
      <c r="J545" t="inlineStr">
        <is>
          <t>NA</t>
        </is>
      </c>
      <c r="K545" t="n">
        <v>89.7</v>
      </c>
    </row>
    <row r="546">
      <c r="A546" t="inlineStr">
        <is>
          <t>SIMULATED Food Waste Remote Study</t>
        </is>
      </c>
      <c r="B546" t="inlineStr">
        <is>
          <t>RESP0072</t>
        </is>
      </c>
      <c r="C546" t="inlineStr">
        <is>
          <t>Stimulus</t>
        </is>
      </c>
      <c r="D546" t="inlineStr">
        <is>
          <t>foodwaste_narrative</t>
        </is>
      </c>
      <c r="E546" t="n">
        <v>60</v>
      </c>
      <c r="F546" t="inlineStr">
        <is>
          <t>Negative Valence</t>
        </is>
      </c>
      <c r="G546" t="n">
        <v>-50</v>
      </c>
      <c r="H546" t="n">
        <v>0</v>
      </c>
      <c r="I546" t="n">
        <v>0</v>
      </c>
      <c r="J546" t="inlineStr">
        <is>
          <t>NA</t>
        </is>
      </c>
      <c r="K546" t="n">
        <v>89.7</v>
      </c>
    </row>
    <row r="547">
      <c r="A547" t="inlineStr">
        <is>
          <t>SIMULATED Food Waste Remote Study</t>
        </is>
      </c>
      <c r="B547" t="inlineStr">
        <is>
          <t>RESP0072</t>
        </is>
      </c>
      <c r="C547" t="inlineStr">
        <is>
          <t>Stimulus</t>
        </is>
      </c>
      <c r="D547" t="inlineStr">
        <is>
          <t>foodwaste_visual</t>
        </is>
      </c>
      <c r="E547" t="n">
        <v>62</v>
      </c>
      <c r="F547" t="inlineStr">
        <is>
          <t>Engagement</t>
        </is>
      </c>
      <c r="G547" t="n">
        <v>50</v>
      </c>
      <c r="H547" t="n">
        <v>15.16</v>
      </c>
      <c r="I547" t="n">
        <v>7</v>
      </c>
      <c r="J547" t="inlineStr">
        <is>
          <t>NA</t>
        </is>
      </c>
      <c r="K547" t="n">
        <v>93.5</v>
      </c>
    </row>
    <row r="548">
      <c r="A548" t="inlineStr">
        <is>
          <t>SIMULATED Food Waste Remote Study</t>
        </is>
      </c>
      <c r="B548" t="inlineStr">
        <is>
          <t>RESP0072</t>
        </is>
      </c>
      <c r="C548" t="inlineStr">
        <is>
          <t>Stimulus</t>
        </is>
      </c>
      <c r="D548" t="inlineStr">
        <is>
          <t>foodwaste_visual</t>
        </is>
      </c>
      <c r="E548" t="n">
        <v>62</v>
      </c>
      <c r="F548" t="inlineStr">
        <is>
          <t>Joy</t>
        </is>
      </c>
      <c r="G548" t="n">
        <v>50</v>
      </c>
      <c r="H548" t="n">
        <v>0.32</v>
      </c>
      <c r="I548" t="n">
        <v>1</v>
      </c>
      <c r="J548" t="inlineStr">
        <is>
          <t>NA</t>
        </is>
      </c>
      <c r="K548" t="n">
        <v>93.5</v>
      </c>
    </row>
    <row r="549">
      <c r="A549" t="inlineStr">
        <is>
          <t>SIMULATED Food Waste Remote Study</t>
        </is>
      </c>
      <c r="B549" t="inlineStr">
        <is>
          <t>RESP0072</t>
        </is>
      </c>
      <c r="C549" t="inlineStr">
        <is>
          <t>Stimulus</t>
        </is>
      </c>
      <c r="D549" t="inlineStr">
        <is>
          <t>foodwaste_visual</t>
        </is>
      </c>
      <c r="E549" t="n">
        <v>62</v>
      </c>
      <c r="F549" t="inlineStr">
        <is>
          <t>Brow Furrow</t>
        </is>
      </c>
      <c r="G549" t="n">
        <v>50</v>
      </c>
      <c r="H549" t="n">
        <v>18.01</v>
      </c>
      <c r="I549" t="n">
        <v>5</v>
      </c>
      <c r="J549" t="inlineStr">
        <is>
          <t>NA</t>
        </is>
      </c>
      <c r="K549" t="n">
        <v>93.5</v>
      </c>
    </row>
    <row r="550">
      <c r="A550" t="inlineStr">
        <is>
          <t>SIMULATED Food Waste Remote Study</t>
        </is>
      </c>
      <c r="B550" t="inlineStr">
        <is>
          <t>RESP0072</t>
        </is>
      </c>
      <c r="C550" t="inlineStr">
        <is>
          <t>Stimulus</t>
        </is>
      </c>
      <c r="D550" t="inlineStr">
        <is>
          <t>foodwaste_visual</t>
        </is>
      </c>
      <c r="E550" t="n">
        <v>62</v>
      </c>
      <c r="F550" t="inlineStr">
        <is>
          <t>Positive Valence</t>
        </is>
      </c>
      <c r="G550" t="n">
        <v>50</v>
      </c>
      <c r="H550" t="n">
        <v>0</v>
      </c>
      <c r="I550" t="n">
        <v>0</v>
      </c>
      <c r="J550" t="inlineStr">
        <is>
          <t>NA</t>
        </is>
      </c>
      <c r="K550" t="n">
        <v>93.5</v>
      </c>
    </row>
    <row r="551">
      <c r="A551" t="inlineStr">
        <is>
          <t>SIMULATED Food Waste Remote Study</t>
        </is>
      </c>
      <c r="B551" t="inlineStr">
        <is>
          <t>RESP0072</t>
        </is>
      </c>
      <c r="C551" t="inlineStr">
        <is>
          <t>Stimulus</t>
        </is>
      </c>
      <c r="D551" t="inlineStr">
        <is>
          <t>foodwaste_visual</t>
        </is>
      </c>
      <c r="E551" t="n">
        <v>62</v>
      </c>
      <c r="F551" t="inlineStr">
        <is>
          <t>Negative Valence</t>
        </is>
      </c>
      <c r="G551" t="n">
        <v>-50</v>
      </c>
      <c r="H551" t="n">
        <v>0.75</v>
      </c>
      <c r="I551" t="n">
        <v>1</v>
      </c>
      <c r="J551" t="inlineStr">
        <is>
          <t>NA</t>
        </is>
      </c>
      <c r="K551" t="n">
        <v>93.5</v>
      </c>
    </row>
    <row r="552">
      <c r="A552" t="inlineStr">
        <is>
          <t>SIMULATED Food Waste Remote Study</t>
        </is>
      </c>
      <c r="B552" t="inlineStr">
        <is>
          <t>RESP0073</t>
        </is>
      </c>
      <c r="C552" t="inlineStr">
        <is>
          <t>Stimulus</t>
        </is>
      </c>
      <c r="D552" t="inlineStr">
        <is>
          <t>foodwaste_narrative</t>
        </is>
      </c>
      <c r="E552" t="n">
        <v>60</v>
      </c>
      <c r="F552" t="inlineStr">
        <is>
          <t>Engagement</t>
        </is>
      </c>
      <c r="G552" t="n">
        <v>50</v>
      </c>
      <c r="H552" t="n">
        <v>0</v>
      </c>
      <c r="I552" t="n">
        <v>0</v>
      </c>
      <c r="J552" t="inlineStr">
        <is>
          <t>NA</t>
        </is>
      </c>
      <c r="K552" t="n">
        <v>98.7</v>
      </c>
    </row>
    <row r="553">
      <c r="A553" t="inlineStr">
        <is>
          <t>SIMULATED Food Waste Remote Study</t>
        </is>
      </c>
      <c r="B553" t="inlineStr">
        <is>
          <t>RESP0073</t>
        </is>
      </c>
      <c r="C553" t="inlineStr">
        <is>
          <t>Stimulus</t>
        </is>
      </c>
      <c r="D553" t="inlineStr">
        <is>
          <t>foodwaste_narrative</t>
        </is>
      </c>
      <c r="E553" t="n">
        <v>60</v>
      </c>
      <c r="F553" t="inlineStr">
        <is>
          <t>Joy</t>
        </is>
      </c>
      <c r="G553" t="n">
        <v>50</v>
      </c>
      <c r="H553" t="n">
        <v>0</v>
      </c>
      <c r="I553" t="n">
        <v>0</v>
      </c>
      <c r="J553" t="inlineStr">
        <is>
          <t>NA</t>
        </is>
      </c>
      <c r="K553" t="n">
        <v>98.7</v>
      </c>
    </row>
    <row r="554">
      <c r="A554" t="inlineStr">
        <is>
          <t>SIMULATED Food Waste Remote Study</t>
        </is>
      </c>
      <c r="B554" t="inlineStr">
        <is>
          <t>RESP0073</t>
        </is>
      </c>
      <c r="C554" t="inlineStr">
        <is>
          <t>Stimulus</t>
        </is>
      </c>
      <c r="D554" t="inlineStr">
        <is>
          <t>foodwaste_narrative</t>
        </is>
      </c>
      <c r="E554" t="n">
        <v>60</v>
      </c>
      <c r="F554" t="inlineStr">
        <is>
          <t>Brow Furrow</t>
        </is>
      </c>
      <c r="G554" t="n">
        <v>50</v>
      </c>
      <c r="H554" t="n">
        <v>0</v>
      </c>
      <c r="I554" t="n">
        <v>0</v>
      </c>
      <c r="J554" t="inlineStr">
        <is>
          <t>NA</t>
        </is>
      </c>
      <c r="K554" t="n">
        <v>98.7</v>
      </c>
    </row>
    <row r="555">
      <c r="A555" t="inlineStr">
        <is>
          <t>SIMULATED Food Waste Remote Study</t>
        </is>
      </c>
      <c r="B555" t="inlineStr">
        <is>
          <t>RESP0073</t>
        </is>
      </c>
      <c r="C555" t="inlineStr">
        <is>
          <t>Stimulus</t>
        </is>
      </c>
      <c r="D555" t="inlineStr">
        <is>
          <t>foodwaste_narrative</t>
        </is>
      </c>
      <c r="E555" t="n">
        <v>60</v>
      </c>
      <c r="F555" t="inlineStr">
        <is>
          <t>Positive Valence</t>
        </is>
      </c>
      <c r="G555" t="n">
        <v>50</v>
      </c>
      <c r="H555" t="n">
        <v>5.22</v>
      </c>
      <c r="I555" t="n">
        <v>1</v>
      </c>
      <c r="J555" t="inlineStr">
        <is>
          <t>NA</t>
        </is>
      </c>
      <c r="K555" t="n">
        <v>98.7</v>
      </c>
    </row>
    <row r="556">
      <c r="A556" t="inlineStr">
        <is>
          <t>SIMULATED Food Waste Remote Study</t>
        </is>
      </c>
      <c r="B556" t="inlineStr">
        <is>
          <t>RESP0073</t>
        </is>
      </c>
      <c r="C556" t="inlineStr">
        <is>
          <t>Stimulus</t>
        </is>
      </c>
      <c r="D556" t="inlineStr">
        <is>
          <t>foodwaste_narrative</t>
        </is>
      </c>
      <c r="E556" t="n">
        <v>60</v>
      </c>
      <c r="F556" t="inlineStr">
        <is>
          <t>Negative Valence</t>
        </is>
      </c>
      <c r="G556" t="n">
        <v>-50</v>
      </c>
      <c r="H556" t="n">
        <v>0</v>
      </c>
      <c r="I556" t="n">
        <v>0</v>
      </c>
      <c r="J556" t="inlineStr">
        <is>
          <t>NA</t>
        </is>
      </c>
      <c r="K556" t="n">
        <v>98.7</v>
      </c>
    </row>
    <row r="557">
      <c r="A557" t="inlineStr">
        <is>
          <t>SIMULATED Food Waste Remote Study</t>
        </is>
      </c>
      <c r="B557" t="inlineStr">
        <is>
          <t>RESP0073</t>
        </is>
      </c>
      <c r="C557" t="inlineStr">
        <is>
          <t>Stimulus</t>
        </is>
      </c>
      <c r="D557" t="inlineStr">
        <is>
          <t>foodwaste_visual</t>
        </is>
      </c>
      <c r="E557" t="n">
        <v>62</v>
      </c>
      <c r="F557" t="inlineStr">
        <is>
          <t>Engagement</t>
        </is>
      </c>
      <c r="G557" t="n">
        <v>50</v>
      </c>
      <c r="H557" t="n">
        <v>40.38</v>
      </c>
      <c r="I557" t="n">
        <v>7</v>
      </c>
      <c r="J557" t="inlineStr">
        <is>
          <t>NA</t>
        </is>
      </c>
      <c r="K557" t="n">
        <v>98.5</v>
      </c>
    </row>
    <row r="558">
      <c r="A558" t="inlineStr">
        <is>
          <t>SIMULATED Food Waste Remote Study</t>
        </is>
      </c>
      <c r="B558" t="inlineStr">
        <is>
          <t>RESP0073</t>
        </is>
      </c>
      <c r="C558" t="inlineStr">
        <is>
          <t>Stimulus</t>
        </is>
      </c>
      <c r="D558" t="inlineStr">
        <is>
          <t>foodwaste_visual</t>
        </is>
      </c>
      <c r="E558" t="n">
        <v>62</v>
      </c>
      <c r="F558" t="inlineStr">
        <is>
          <t>Joy</t>
        </is>
      </c>
      <c r="G558" t="n">
        <v>50</v>
      </c>
      <c r="H558" t="n">
        <v>0</v>
      </c>
      <c r="I558" t="n">
        <v>0</v>
      </c>
      <c r="J558" t="inlineStr">
        <is>
          <t>NA</t>
        </is>
      </c>
      <c r="K558" t="n">
        <v>98.5</v>
      </c>
    </row>
    <row r="559">
      <c r="A559" t="inlineStr">
        <is>
          <t>SIMULATED Food Waste Remote Study</t>
        </is>
      </c>
      <c r="B559" t="inlineStr">
        <is>
          <t>RESP0073</t>
        </is>
      </c>
      <c r="C559" t="inlineStr">
        <is>
          <t>Stimulus</t>
        </is>
      </c>
      <c r="D559" t="inlineStr">
        <is>
          <t>foodwaste_visual</t>
        </is>
      </c>
      <c r="E559" t="n">
        <v>62</v>
      </c>
      <c r="F559" t="inlineStr">
        <is>
          <t>Brow Furrow</t>
        </is>
      </c>
      <c r="G559" t="n">
        <v>50</v>
      </c>
      <c r="H559" t="n">
        <v>1.24</v>
      </c>
      <c r="I559" t="n">
        <v>1</v>
      </c>
      <c r="J559" t="inlineStr">
        <is>
          <t>NA</t>
        </is>
      </c>
      <c r="K559" t="n">
        <v>98.5</v>
      </c>
    </row>
    <row r="560">
      <c r="A560" t="inlineStr">
        <is>
          <t>SIMULATED Food Waste Remote Study</t>
        </is>
      </c>
      <c r="B560" t="inlineStr">
        <is>
          <t>RESP0073</t>
        </is>
      </c>
      <c r="C560" t="inlineStr">
        <is>
          <t>Stimulus</t>
        </is>
      </c>
      <c r="D560" t="inlineStr">
        <is>
          <t>foodwaste_visual</t>
        </is>
      </c>
      <c r="E560" t="n">
        <v>62</v>
      </c>
      <c r="F560" t="inlineStr">
        <is>
          <t>Positive Valence</t>
        </is>
      </c>
      <c r="G560" t="n">
        <v>50</v>
      </c>
      <c r="H560" t="n">
        <v>1.67</v>
      </c>
      <c r="I560" t="n">
        <v>2</v>
      </c>
      <c r="J560" t="inlineStr">
        <is>
          <t>NA</t>
        </is>
      </c>
      <c r="K560" t="n">
        <v>98.5</v>
      </c>
    </row>
    <row r="561">
      <c r="A561" t="inlineStr">
        <is>
          <t>SIMULATED Food Waste Remote Study</t>
        </is>
      </c>
      <c r="B561" t="inlineStr">
        <is>
          <t>RESP0073</t>
        </is>
      </c>
      <c r="C561" t="inlineStr">
        <is>
          <t>Stimulus</t>
        </is>
      </c>
      <c r="D561" t="inlineStr">
        <is>
          <t>foodwaste_visual</t>
        </is>
      </c>
      <c r="E561" t="n">
        <v>62</v>
      </c>
      <c r="F561" t="inlineStr">
        <is>
          <t>Negative Valence</t>
        </is>
      </c>
      <c r="G561" t="n">
        <v>-50</v>
      </c>
      <c r="H561" t="n">
        <v>0</v>
      </c>
      <c r="I561" t="n">
        <v>0</v>
      </c>
      <c r="J561" t="inlineStr">
        <is>
          <t>NA</t>
        </is>
      </c>
      <c r="K561" t="n">
        <v>98.5</v>
      </c>
    </row>
    <row r="562">
      <c r="A562" t="inlineStr">
        <is>
          <t>SIMULATED Food Waste Remote Study</t>
        </is>
      </c>
      <c r="B562" t="inlineStr">
        <is>
          <t>RESP0074</t>
        </is>
      </c>
      <c r="C562" t="inlineStr">
        <is>
          <t>Stimulus</t>
        </is>
      </c>
      <c r="D562" t="inlineStr">
        <is>
          <t>foodwaste_narrative</t>
        </is>
      </c>
      <c r="E562" t="n">
        <v>60</v>
      </c>
      <c r="F562" t="inlineStr">
        <is>
          <t>Engagement</t>
        </is>
      </c>
      <c r="G562" t="n">
        <v>50</v>
      </c>
      <c r="H562" t="n">
        <v>2.94</v>
      </c>
      <c r="I562" t="n">
        <v>1</v>
      </c>
      <c r="J562" t="inlineStr">
        <is>
          <t>NA</t>
        </is>
      </c>
      <c r="K562" t="n">
        <v>99.09999999999999</v>
      </c>
    </row>
    <row r="563">
      <c r="A563" t="inlineStr">
        <is>
          <t>SIMULATED Food Waste Remote Study</t>
        </is>
      </c>
      <c r="B563" t="inlineStr">
        <is>
          <t>RESP0074</t>
        </is>
      </c>
      <c r="C563" t="inlineStr">
        <is>
          <t>Stimulus</t>
        </is>
      </c>
      <c r="D563" t="inlineStr">
        <is>
          <t>foodwaste_narrative</t>
        </is>
      </c>
      <c r="E563" t="n">
        <v>60</v>
      </c>
      <c r="F563" t="inlineStr">
        <is>
          <t>Joy</t>
        </is>
      </c>
      <c r="G563" t="n">
        <v>50</v>
      </c>
      <c r="H563" t="n">
        <v>1.67</v>
      </c>
      <c r="I563" t="n">
        <v>2</v>
      </c>
      <c r="J563" t="inlineStr">
        <is>
          <t>NA</t>
        </is>
      </c>
      <c r="K563" t="n">
        <v>99.09999999999999</v>
      </c>
    </row>
    <row r="564">
      <c r="A564" t="inlineStr">
        <is>
          <t>SIMULATED Food Waste Remote Study</t>
        </is>
      </c>
      <c r="B564" t="inlineStr">
        <is>
          <t>RESP0074</t>
        </is>
      </c>
      <c r="C564" t="inlineStr">
        <is>
          <t>Stimulus</t>
        </is>
      </c>
      <c r="D564" t="inlineStr">
        <is>
          <t>foodwaste_narrative</t>
        </is>
      </c>
      <c r="E564" t="n">
        <v>60</v>
      </c>
      <c r="F564" t="inlineStr">
        <is>
          <t>Brow Furrow</t>
        </is>
      </c>
      <c r="G564" t="n">
        <v>50</v>
      </c>
      <c r="H564" t="n">
        <v>0</v>
      </c>
      <c r="I564" t="n">
        <v>0</v>
      </c>
      <c r="J564" t="inlineStr">
        <is>
          <t>NA</t>
        </is>
      </c>
      <c r="K564" t="n">
        <v>99.09999999999999</v>
      </c>
    </row>
    <row r="565">
      <c r="A565" t="inlineStr">
        <is>
          <t>SIMULATED Food Waste Remote Study</t>
        </is>
      </c>
      <c r="B565" t="inlineStr">
        <is>
          <t>RESP0074</t>
        </is>
      </c>
      <c r="C565" t="inlineStr">
        <is>
          <t>Stimulus</t>
        </is>
      </c>
      <c r="D565" t="inlineStr">
        <is>
          <t>foodwaste_narrative</t>
        </is>
      </c>
      <c r="E565" t="n">
        <v>60</v>
      </c>
      <c r="F565" t="inlineStr">
        <is>
          <t>Positive Valence</t>
        </is>
      </c>
      <c r="G565" t="n">
        <v>50</v>
      </c>
      <c r="H565" t="n">
        <v>13</v>
      </c>
      <c r="I565" t="n">
        <v>6</v>
      </c>
      <c r="J565" t="inlineStr">
        <is>
          <t>NA</t>
        </is>
      </c>
      <c r="K565" t="n">
        <v>99.09999999999999</v>
      </c>
    </row>
    <row r="566">
      <c r="A566" t="inlineStr">
        <is>
          <t>SIMULATED Food Waste Remote Study</t>
        </is>
      </c>
      <c r="B566" t="inlineStr">
        <is>
          <t>RESP0074</t>
        </is>
      </c>
      <c r="C566" t="inlineStr">
        <is>
          <t>Stimulus</t>
        </is>
      </c>
      <c r="D566" t="inlineStr">
        <is>
          <t>foodwaste_narrative</t>
        </is>
      </c>
      <c r="E566" t="n">
        <v>60</v>
      </c>
      <c r="F566" t="inlineStr">
        <is>
          <t>Negative Valence</t>
        </is>
      </c>
      <c r="G566" t="n">
        <v>-50</v>
      </c>
      <c r="H566" t="n">
        <v>0</v>
      </c>
      <c r="I566" t="n">
        <v>0</v>
      </c>
      <c r="J566" t="inlineStr">
        <is>
          <t>NA</t>
        </is>
      </c>
      <c r="K566" t="n">
        <v>99.09999999999999</v>
      </c>
    </row>
    <row r="567">
      <c r="A567" t="inlineStr">
        <is>
          <t>SIMULATED Food Waste Remote Study</t>
        </is>
      </c>
      <c r="B567" t="inlineStr">
        <is>
          <t>RESP0074</t>
        </is>
      </c>
      <c r="C567" t="inlineStr">
        <is>
          <t>Stimulus</t>
        </is>
      </c>
      <c r="D567" t="inlineStr">
        <is>
          <t>foodwaste_visual</t>
        </is>
      </c>
      <c r="E567" t="n">
        <v>62</v>
      </c>
      <c r="F567" t="inlineStr">
        <is>
          <t>Engagement</t>
        </is>
      </c>
      <c r="G567" t="n">
        <v>50</v>
      </c>
      <c r="H567" t="n">
        <v>18.76</v>
      </c>
      <c r="I567" t="n">
        <v>5</v>
      </c>
      <c r="J567" t="inlineStr">
        <is>
          <t>NA</t>
        </is>
      </c>
      <c r="K567" t="n">
        <v>99.09999999999999</v>
      </c>
    </row>
    <row r="568">
      <c r="A568" t="inlineStr">
        <is>
          <t>SIMULATED Food Waste Remote Study</t>
        </is>
      </c>
      <c r="B568" t="inlineStr">
        <is>
          <t>RESP0074</t>
        </is>
      </c>
      <c r="C568" t="inlineStr">
        <is>
          <t>Stimulus</t>
        </is>
      </c>
      <c r="D568" t="inlineStr">
        <is>
          <t>foodwaste_visual</t>
        </is>
      </c>
      <c r="E568" t="n">
        <v>62</v>
      </c>
      <c r="F568" t="inlineStr">
        <is>
          <t>Joy</t>
        </is>
      </c>
      <c r="G568" t="n">
        <v>50</v>
      </c>
      <c r="H568" t="n">
        <v>2.74</v>
      </c>
      <c r="I568" t="n">
        <v>1</v>
      </c>
      <c r="J568" t="inlineStr">
        <is>
          <t>NA</t>
        </is>
      </c>
      <c r="K568" t="n">
        <v>99.09999999999999</v>
      </c>
    </row>
    <row r="569">
      <c r="A569" t="inlineStr">
        <is>
          <t>SIMULATED Food Waste Remote Study</t>
        </is>
      </c>
      <c r="B569" t="inlineStr">
        <is>
          <t>RESP0074</t>
        </is>
      </c>
      <c r="C569" t="inlineStr">
        <is>
          <t>Stimulus</t>
        </is>
      </c>
      <c r="D569" t="inlineStr">
        <is>
          <t>foodwaste_visual</t>
        </is>
      </c>
      <c r="E569" t="n">
        <v>62</v>
      </c>
      <c r="F569" t="inlineStr">
        <is>
          <t>Brow Furrow</t>
        </is>
      </c>
      <c r="G569" t="n">
        <v>50</v>
      </c>
      <c r="H569" t="n">
        <v>0.8100000000000001</v>
      </c>
      <c r="I569" t="n">
        <v>1</v>
      </c>
      <c r="J569" t="inlineStr">
        <is>
          <t>NA</t>
        </is>
      </c>
      <c r="K569" t="n">
        <v>99.09999999999999</v>
      </c>
    </row>
    <row r="570">
      <c r="A570" t="inlineStr">
        <is>
          <t>SIMULATED Food Waste Remote Study</t>
        </is>
      </c>
      <c r="B570" t="inlineStr">
        <is>
          <t>RESP0074</t>
        </is>
      </c>
      <c r="C570" t="inlineStr">
        <is>
          <t>Stimulus</t>
        </is>
      </c>
      <c r="D570" t="inlineStr">
        <is>
          <t>foodwaste_visual</t>
        </is>
      </c>
      <c r="E570" t="n">
        <v>62</v>
      </c>
      <c r="F570" t="inlineStr">
        <is>
          <t>Positive Valence</t>
        </is>
      </c>
      <c r="G570" t="n">
        <v>50</v>
      </c>
      <c r="H570" t="n">
        <v>7.15</v>
      </c>
      <c r="I570" t="n">
        <v>3</v>
      </c>
      <c r="J570" t="inlineStr">
        <is>
          <t>NA</t>
        </is>
      </c>
      <c r="K570" t="n">
        <v>99.09999999999999</v>
      </c>
    </row>
    <row r="571">
      <c r="A571" t="inlineStr">
        <is>
          <t>SIMULATED Food Waste Remote Study</t>
        </is>
      </c>
      <c r="B571" t="inlineStr">
        <is>
          <t>RESP0074</t>
        </is>
      </c>
      <c r="C571" t="inlineStr">
        <is>
          <t>Stimulus</t>
        </is>
      </c>
      <c r="D571" t="inlineStr">
        <is>
          <t>foodwaste_visual</t>
        </is>
      </c>
      <c r="E571" t="n">
        <v>62</v>
      </c>
      <c r="F571" t="inlineStr">
        <is>
          <t>Negative Valence</t>
        </is>
      </c>
      <c r="G571" t="n">
        <v>-50</v>
      </c>
      <c r="H571" t="n">
        <v>3.23</v>
      </c>
      <c r="I571" t="n">
        <v>2</v>
      </c>
      <c r="J571" t="inlineStr">
        <is>
          <t>NA</t>
        </is>
      </c>
      <c r="K571" t="n">
        <v>99.09999999999999</v>
      </c>
    </row>
    <row r="572">
      <c r="A572" t="inlineStr">
        <is>
          <t>SIMULATED Food Waste Remote Study</t>
        </is>
      </c>
      <c r="B572" t="inlineStr">
        <is>
          <t>RESP0075</t>
        </is>
      </c>
      <c r="C572" t="inlineStr">
        <is>
          <t>Stimulus</t>
        </is>
      </c>
      <c r="D572" t="inlineStr">
        <is>
          <t>foodwaste_narrative</t>
        </is>
      </c>
      <c r="E572" t="n">
        <v>60</v>
      </c>
      <c r="F572" t="inlineStr">
        <is>
          <t>Engagement</t>
        </is>
      </c>
      <c r="G572" t="n">
        <v>50</v>
      </c>
      <c r="H572" t="n">
        <v>2.33</v>
      </c>
      <c r="I572" t="n">
        <v>2</v>
      </c>
      <c r="J572" t="inlineStr">
        <is>
          <t>NA</t>
        </is>
      </c>
      <c r="K572" t="n">
        <v>75.8</v>
      </c>
    </row>
    <row r="573">
      <c r="A573" t="inlineStr">
        <is>
          <t>SIMULATED Food Waste Remote Study</t>
        </is>
      </c>
      <c r="B573" t="inlineStr">
        <is>
          <t>RESP0075</t>
        </is>
      </c>
      <c r="C573" t="inlineStr">
        <is>
          <t>Stimulus</t>
        </is>
      </c>
      <c r="D573" t="inlineStr">
        <is>
          <t>foodwaste_narrative</t>
        </is>
      </c>
      <c r="E573" t="n">
        <v>60</v>
      </c>
      <c r="F573" t="inlineStr">
        <is>
          <t>Joy</t>
        </is>
      </c>
      <c r="G573" t="n">
        <v>50</v>
      </c>
      <c r="H573" t="n">
        <v>0</v>
      </c>
      <c r="I573" t="n">
        <v>0</v>
      </c>
      <c r="J573" t="inlineStr">
        <is>
          <t>NA</t>
        </is>
      </c>
      <c r="K573" t="n">
        <v>75.8</v>
      </c>
    </row>
    <row r="574">
      <c r="A574" t="inlineStr">
        <is>
          <t>SIMULATED Food Waste Remote Study</t>
        </is>
      </c>
      <c r="B574" t="inlineStr">
        <is>
          <t>RESP0075</t>
        </is>
      </c>
      <c r="C574" t="inlineStr">
        <is>
          <t>Stimulus</t>
        </is>
      </c>
      <c r="D574" t="inlineStr">
        <is>
          <t>foodwaste_narrative</t>
        </is>
      </c>
      <c r="E574" t="n">
        <v>60</v>
      </c>
      <c r="F574" t="inlineStr">
        <is>
          <t>Brow Furrow</t>
        </is>
      </c>
      <c r="G574" t="n">
        <v>50</v>
      </c>
      <c r="H574" t="n">
        <v>0.44</v>
      </c>
      <c r="I574" t="n">
        <v>1</v>
      </c>
      <c r="J574" t="inlineStr">
        <is>
          <t>NA</t>
        </is>
      </c>
      <c r="K574" t="n">
        <v>75.8</v>
      </c>
    </row>
    <row r="575">
      <c r="A575" t="inlineStr">
        <is>
          <t>SIMULATED Food Waste Remote Study</t>
        </is>
      </c>
      <c r="B575" t="inlineStr">
        <is>
          <t>RESP0075</t>
        </is>
      </c>
      <c r="C575" t="inlineStr">
        <is>
          <t>Stimulus</t>
        </is>
      </c>
      <c r="D575" t="inlineStr">
        <is>
          <t>foodwaste_narrative</t>
        </is>
      </c>
      <c r="E575" t="n">
        <v>60</v>
      </c>
      <c r="F575" t="inlineStr">
        <is>
          <t>Positive Valence</t>
        </is>
      </c>
      <c r="G575" t="n">
        <v>50</v>
      </c>
      <c r="H575" t="n">
        <v>0</v>
      </c>
      <c r="I575" t="n">
        <v>0</v>
      </c>
      <c r="J575" t="inlineStr">
        <is>
          <t>NA</t>
        </is>
      </c>
      <c r="K575" t="n">
        <v>75.8</v>
      </c>
    </row>
    <row r="576">
      <c r="A576" t="inlineStr">
        <is>
          <t>SIMULATED Food Waste Remote Study</t>
        </is>
      </c>
      <c r="B576" t="inlineStr">
        <is>
          <t>RESP0075</t>
        </is>
      </c>
      <c r="C576" t="inlineStr">
        <is>
          <t>Stimulus</t>
        </is>
      </c>
      <c r="D576" t="inlineStr">
        <is>
          <t>foodwaste_narrative</t>
        </is>
      </c>
      <c r="E576" t="n">
        <v>60</v>
      </c>
      <c r="F576" t="inlineStr">
        <is>
          <t>Negative Valence</t>
        </is>
      </c>
      <c r="G576" t="n">
        <v>-50</v>
      </c>
      <c r="H576" t="n">
        <v>1.94</v>
      </c>
      <c r="I576" t="n">
        <v>1</v>
      </c>
      <c r="J576" t="inlineStr">
        <is>
          <t>NA</t>
        </is>
      </c>
      <c r="K576" t="n">
        <v>75.8</v>
      </c>
    </row>
    <row r="577">
      <c r="A577" t="inlineStr">
        <is>
          <t>SIMULATED Food Waste Remote Study</t>
        </is>
      </c>
      <c r="B577" t="inlineStr">
        <is>
          <t>RESP0075</t>
        </is>
      </c>
      <c r="C577" t="inlineStr">
        <is>
          <t>Stimulus</t>
        </is>
      </c>
      <c r="D577" t="inlineStr">
        <is>
          <t>foodwaste_visual</t>
        </is>
      </c>
      <c r="E577" t="n">
        <v>62</v>
      </c>
      <c r="F577" t="inlineStr">
        <is>
          <t>Engagement</t>
        </is>
      </c>
      <c r="G577" t="n">
        <v>50</v>
      </c>
      <c r="H577" t="n">
        <v>36.94</v>
      </c>
      <c r="I577" t="n">
        <v>28</v>
      </c>
      <c r="J577" t="inlineStr">
        <is>
          <t>NA</t>
        </is>
      </c>
      <c r="K577" t="n">
        <v>84.09999999999999</v>
      </c>
    </row>
    <row r="578">
      <c r="A578" t="inlineStr">
        <is>
          <t>SIMULATED Food Waste Remote Study</t>
        </is>
      </c>
      <c r="B578" t="inlineStr">
        <is>
          <t>RESP0075</t>
        </is>
      </c>
      <c r="C578" t="inlineStr">
        <is>
          <t>Stimulus</t>
        </is>
      </c>
      <c r="D578" t="inlineStr">
        <is>
          <t>foodwaste_visual</t>
        </is>
      </c>
      <c r="E578" t="n">
        <v>62</v>
      </c>
      <c r="F578" t="inlineStr">
        <is>
          <t>Joy</t>
        </is>
      </c>
      <c r="G578" t="n">
        <v>50</v>
      </c>
      <c r="H578" t="n">
        <v>0</v>
      </c>
      <c r="I578" t="n">
        <v>0</v>
      </c>
      <c r="J578" t="inlineStr">
        <is>
          <t>NA</t>
        </is>
      </c>
      <c r="K578" t="n">
        <v>84.09999999999999</v>
      </c>
    </row>
    <row r="579">
      <c r="A579" t="inlineStr">
        <is>
          <t>SIMULATED Food Waste Remote Study</t>
        </is>
      </c>
      <c r="B579" t="inlineStr">
        <is>
          <t>RESP0075</t>
        </is>
      </c>
      <c r="C579" t="inlineStr">
        <is>
          <t>Stimulus</t>
        </is>
      </c>
      <c r="D579" t="inlineStr">
        <is>
          <t>foodwaste_visual</t>
        </is>
      </c>
      <c r="E579" t="n">
        <v>62</v>
      </c>
      <c r="F579" t="inlineStr">
        <is>
          <t>Brow Furrow</t>
        </is>
      </c>
      <c r="G579" t="n">
        <v>50</v>
      </c>
      <c r="H579" t="n">
        <v>4.95</v>
      </c>
      <c r="I579" t="n">
        <v>2</v>
      </c>
      <c r="J579" t="inlineStr">
        <is>
          <t>NA</t>
        </is>
      </c>
      <c r="K579" t="n">
        <v>84.09999999999999</v>
      </c>
    </row>
    <row r="580">
      <c r="A580" t="inlineStr">
        <is>
          <t>SIMULATED Food Waste Remote Study</t>
        </is>
      </c>
      <c r="B580" t="inlineStr">
        <is>
          <t>RESP0075</t>
        </is>
      </c>
      <c r="C580" t="inlineStr">
        <is>
          <t>Stimulus</t>
        </is>
      </c>
      <c r="D580" t="inlineStr">
        <is>
          <t>foodwaste_visual</t>
        </is>
      </c>
      <c r="E580" t="n">
        <v>62</v>
      </c>
      <c r="F580" t="inlineStr">
        <is>
          <t>Positive Valence</t>
        </is>
      </c>
      <c r="G580" t="n">
        <v>50</v>
      </c>
      <c r="H580" t="n">
        <v>0</v>
      </c>
      <c r="I580" t="n">
        <v>0</v>
      </c>
      <c r="J580" t="inlineStr">
        <is>
          <t>NA</t>
        </is>
      </c>
      <c r="K580" t="n">
        <v>84.09999999999999</v>
      </c>
    </row>
    <row r="581">
      <c r="A581" t="inlineStr">
        <is>
          <t>SIMULATED Food Waste Remote Study</t>
        </is>
      </c>
      <c r="B581" t="inlineStr">
        <is>
          <t>RESP0075</t>
        </is>
      </c>
      <c r="C581" t="inlineStr">
        <is>
          <t>Stimulus</t>
        </is>
      </c>
      <c r="D581" t="inlineStr">
        <is>
          <t>foodwaste_visual</t>
        </is>
      </c>
      <c r="E581" t="n">
        <v>62</v>
      </c>
      <c r="F581" t="inlineStr">
        <is>
          <t>Negative Valence</t>
        </is>
      </c>
      <c r="G581" t="n">
        <v>-50</v>
      </c>
      <c r="H581" t="n">
        <v>2.31</v>
      </c>
      <c r="I581" t="n">
        <v>1</v>
      </c>
      <c r="J581" t="inlineStr">
        <is>
          <t>NA</t>
        </is>
      </c>
      <c r="K581" t="n">
        <v>84.09999999999999</v>
      </c>
    </row>
    <row r="582">
      <c r="A582" t="inlineStr">
        <is>
          <t>SIMULATED Food Waste Remote Study</t>
        </is>
      </c>
      <c r="B582" t="inlineStr">
        <is>
          <t>RESP0076</t>
        </is>
      </c>
      <c r="C582" t="inlineStr">
        <is>
          <t>Stimulus</t>
        </is>
      </c>
      <c r="D582" t="inlineStr">
        <is>
          <t>foodwaste_narrative</t>
        </is>
      </c>
      <c r="E582" t="n">
        <v>60</v>
      </c>
      <c r="F582" t="inlineStr">
        <is>
          <t>Engagement</t>
        </is>
      </c>
      <c r="G582" t="n">
        <v>50</v>
      </c>
      <c r="H582" t="n">
        <v>1.78</v>
      </c>
      <c r="I582" t="n">
        <v>1</v>
      </c>
      <c r="J582" t="inlineStr">
        <is>
          <t>NA</t>
        </is>
      </c>
      <c r="K582" t="n">
        <v>98.59999999999999</v>
      </c>
    </row>
    <row r="583">
      <c r="A583" t="inlineStr">
        <is>
          <t>SIMULATED Food Waste Remote Study</t>
        </is>
      </c>
      <c r="B583" t="inlineStr">
        <is>
          <t>RESP0076</t>
        </is>
      </c>
      <c r="C583" t="inlineStr">
        <is>
          <t>Stimulus</t>
        </is>
      </c>
      <c r="D583" t="inlineStr">
        <is>
          <t>foodwaste_narrative</t>
        </is>
      </c>
      <c r="E583" t="n">
        <v>60</v>
      </c>
      <c r="F583" t="inlineStr">
        <is>
          <t>Joy</t>
        </is>
      </c>
      <c r="G583" t="n">
        <v>50</v>
      </c>
      <c r="H583" t="n">
        <v>0.9399999999999999</v>
      </c>
      <c r="I583" t="n">
        <v>2</v>
      </c>
      <c r="J583" t="inlineStr">
        <is>
          <t>NA</t>
        </is>
      </c>
      <c r="K583" t="n">
        <v>98.59999999999999</v>
      </c>
    </row>
    <row r="584">
      <c r="A584" t="inlineStr">
        <is>
          <t>SIMULATED Food Waste Remote Study</t>
        </is>
      </c>
      <c r="B584" t="inlineStr">
        <is>
          <t>RESP0076</t>
        </is>
      </c>
      <c r="C584" t="inlineStr">
        <is>
          <t>Stimulus</t>
        </is>
      </c>
      <c r="D584" t="inlineStr">
        <is>
          <t>foodwaste_narrative</t>
        </is>
      </c>
      <c r="E584" t="n">
        <v>60</v>
      </c>
      <c r="F584" t="inlineStr">
        <is>
          <t>Brow Furrow</t>
        </is>
      </c>
      <c r="G584" t="n">
        <v>50</v>
      </c>
      <c r="H584" t="n">
        <v>5.17</v>
      </c>
      <c r="I584" t="n">
        <v>1</v>
      </c>
      <c r="J584" t="inlineStr">
        <is>
          <t>NA</t>
        </is>
      </c>
      <c r="K584" t="n">
        <v>98.59999999999999</v>
      </c>
    </row>
    <row r="585">
      <c r="A585" t="inlineStr">
        <is>
          <t>SIMULATED Food Waste Remote Study</t>
        </is>
      </c>
      <c r="B585" t="inlineStr">
        <is>
          <t>RESP0076</t>
        </is>
      </c>
      <c r="C585" t="inlineStr">
        <is>
          <t>Stimulus</t>
        </is>
      </c>
      <c r="D585" t="inlineStr">
        <is>
          <t>foodwaste_narrative</t>
        </is>
      </c>
      <c r="E585" t="n">
        <v>60</v>
      </c>
      <c r="F585" t="inlineStr">
        <is>
          <t>Positive Valence</t>
        </is>
      </c>
      <c r="G585" t="n">
        <v>50</v>
      </c>
      <c r="H585" t="n">
        <v>7.83</v>
      </c>
      <c r="I585" t="n">
        <v>1</v>
      </c>
      <c r="J585" t="inlineStr">
        <is>
          <t>NA</t>
        </is>
      </c>
      <c r="K585" t="n">
        <v>98.59999999999999</v>
      </c>
    </row>
    <row r="586">
      <c r="A586" t="inlineStr">
        <is>
          <t>SIMULATED Food Waste Remote Study</t>
        </is>
      </c>
      <c r="B586" t="inlineStr">
        <is>
          <t>RESP0076</t>
        </is>
      </c>
      <c r="C586" t="inlineStr">
        <is>
          <t>Stimulus</t>
        </is>
      </c>
      <c r="D586" t="inlineStr">
        <is>
          <t>foodwaste_narrative</t>
        </is>
      </c>
      <c r="E586" t="n">
        <v>60</v>
      </c>
      <c r="F586" t="inlineStr">
        <is>
          <t>Negative Valence</t>
        </is>
      </c>
      <c r="G586" t="n">
        <v>-50</v>
      </c>
      <c r="H586" t="n">
        <v>3.44</v>
      </c>
      <c r="I586" t="n">
        <v>2</v>
      </c>
      <c r="J586" t="inlineStr">
        <is>
          <t>NA</t>
        </is>
      </c>
      <c r="K586" t="n">
        <v>98.59999999999999</v>
      </c>
    </row>
    <row r="587">
      <c r="A587" t="inlineStr">
        <is>
          <t>SIMULATED Food Waste Remote Study</t>
        </is>
      </c>
      <c r="B587" t="inlineStr">
        <is>
          <t>RESP0076</t>
        </is>
      </c>
      <c r="C587" t="inlineStr">
        <is>
          <t>Stimulus</t>
        </is>
      </c>
      <c r="D587" t="inlineStr">
        <is>
          <t>foodwaste_visual</t>
        </is>
      </c>
      <c r="E587" t="n">
        <v>62</v>
      </c>
      <c r="F587" t="inlineStr">
        <is>
          <t>Engagement</t>
        </is>
      </c>
      <c r="G587" t="n">
        <v>50</v>
      </c>
      <c r="H587" t="n">
        <v>75.31999999999999</v>
      </c>
      <c r="I587" t="n">
        <v>18</v>
      </c>
      <c r="J587" t="inlineStr">
        <is>
          <t>NA</t>
        </is>
      </c>
      <c r="K587" t="n">
        <v>97.7</v>
      </c>
    </row>
    <row r="588">
      <c r="A588" t="inlineStr">
        <is>
          <t>SIMULATED Food Waste Remote Study</t>
        </is>
      </c>
      <c r="B588" t="inlineStr">
        <is>
          <t>RESP0076</t>
        </is>
      </c>
      <c r="C588" t="inlineStr">
        <is>
          <t>Stimulus</t>
        </is>
      </c>
      <c r="D588" t="inlineStr">
        <is>
          <t>foodwaste_visual</t>
        </is>
      </c>
      <c r="E588" t="n">
        <v>62</v>
      </c>
      <c r="F588" t="inlineStr">
        <is>
          <t>Joy</t>
        </is>
      </c>
      <c r="G588" t="n">
        <v>50</v>
      </c>
      <c r="H588" t="n">
        <v>4.14</v>
      </c>
      <c r="I588" t="n">
        <v>3</v>
      </c>
      <c r="J588" t="inlineStr">
        <is>
          <t>NA</t>
        </is>
      </c>
      <c r="K588" t="n">
        <v>97.7</v>
      </c>
    </row>
    <row r="589">
      <c r="A589" t="inlineStr">
        <is>
          <t>SIMULATED Food Waste Remote Study</t>
        </is>
      </c>
      <c r="B589" t="inlineStr">
        <is>
          <t>RESP0076</t>
        </is>
      </c>
      <c r="C589" t="inlineStr">
        <is>
          <t>Stimulus</t>
        </is>
      </c>
      <c r="D589" t="inlineStr">
        <is>
          <t>foodwaste_visual</t>
        </is>
      </c>
      <c r="E589" t="n">
        <v>62</v>
      </c>
      <c r="F589" t="inlineStr">
        <is>
          <t>Brow Furrow</t>
        </is>
      </c>
      <c r="G589" t="n">
        <v>50</v>
      </c>
      <c r="H589" t="n">
        <v>1.67</v>
      </c>
      <c r="I589" t="n">
        <v>1</v>
      </c>
      <c r="J589" t="inlineStr">
        <is>
          <t>NA</t>
        </is>
      </c>
      <c r="K589" t="n">
        <v>97.7</v>
      </c>
    </row>
    <row r="590">
      <c r="A590" t="inlineStr">
        <is>
          <t>SIMULATED Food Waste Remote Study</t>
        </is>
      </c>
      <c r="B590" t="inlineStr">
        <is>
          <t>RESP0076</t>
        </is>
      </c>
      <c r="C590" t="inlineStr">
        <is>
          <t>Stimulus</t>
        </is>
      </c>
      <c r="D590" t="inlineStr">
        <is>
          <t>foodwaste_visual</t>
        </is>
      </c>
      <c r="E590" t="n">
        <v>62</v>
      </c>
      <c r="F590" t="inlineStr">
        <is>
          <t>Positive Valence</t>
        </is>
      </c>
      <c r="G590" t="n">
        <v>50</v>
      </c>
      <c r="H590" t="n">
        <v>4.19</v>
      </c>
      <c r="I590" t="n">
        <v>3</v>
      </c>
      <c r="J590" t="inlineStr">
        <is>
          <t>NA</t>
        </is>
      </c>
      <c r="K590" t="n">
        <v>97.7</v>
      </c>
    </row>
    <row r="591">
      <c r="A591" t="inlineStr">
        <is>
          <t>SIMULATED Food Waste Remote Study</t>
        </is>
      </c>
      <c r="B591" t="inlineStr">
        <is>
          <t>RESP0076</t>
        </is>
      </c>
      <c r="C591" t="inlineStr">
        <is>
          <t>Stimulus</t>
        </is>
      </c>
      <c r="D591" t="inlineStr">
        <is>
          <t>foodwaste_visual</t>
        </is>
      </c>
      <c r="E591" t="n">
        <v>62</v>
      </c>
      <c r="F591" t="inlineStr">
        <is>
          <t>Negative Valence</t>
        </is>
      </c>
      <c r="G591" t="n">
        <v>-50</v>
      </c>
      <c r="H591" t="n">
        <v>5.54</v>
      </c>
      <c r="I591" t="n">
        <v>3</v>
      </c>
      <c r="J591" t="inlineStr">
        <is>
          <t>NA</t>
        </is>
      </c>
      <c r="K591" t="n">
        <v>97.7</v>
      </c>
    </row>
    <row r="592">
      <c r="A592" t="inlineStr">
        <is>
          <t>SIMULATED Food Waste Remote Study</t>
        </is>
      </c>
      <c r="B592" t="inlineStr">
        <is>
          <t>RESP0077</t>
        </is>
      </c>
      <c r="C592" t="inlineStr">
        <is>
          <t>Stimulus</t>
        </is>
      </c>
      <c r="D592" t="inlineStr">
        <is>
          <t>foodwaste_narrative</t>
        </is>
      </c>
      <c r="E592" t="n">
        <v>60</v>
      </c>
      <c r="F592" t="inlineStr">
        <is>
          <t>Engagement</t>
        </is>
      </c>
      <c r="G592" t="n">
        <v>50</v>
      </c>
      <c r="H592" t="n">
        <v>6.39</v>
      </c>
      <c r="I592" t="n">
        <v>1</v>
      </c>
      <c r="J592" t="inlineStr">
        <is>
          <t>NA</t>
        </is>
      </c>
      <c r="K592" t="n">
        <v>98.90000000000001</v>
      </c>
    </row>
    <row r="593">
      <c r="A593" t="inlineStr">
        <is>
          <t>SIMULATED Food Waste Remote Study</t>
        </is>
      </c>
      <c r="B593" t="inlineStr">
        <is>
          <t>RESP0077</t>
        </is>
      </c>
      <c r="C593" t="inlineStr">
        <is>
          <t>Stimulus</t>
        </is>
      </c>
      <c r="D593" t="inlineStr">
        <is>
          <t>foodwaste_narrative</t>
        </is>
      </c>
      <c r="E593" t="n">
        <v>60</v>
      </c>
      <c r="F593" t="inlineStr">
        <is>
          <t>Joy</t>
        </is>
      </c>
      <c r="G593" t="n">
        <v>50</v>
      </c>
      <c r="H593" t="n">
        <v>0.72</v>
      </c>
      <c r="I593" t="n">
        <v>1</v>
      </c>
      <c r="J593" t="inlineStr">
        <is>
          <t>NA</t>
        </is>
      </c>
      <c r="K593" t="n">
        <v>98.90000000000001</v>
      </c>
    </row>
    <row r="594">
      <c r="A594" t="inlineStr">
        <is>
          <t>SIMULATED Food Waste Remote Study</t>
        </is>
      </c>
      <c r="B594" t="inlineStr">
        <is>
          <t>RESP0077</t>
        </is>
      </c>
      <c r="C594" t="inlineStr">
        <is>
          <t>Stimulus</t>
        </is>
      </c>
      <c r="D594" t="inlineStr">
        <is>
          <t>foodwaste_narrative</t>
        </is>
      </c>
      <c r="E594" t="n">
        <v>60</v>
      </c>
      <c r="F594" t="inlineStr">
        <is>
          <t>Brow Furrow</t>
        </is>
      </c>
      <c r="G594" t="n">
        <v>50</v>
      </c>
      <c r="H594" t="n">
        <v>0</v>
      </c>
      <c r="I594" t="n">
        <v>0</v>
      </c>
      <c r="J594" t="inlineStr">
        <is>
          <t>NA</t>
        </is>
      </c>
      <c r="K594" t="n">
        <v>98.90000000000001</v>
      </c>
    </row>
    <row r="595">
      <c r="A595" t="inlineStr">
        <is>
          <t>SIMULATED Food Waste Remote Study</t>
        </is>
      </c>
      <c r="B595" t="inlineStr">
        <is>
          <t>RESP0077</t>
        </is>
      </c>
      <c r="C595" t="inlineStr">
        <is>
          <t>Stimulus</t>
        </is>
      </c>
      <c r="D595" t="inlineStr">
        <is>
          <t>foodwaste_narrative</t>
        </is>
      </c>
      <c r="E595" t="n">
        <v>60</v>
      </c>
      <c r="F595" t="inlineStr">
        <is>
          <t>Positive Valence</t>
        </is>
      </c>
      <c r="G595" t="n">
        <v>50</v>
      </c>
      <c r="H595" t="n">
        <v>0.28</v>
      </c>
      <c r="I595" t="n">
        <v>1</v>
      </c>
      <c r="J595" t="inlineStr">
        <is>
          <t>NA</t>
        </is>
      </c>
      <c r="K595" t="n">
        <v>98.90000000000001</v>
      </c>
    </row>
    <row r="596">
      <c r="A596" t="inlineStr">
        <is>
          <t>SIMULATED Food Waste Remote Study</t>
        </is>
      </c>
      <c r="B596" t="inlineStr">
        <is>
          <t>RESP0077</t>
        </is>
      </c>
      <c r="C596" t="inlineStr">
        <is>
          <t>Stimulus</t>
        </is>
      </c>
      <c r="D596" t="inlineStr">
        <is>
          <t>foodwaste_narrative</t>
        </is>
      </c>
      <c r="E596" t="n">
        <v>60</v>
      </c>
      <c r="F596" t="inlineStr">
        <is>
          <t>Negative Valence</t>
        </is>
      </c>
      <c r="G596" t="n">
        <v>-50</v>
      </c>
      <c r="H596" t="n">
        <v>1.72</v>
      </c>
      <c r="I596" t="n">
        <v>2</v>
      </c>
      <c r="J596" t="inlineStr">
        <is>
          <t>NA</t>
        </is>
      </c>
      <c r="K596" t="n">
        <v>98.90000000000001</v>
      </c>
    </row>
    <row r="597">
      <c r="A597" t="inlineStr">
        <is>
          <t>SIMULATED Food Waste Remote Study</t>
        </is>
      </c>
      <c r="B597" t="inlineStr">
        <is>
          <t>RESP0077</t>
        </is>
      </c>
      <c r="C597" t="inlineStr">
        <is>
          <t>Stimulus</t>
        </is>
      </c>
      <c r="D597" t="inlineStr">
        <is>
          <t>foodwaste_visual</t>
        </is>
      </c>
      <c r="E597" t="n">
        <v>62</v>
      </c>
      <c r="F597" t="inlineStr">
        <is>
          <t>Engagement</t>
        </is>
      </c>
      <c r="G597" t="n">
        <v>50</v>
      </c>
      <c r="H597" t="n">
        <v>12.31</v>
      </c>
      <c r="I597" t="n">
        <v>2</v>
      </c>
      <c r="J597" t="inlineStr">
        <is>
          <t>NA</t>
        </is>
      </c>
      <c r="K597" t="n">
        <v>99.40000000000001</v>
      </c>
    </row>
    <row r="598">
      <c r="A598" t="inlineStr">
        <is>
          <t>SIMULATED Food Waste Remote Study</t>
        </is>
      </c>
      <c r="B598" t="inlineStr">
        <is>
          <t>RESP0077</t>
        </is>
      </c>
      <c r="C598" t="inlineStr">
        <is>
          <t>Stimulus</t>
        </is>
      </c>
      <c r="D598" t="inlineStr">
        <is>
          <t>foodwaste_visual</t>
        </is>
      </c>
      <c r="E598" t="n">
        <v>62</v>
      </c>
      <c r="F598" t="inlineStr">
        <is>
          <t>Joy</t>
        </is>
      </c>
      <c r="G598" t="n">
        <v>50</v>
      </c>
      <c r="H598" t="n">
        <v>6.72</v>
      </c>
      <c r="I598" t="n">
        <v>3</v>
      </c>
      <c r="J598" t="inlineStr">
        <is>
          <t>NA</t>
        </is>
      </c>
      <c r="K598" t="n">
        <v>99.40000000000001</v>
      </c>
    </row>
    <row r="599">
      <c r="A599" t="inlineStr">
        <is>
          <t>SIMULATED Food Waste Remote Study</t>
        </is>
      </c>
      <c r="B599" t="inlineStr">
        <is>
          <t>RESP0077</t>
        </is>
      </c>
      <c r="C599" t="inlineStr">
        <is>
          <t>Stimulus</t>
        </is>
      </c>
      <c r="D599" t="inlineStr">
        <is>
          <t>foodwaste_visual</t>
        </is>
      </c>
      <c r="E599" t="n">
        <v>62</v>
      </c>
      <c r="F599" t="inlineStr">
        <is>
          <t>Brow Furrow</t>
        </is>
      </c>
      <c r="G599" t="n">
        <v>50</v>
      </c>
      <c r="H599" t="n">
        <v>12.15</v>
      </c>
      <c r="I599" t="n">
        <v>4</v>
      </c>
      <c r="J599" t="inlineStr">
        <is>
          <t>NA</t>
        </is>
      </c>
      <c r="K599" t="n">
        <v>99.40000000000001</v>
      </c>
    </row>
    <row r="600">
      <c r="A600" t="inlineStr">
        <is>
          <t>SIMULATED Food Waste Remote Study</t>
        </is>
      </c>
      <c r="B600" t="inlineStr">
        <is>
          <t>RESP0077</t>
        </is>
      </c>
      <c r="C600" t="inlineStr">
        <is>
          <t>Stimulus</t>
        </is>
      </c>
      <c r="D600" t="inlineStr">
        <is>
          <t>foodwaste_visual</t>
        </is>
      </c>
      <c r="E600" t="n">
        <v>62</v>
      </c>
      <c r="F600" t="inlineStr">
        <is>
          <t>Positive Valence</t>
        </is>
      </c>
      <c r="G600" t="n">
        <v>50</v>
      </c>
      <c r="H600" t="n">
        <v>3.66</v>
      </c>
      <c r="I600" t="n">
        <v>2</v>
      </c>
      <c r="J600" t="inlineStr">
        <is>
          <t>NA</t>
        </is>
      </c>
      <c r="K600" t="n">
        <v>99.40000000000001</v>
      </c>
    </row>
    <row r="601">
      <c r="A601" t="inlineStr">
        <is>
          <t>SIMULATED Food Waste Remote Study</t>
        </is>
      </c>
      <c r="B601" t="inlineStr">
        <is>
          <t>RESP0077</t>
        </is>
      </c>
      <c r="C601" t="inlineStr">
        <is>
          <t>Stimulus</t>
        </is>
      </c>
      <c r="D601" t="inlineStr">
        <is>
          <t>foodwaste_visual</t>
        </is>
      </c>
      <c r="E601" t="n">
        <v>62</v>
      </c>
      <c r="F601" t="inlineStr">
        <is>
          <t>Negative Valence</t>
        </is>
      </c>
      <c r="G601" t="n">
        <v>-50</v>
      </c>
      <c r="H601" t="n">
        <v>9.41</v>
      </c>
      <c r="I601" t="n">
        <v>4</v>
      </c>
      <c r="J601" t="inlineStr">
        <is>
          <t>NA</t>
        </is>
      </c>
      <c r="K601" t="n">
        <v>99.40000000000001</v>
      </c>
    </row>
    <row r="602">
      <c r="A602" t="inlineStr">
        <is>
          <t>SIMULATED Food Waste Remote Study</t>
        </is>
      </c>
      <c r="B602" t="inlineStr">
        <is>
          <t>RESP0078</t>
        </is>
      </c>
      <c r="C602" t="inlineStr">
        <is>
          <t>Stimulus</t>
        </is>
      </c>
      <c r="D602" t="inlineStr">
        <is>
          <t>foodwaste_narrative</t>
        </is>
      </c>
      <c r="E602" t="n">
        <v>60</v>
      </c>
      <c r="F602" t="inlineStr">
        <is>
          <t>Engagement</t>
        </is>
      </c>
      <c r="G602" t="n">
        <v>50</v>
      </c>
      <c r="H602" t="n">
        <v>19.17</v>
      </c>
      <c r="I602" t="n">
        <v>2</v>
      </c>
      <c r="J602" t="inlineStr">
        <is>
          <t>NA</t>
        </is>
      </c>
      <c r="K602" t="n">
        <v>98.2</v>
      </c>
    </row>
    <row r="603">
      <c r="A603" t="inlineStr">
        <is>
          <t>SIMULATED Food Waste Remote Study</t>
        </is>
      </c>
      <c r="B603" t="inlineStr">
        <is>
          <t>RESP0078</t>
        </is>
      </c>
      <c r="C603" t="inlineStr">
        <is>
          <t>Stimulus</t>
        </is>
      </c>
      <c r="D603" t="inlineStr">
        <is>
          <t>foodwaste_narrative</t>
        </is>
      </c>
      <c r="E603" t="n">
        <v>60</v>
      </c>
      <c r="F603" t="inlineStr">
        <is>
          <t>Joy</t>
        </is>
      </c>
      <c r="G603" t="n">
        <v>50</v>
      </c>
      <c r="H603" t="n">
        <v>0</v>
      </c>
      <c r="I603" t="n">
        <v>0</v>
      </c>
      <c r="J603" t="inlineStr">
        <is>
          <t>NA</t>
        </is>
      </c>
      <c r="K603" t="n">
        <v>98.2</v>
      </c>
    </row>
    <row r="604">
      <c r="A604" t="inlineStr">
        <is>
          <t>SIMULATED Food Waste Remote Study</t>
        </is>
      </c>
      <c r="B604" t="inlineStr">
        <is>
          <t>RESP0078</t>
        </is>
      </c>
      <c r="C604" t="inlineStr">
        <is>
          <t>Stimulus</t>
        </is>
      </c>
      <c r="D604" t="inlineStr">
        <is>
          <t>foodwaste_narrative</t>
        </is>
      </c>
      <c r="E604" t="n">
        <v>60</v>
      </c>
      <c r="F604" t="inlineStr">
        <is>
          <t>Brow Furrow</t>
        </is>
      </c>
      <c r="G604" t="n">
        <v>50</v>
      </c>
      <c r="H604" t="n">
        <v>8.390000000000001</v>
      </c>
      <c r="I604" t="n">
        <v>4</v>
      </c>
      <c r="J604" t="inlineStr">
        <is>
          <t>NA</t>
        </is>
      </c>
      <c r="K604" t="n">
        <v>98.2</v>
      </c>
    </row>
    <row r="605">
      <c r="A605" t="inlineStr">
        <is>
          <t>SIMULATED Food Waste Remote Study</t>
        </is>
      </c>
      <c r="B605" t="inlineStr">
        <is>
          <t>RESP0078</t>
        </is>
      </c>
      <c r="C605" t="inlineStr">
        <is>
          <t>Stimulus</t>
        </is>
      </c>
      <c r="D605" t="inlineStr">
        <is>
          <t>foodwaste_narrative</t>
        </is>
      </c>
      <c r="E605" t="n">
        <v>60</v>
      </c>
      <c r="F605" t="inlineStr">
        <is>
          <t>Positive Valence</t>
        </is>
      </c>
      <c r="G605" t="n">
        <v>50</v>
      </c>
      <c r="H605" t="n">
        <v>0</v>
      </c>
      <c r="I605" t="n">
        <v>0</v>
      </c>
      <c r="J605" t="inlineStr">
        <is>
          <t>NA</t>
        </is>
      </c>
      <c r="K605" t="n">
        <v>98.2</v>
      </c>
    </row>
    <row r="606">
      <c r="A606" t="inlineStr">
        <is>
          <t>SIMULATED Food Waste Remote Study</t>
        </is>
      </c>
      <c r="B606" t="inlineStr">
        <is>
          <t>RESP0078</t>
        </is>
      </c>
      <c r="C606" t="inlineStr">
        <is>
          <t>Stimulus</t>
        </is>
      </c>
      <c r="D606" t="inlineStr">
        <is>
          <t>foodwaste_narrative</t>
        </is>
      </c>
      <c r="E606" t="n">
        <v>60</v>
      </c>
      <c r="F606" t="inlineStr">
        <is>
          <t>Negative Valence</t>
        </is>
      </c>
      <c r="G606" t="n">
        <v>-50</v>
      </c>
      <c r="H606" t="n">
        <v>0</v>
      </c>
      <c r="I606" t="n">
        <v>0</v>
      </c>
      <c r="J606" t="inlineStr">
        <is>
          <t>NA</t>
        </is>
      </c>
      <c r="K606" t="n">
        <v>98.2</v>
      </c>
    </row>
    <row r="607">
      <c r="A607" t="inlineStr">
        <is>
          <t>SIMULATED Food Waste Remote Study</t>
        </is>
      </c>
      <c r="B607" t="inlineStr">
        <is>
          <t>RESP0078</t>
        </is>
      </c>
      <c r="C607" t="inlineStr">
        <is>
          <t>Stimulus</t>
        </is>
      </c>
      <c r="D607" t="inlineStr">
        <is>
          <t>foodwaste_visual</t>
        </is>
      </c>
      <c r="E607" t="n">
        <v>62</v>
      </c>
      <c r="F607" t="inlineStr">
        <is>
          <t>Engagement</t>
        </is>
      </c>
      <c r="G607" t="n">
        <v>50</v>
      </c>
      <c r="H607" t="n">
        <v>36.61</v>
      </c>
      <c r="I607" t="n">
        <v>10</v>
      </c>
      <c r="J607" t="inlineStr">
        <is>
          <t>NA</t>
        </is>
      </c>
      <c r="K607" t="n">
        <v>98.3</v>
      </c>
    </row>
    <row r="608">
      <c r="A608" t="inlineStr">
        <is>
          <t>SIMULATED Food Waste Remote Study</t>
        </is>
      </c>
      <c r="B608" t="inlineStr">
        <is>
          <t>RESP0078</t>
        </is>
      </c>
      <c r="C608" t="inlineStr">
        <is>
          <t>Stimulus</t>
        </is>
      </c>
      <c r="D608" t="inlineStr">
        <is>
          <t>foodwaste_visual</t>
        </is>
      </c>
      <c r="E608" t="n">
        <v>62</v>
      </c>
      <c r="F608" t="inlineStr">
        <is>
          <t>Joy</t>
        </is>
      </c>
      <c r="G608" t="n">
        <v>50</v>
      </c>
      <c r="H608" t="n">
        <v>3.71</v>
      </c>
      <c r="I608" t="n">
        <v>3</v>
      </c>
      <c r="J608" t="inlineStr">
        <is>
          <t>NA</t>
        </is>
      </c>
      <c r="K608" t="n">
        <v>98.3</v>
      </c>
    </row>
    <row r="609">
      <c r="A609" t="inlineStr">
        <is>
          <t>SIMULATED Food Waste Remote Study</t>
        </is>
      </c>
      <c r="B609" t="inlineStr">
        <is>
          <t>RESP0078</t>
        </is>
      </c>
      <c r="C609" t="inlineStr">
        <is>
          <t>Stimulus</t>
        </is>
      </c>
      <c r="D609" t="inlineStr">
        <is>
          <t>foodwaste_visual</t>
        </is>
      </c>
      <c r="E609" t="n">
        <v>62</v>
      </c>
      <c r="F609" t="inlineStr">
        <is>
          <t>Brow Furrow</t>
        </is>
      </c>
      <c r="G609" t="n">
        <v>50</v>
      </c>
      <c r="H609" t="n">
        <v>12.63</v>
      </c>
      <c r="I609" t="n">
        <v>7</v>
      </c>
      <c r="J609" t="inlineStr">
        <is>
          <t>NA</t>
        </is>
      </c>
      <c r="K609" t="n">
        <v>98.3</v>
      </c>
    </row>
    <row r="610">
      <c r="A610" t="inlineStr">
        <is>
          <t>SIMULATED Food Waste Remote Study</t>
        </is>
      </c>
      <c r="B610" t="inlineStr">
        <is>
          <t>RESP0078</t>
        </is>
      </c>
      <c r="C610" t="inlineStr">
        <is>
          <t>Stimulus</t>
        </is>
      </c>
      <c r="D610" t="inlineStr">
        <is>
          <t>foodwaste_visual</t>
        </is>
      </c>
      <c r="E610" t="n">
        <v>62</v>
      </c>
      <c r="F610" t="inlineStr">
        <is>
          <t>Positive Valence</t>
        </is>
      </c>
      <c r="G610" t="n">
        <v>50</v>
      </c>
      <c r="H610" t="n">
        <v>0</v>
      </c>
      <c r="I610" t="n">
        <v>0</v>
      </c>
      <c r="J610" t="inlineStr">
        <is>
          <t>NA</t>
        </is>
      </c>
      <c r="K610" t="n">
        <v>98.3</v>
      </c>
    </row>
    <row r="611">
      <c r="A611" t="inlineStr">
        <is>
          <t>SIMULATED Food Waste Remote Study</t>
        </is>
      </c>
      <c r="B611" t="inlineStr">
        <is>
          <t>RESP0078</t>
        </is>
      </c>
      <c r="C611" t="inlineStr">
        <is>
          <t>Stimulus</t>
        </is>
      </c>
      <c r="D611" t="inlineStr">
        <is>
          <t>foodwaste_visual</t>
        </is>
      </c>
      <c r="E611" t="n">
        <v>62</v>
      </c>
      <c r="F611" t="inlineStr">
        <is>
          <t>Negative Valence</t>
        </is>
      </c>
      <c r="G611" t="n">
        <v>-50</v>
      </c>
      <c r="H611" t="n">
        <v>0</v>
      </c>
      <c r="I611" t="n">
        <v>0</v>
      </c>
      <c r="J611" t="inlineStr">
        <is>
          <t>NA</t>
        </is>
      </c>
      <c r="K611" t="n">
        <v>98.3</v>
      </c>
    </row>
    <row r="612">
      <c r="A612" t="inlineStr">
        <is>
          <t>SIMULATED Food Waste Remote Study</t>
        </is>
      </c>
      <c r="B612" t="inlineStr">
        <is>
          <t>RESP0079</t>
        </is>
      </c>
      <c r="C612" t="inlineStr">
        <is>
          <t>Stimulus</t>
        </is>
      </c>
      <c r="D612" t="inlineStr">
        <is>
          <t>foodwaste_narrative</t>
        </is>
      </c>
      <c r="E612" t="n">
        <v>60</v>
      </c>
      <c r="F612" t="inlineStr">
        <is>
          <t>Engagement</t>
        </is>
      </c>
      <c r="G612" t="n">
        <v>50</v>
      </c>
      <c r="H612" t="n">
        <v>15.5</v>
      </c>
      <c r="I612" t="n">
        <v>3</v>
      </c>
      <c r="J612" t="inlineStr">
        <is>
          <t>NA</t>
        </is>
      </c>
      <c r="K612" t="n">
        <v>96.7</v>
      </c>
    </row>
    <row r="613">
      <c r="A613" t="inlineStr">
        <is>
          <t>SIMULATED Food Waste Remote Study</t>
        </is>
      </c>
      <c r="B613" t="inlineStr">
        <is>
          <t>RESP0079</t>
        </is>
      </c>
      <c r="C613" t="inlineStr">
        <is>
          <t>Stimulus</t>
        </is>
      </c>
      <c r="D613" t="inlineStr">
        <is>
          <t>foodwaste_narrative</t>
        </is>
      </c>
      <c r="E613" t="n">
        <v>60</v>
      </c>
      <c r="F613" t="inlineStr">
        <is>
          <t>Joy</t>
        </is>
      </c>
      <c r="G613" t="n">
        <v>50</v>
      </c>
      <c r="H613" t="n">
        <v>0</v>
      </c>
      <c r="I613" t="n">
        <v>0</v>
      </c>
      <c r="J613" t="inlineStr">
        <is>
          <t>NA</t>
        </is>
      </c>
      <c r="K613" t="n">
        <v>96.7</v>
      </c>
    </row>
    <row r="614">
      <c r="A614" t="inlineStr">
        <is>
          <t>SIMULATED Food Waste Remote Study</t>
        </is>
      </c>
      <c r="B614" t="inlineStr">
        <is>
          <t>RESP0079</t>
        </is>
      </c>
      <c r="C614" t="inlineStr">
        <is>
          <t>Stimulus</t>
        </is>
      </c>
      <c r="D614" t="inlineStr">
        <is>
          <t>foodwaste_narrative</t>
        </is>
      </c>
      <c r="E614" t="n">
        <v>60</v>
      </c>
      <c r="F614" t="inlineStr">
        <is>
          <t>Brow Furrow</t>
        </is>
      </c>
      <c r="G614" t="n">
        <v>50</v>
      </c>
      <c r="H614" t="n">
        <v>0</v>
      </c>
      <c r="I614" t="n">
        <v>0</v>
      </c>
      <c r="J614" t="inlineStr">
        <is>
          <t>NA</t>
        </is>
      </c>
      <c r="K614" t="n">
        <v>96.7</v>
      </c>
    </row>
    <row r="615">
      <c r="A615" t="inlineStr">
        <is>
          <t>SIMULATED Food Waste Remote Study</t>
        </is>
      </c>
      <c r="B615" t="inlineStr">
        <is>
          <t>RESP0079</t>
        </is>
      </c>
      <c r="C615" t="inlineStr">
        <is>
          <t>Stimulus</t>
        </is>
      </c>
      <c r="D615" t="inlineStr">
        <is>
          <t>foodwaste_narrative</t>
        </is>
      </c>
      <c r="E615" t="n">
        <v>60</v>
      </c>
      <c r="F615" t="inlineStr">
        <is>
          <t>Positive Valence</t>
        </is>
      </c>
      <c r="G615" t="n">
        <v>50</v>
      </c>
      <c r="H615" t="n">
        <v>1.78</v>
      </c>
      <c r="I615" t="n">
        <v>1</v>
      </c>
      <c r="J615" t="inlineStr">
        <is>
          <t>NA</t>
        </is>
      </c>
      <c r="K615" t="n">
        <v>96.7</v>
      </c>
    </row>
    <row r="616">
      <c r="A616" t="inlineStr">
        <is>
          <t>SIMULATED Food Waste Remote Study</t>
        </is>
      </c>
      <c r="B616" t="inlineStr">
        <is>
          <t>RESP0079</t>
        </is>
      </c>
      <c r="C616" t="inlineStr">
        <is>
          <t>Stimulus</t>
        </is>
      </c>
      <c r="D616" t="inlineStr">
        <is>
          <t>foodwaste_narrative</t>
        </is>
      </c>
      <c r="E616" t="n">
        <v>60</v>
      </c>
      <c r="F616" t="inlineStr">
        <is>
          <t>Negative Valence</t>
        </is>
      </c>
      <c r="G616" t="n">
        <v>-50</v>
      </c>
      <c r="H616" t="n">
        <v>7.39</v>
      </c>
      <c r="I616" t="n">
        <v>1</v>
      </c>
      <c r="J616" t="inlineStr">
        <is>
          <t>NA</t>
        </is>
      </c>
      <c r="K616" t="n">
        <v>96.7</v>
      </c>
    </row>
    <row r="617">
      <c r="A617" t="inlineStr">
        <is>
          <t>SIMULATED Food Waste Remote Study</t>
        </is>
      </c>
      <c r="B617" t="inlineStr">
        <is>
          <t>RESP0079</t>
        </is>
      </c>
      <c r="C617" t="inlineStr">
        <is>
          <t>Stimulus</t>
        </is>
      </c>
      <c r="D617" t="inlineStr">
        <is>
          <t>foodwaste_visual</t>
        </is>
      </c>
      <c r="E617" t="n">
        <v>62</v>
      </c>
      <c r="F617" t="inlineStr">
        <is>
          <t>Engagement</t>
        </is>
      </c>
      <c r="G617" t="n">
        <v>50</v>
      </c>
      <c r="H617" t="n">
        <v>22.37</v>
      </c>
      <c r="I617" t="n">
        <v>9</v>
      </c>
      <c r="J617" t="inlineStr">
        <is>
          <t>NA</t>
        </is>
      </c>
      <c r="K617" t="n">
        <v>96.2</v>
      </c>
    </row>
    <row r="618">
      <c r="A618" t="inlineStr">
        <is>
          <t>SIMULATED Food Waste Remote Study</t>
        </is>
      </c>
      <c r="B618" t="inlineStr">
        <is>
          <t>RESP0079</t>
        </is>
      </c>
      <c r="C618" t="inlineStr">
        <is>
          <t>Stimulus</t>
        </is>
      </c>
      <c r="D618" t="inlineStr">
        <is>
          <t>foodwaste_visual</t>
        </is>
      </c>
      <c r="E618" t="n">
        <v>62</v>
      </c>
      <c r="F618" t="inlineStr">
        <is>
          <t>Joy</t>
        </is>
      </c>
      <c r="G618" t="n">
        <v>50</v>
      </c>
      <c r="H618" t="n">
        <v>1.67</v>
      </c>
      <c r="I618" t="n">
        <v>1</v>
      </c>
      <c r="J618" t="inlineStr">
        <is>
          <t>NA</t>
        </is>
      </c>
      <c r="K618" t="n">
        <v>96.2</v>
      </c>
    </row>
    <row r="619">
      <c r="A619" t="inlineStr">
        <is>
          <t>SIMULATED Food Waste Remote Study</t>
        </is>
      </c>
      <c r="B619" t="inlineStr">
        <is>
          <t>RESP0079</t>
        </is>
      </c>
      <c r="C619" t="inlineStr">
        <is>
          <t>Stimulus</t>
        </is>
      </c>
      <c r="D619" t="inlineStr">
        <is>
          <t>foodwaste_visual</t>
        </is>
      </c>
      <c r="E619" t="n">
        <v>62</v>
      </c>
      <c r="F619" t="inlineStr">
        <is>
          <t>Brow Furrow</t>
        </is>
      </c>
      <c r="G619" t="n">
        <v>50</v>
      </c>
      <c r="H619" t="n">
        <v>7.42</v>
      </c>
      <c r="I619" t="n">
        <v>2</v>
      </c>
      <c r="J619" t="inlineStr">
        <is>
          <t>NA</t>
        </is>
      </c>
      <c r="K619" t="n">
        <v>96.2</v>
      </c>
    </row>
    <row r="620">
      <c r="A620" t="inlineStr">
        <is>
          <t>SIMULATED Food Waste Remote Study</t>
        </is>
      </c>
      <c r="B620" t="inlineStr">
        <is>
          <t>RESP0079</t>
        </is>
      </c>
      <c r="C620" t="inlineStr">
        <is>
          <t>Stimulus</t>
        </is>
      </c>
      <c r="D620" t="inlineStr">
        <is>
          <t>foodwaste_visual</t>
        </is>
      </c>
      <c r="E620" t="n">
        <v>62</v>
      </c>
      <c r="F620" t="inlineStr">
        <is>
          <t>Positive Valence</t>
        </is>
      </c>
      <c r="G620" t="n">
        <v>50</v>
      </c>
      <c r="H620" t="n">
        <v>0</v>
      </c>
      <c r="I620" t="n">
        <v>0</v>
      </c>
      <c r="J620" t="inlineStr">
        <is>
          <t>NA</t>
        </is>
      </c>
      <c r="K620" t="n">
        <v>96.2</v>
      </c>
    </row>
    <row r="621">
      <c r="A621" t="inlineStr">
        <is>
          <t>SIMULATED Food Waste Remote Study</t>
        </is>
      </c>
      <c r="B621" t="inlineStr">
        <is>
          <t>RESP0079</t>
        </is>
      </c>
      <c r="C621" t="inlineStr">
        <is>
          <t>Stimulus</t>
        </is>
      </c>
      <c r="D621" t="inlineStr">
        <is>
          <t>foodwaste_visual</t>
        </is>
      </c>
      <c r="E621" t="n">
        <v>62</v>
      </c>
      <c r="F621" t="inlineStr">
        <is>
          <t>Negative Valence</t>
        </is>
      </c>
      <c r="G621" t="n">
        <v>-50</v>
      </c>
      <c r="H621" t="n">
        <v>0.75</v>
      </c>
      <c r="I621" t="n">
        <v>2</v>
      </c>
      <c r="J621" t="inlineStr">
        <is>
          <t>NA</t>
        </is>
      </c>
      <c r="K621" t="n">
        <v>96.2</v>
      </c>
    </row>
    <row r="622">
      <c r="A622" t="inlineStr">
        <is>
          <t>SIMULATED Food Waste Remote Study</t>
        </is>
      </c>
      <c r="B622" t="inlineStr">
        <is>
          <t>RESP0080</t>
        </is>
      </c>
      <c r="C622" t="inlineStr">
        <is>
          <t>Stimulus</t>
        </is>
      </c>
      <c r="D622" t="inlineStr">
        <is>
          <t>foodwaste_narrative</t>
        </is>
      </c>
      <c r="E622" t="n">
        <v>60</v>
      </c>
      <c r="F622" t="inlineStr">
        <is>
          <t>Engagement</t>
        </is>
      </c>
      <c r="G622" t="n">
        <v>50</v>
      </c>
      <c r="H622" t="n">
        <v>3.89</v>
      </c>
      <c r="I622" t="n">
        <v>3</v>
      </c>
      <c r="J622" t="inlineStr">
        <is>
          <t>NA</t>
        </is>
      </c>
      <c r="K622" t="n">
        <v>87.09999999999999</v>
      </c>
    </row>
    <row r="623">
      <c r="A623" t="inlineStr">
        <is>
          <t>SIMULATED Food Waste Remote Study</t>
        </is>
      </c>
      <c r="B623" t="inlineStr">
        <is>
          <t>RESP0080</t>
        </is>
      </c>
      <c r="C623" t="inlineStr">
        <is>
          <t>Stimulus</t>
        </is>
      </c>
      <c r="D623" t="inlineStr">
        <is>
          <t>foodwaste_narrative</t>
        </is>
      </c>
      <c r="E623" t="n">
        <v>60</v>
      </c>
      <c r="F623" t="inlineStr">
        <is>
          <t>Joy</t>
        </is>
      </c>
      <c r="G623" t="n">
        <v>50</v>
      </c>
      <c r="H623" t="n">
        <v>0</v>
      </c>
      <c r="I623" t="n">
        <v>0</v>
      </c>
      <c r="J623" t="inlineStr">
        <is>
          <t>NA</t>
        </is>
      </c>
      <c r="K623" t="n">
        <v>87.09999999999999</v>
      </c>
    </row>
    <row r="624">
      <c r="A624" t="inlineStr">
        <is>
          <t>SIMULATED Food Waste Remote Study</t>
        </is>
      </c>
      <c r="B624" t="inlineStr">
        <is>
          <t>RESP0080</t>
        </is>
      </c>
      <c r="C624" t="inlineStr">
        <is>
          <t>Stimulus</t>
        </is>
      </c>
      <c r="D624" t="inlineStr">
        <is>
          <t>foodwaste_narrative</t>
        </is>
      </c>
      <c r="E624" t="n">
        <v>60</v>
      </c>
      <c r="F624" t="inlineStr">
        <is>
          <t>Brow Furrow</t>
        </is>
      </c>
      <c r="G624" t="n">
        <v>50</v>
      </c>
      <c r="H624" t="n">
        <v>0</v>
      </c>
      <c r="I624" t="n">
        <v>0</v>
      </c>
      <c r="J624" t="inlineStr">
        <is>
          <t>NA</t>
        </is>
      </c>
      <c r="K624" t="n">
        <v>87.09999999999999</v>
      </c>
    </row>
    <row r="625">
      <c r="A625" t="inlineStr">
        <is>
          <t>SIMULATED Food Waste Remote Study</t>
        </is>
      </c>
      <c r="B625" t="inlineStr">
        <is>
          <t>RESP0080</t>
        </is>
      </c>
      <c r="C625" t="inlineStr">
        <is>
          <t>Stimulus</t>
        </is>
      </c>
      <c r="D625" t="inlineStr">
        <is>
          <t>foodwaste_narrative</t>
        </is>
      </c>
      <c r="E625" t="n">
        <v>60</v>
      </c>
      <c r="F625" t="inlineStr">
        <is>
          <t>Positive Valence</t>
        </is>
      </c>
      <c r="G625" t="n">
        <v>50</v>
      </c>
      <c r="H625" t="n">
        <v>1.56</v>
      </c>
      <c r="I625" t="n">
        <v>1</v>
      </c>
      <c r="J625" t="inlineStr">
        <is>
          <t>NA</t>
        </is>
      </c>
      <c r="K625" t="n">
        <v>87.09999999999999</v>
      </c>
    </row>
    <row r="626">
      <c r="A626" t="inlineStr">
        <is>
          <t>SIMULATED Food Waste Remote Study</t>
        </is>
      </c>
      <c r="B626" t="inlineStr">
        <is>
          <t>RESP0080</t>
        </is>
      </c>
      <c r="C626" t="inlineStr">
        <is>
          <t>Stimulus</t>
        </is>
      </c>
      <c r="D626" t="inlineStr">
        <is>
          <t>foodwaste_narrative</t>
        </is>
      </c>
      <c r="E626" t="n">
        <v>60</v>
      </c>
      <c r="F626" t="inlineStr">
        <is>
          <t>Negative Valence</t>
        </is>
      </c>
      <c r="G626" t="n">
        <v>-50</v>
      </c>
      <c r="H626" t="n">
        <v>0</v>
      </c>
      <c r="I626" t="n">
        <v>0</v>
      </c>
      <c r="J626" t="inlineStr">
        <is>
          <t>NA</t>
        </is>
      </c>
      <c r="K626" t="n">
        <v>87.09999999999999</v>
      </c>
    </row>
    <row r="627">
      <c r="A627" t="inlineStr">
        <is>
          <t>SIMULATED Food Waste Remote Study</t>
        </is>
      </c>
      <c r="B627" t="inlineStr">
        <is>
          <t>RESP0080</t>
        </is>
      </c>
      <c r="C627" t="inlineStr">
        <is>
          <t>Stimulus</t>
        </is>
      </c>
      <c r="D627" t="inlineStr">
        <is>
          <t>foodwaste_visual</t>
        </is>
      </c>
      <c r="E627" t="n">
        <v>62</v>
      </c>
      <c r="F627" t="inlineStr">
        <is>
          <t>Engagement</t>
        </is>
      </c>
      <c r="G627" t="n">
        <v>50</v>
      </c>
      <c r="H627" t="n">
        <v>50.86</v>
      </c>
      <c r="I627" t="n">
        <v>82</v>
      </c>
      <c r="J627" t="inlineStr">
        <is>
          <t>NA</t>
        </is>
      </c>
      <c r="K627" t="n">
        <v>79.90000000000001</v>
      </c>
    </row>
    <row r="628">
      <c r="A628" t="inlineStr">
        <is>
          <t>SIMULATED Food Waste Remote Study</t>
        </is>
      </c>
      <c r="B628" t="inlineStr">
        <is>
          <t>RESP0080</t>
        </is>
      </c>
      <c r="C628" t="inlineStr">
        <is>
          <t>Stimulus</t>
        </is>
      </c>
      <c r="D628" t="inlineStr">
        <is>
          <t>foodwaste_visual</t>
        </is>
      </c>
      <c r="E628" t="n">
        <v>62</v>
      </c>
      <c r="F628" t="inlineStr">
        <is>
          <t>Joy</t>
        </is>
      </c>
      <c r="G628" t="n">
        <v>50</v>
      </c>
      <c r="H628" t="n">
        <v>1.51</v>
      </c>
      <c r="I628" t="n">
        <v>4</v>
      </c>
      <c r="J628" t="inlineStr">
        <is>
          <t>NA</t>
        </is>
      </c>
      <c r="K628" t="n">
        <v>79.90000000000001</v>
      </c>
    </row>
    <row r="629">
      <c r="A629" t="inlineStr">
        <is>
          <t>SIMULATED Food Waste Remote Study</t>
        </is>
      </c>
      <c r="B629" t="inlineStr">
        <is>
          <t>RESP0080</t>
        </is>
      </c>
      <c r="C629" t="inlineStr">
        <is>
          <t>Stimulus</t>
        </is>
      </c>
      <c r="D629" t="inlineStr">
        <is>
          <t>foodwaste_visual</t>
        </is>
      </c>
      <c r="E629" t="n">
        <v>62</v>
      </c>
      <c r="F629" t="inlineStr">
        <is>
          <t>Brow Furrow</t>
        </is>
      </c>
      <c r="G629" t="n">
        <v>50</v>
      </c>
      <c r="H629" t="n">
        <v>0</v>
      </c>
      <c r="I629" t="n">
        <v>0</v>
      </c>
      <c r="J629" t="inlineStr">
        <is>
          <t>NA</t>
        </is>
      </c>
      <c r="K629" t="n">
        <v>79.90000000000001</v>
      </c>
    </row>
    <row r="630">
      <c r="A630" t="inlineStr">
        <is>
          <t>SIMULATED Food Waste Remote Study</t>
        </is>
      </c>
      <c r="B630" t="inlineStr">
        <is>
          <t>RESP0080</t>
        </is>
      </c>
      <c r="C630" t="inlineStr">
        <is>
          <t>Stimulus</t>
        </is>
      </c>
      <c r="D630" t="inlineStr">
        <is>
          <t>foodwaste_visual</t>
        </is>
      </c>
      <c r="E630" t="n">
        <v>62</v>
      </c>
      <c r="F630" t="inlineStr">
        <is>
          <t>Positive Valence</t>
        </is>
      </c>
      <c r="G630" t="n">
        <v>50</v>
      </c>
      <c r="H630" t="n">
        <v>0</v>
      </c>
      <c r="I630" t="n">
        <v>0</v>
      </c>
      <c r="J630" t="inlineStr">
        <is>
          <t>NA</t>
        </is>
      </c>
      <c r="K630" t="n">
        <v>79.90000000000001</v>
      </c>
    </row>
    <row r="631">
      <c r="A631" t="inlineStr">
        <is>
          <t>SIMULATED Food Waste Remote Study</t>
        </is>
      </c>
      <c r="B631" t="inlineStr">
        <is>
          <t>RESP0080</t>
        </is>
      </c>
      <c r="C631" t="inlineStr">
        <is>
          <t>Stimulus</t>
        </is>
      </c>
      <c r="D631" t="inlineStr">
        <is>
          <t>foodwaste_visual</t>
        </is>
      </c>
      <c r="E631" t="n">
        <v>62</v>
      </c>
      <c r="F631" t="inlineStr">
        <is>
          <t>Negative Valence</t>
        </is>
      </c>
      <c r="G631" t="n">
        <v>-50</v>
      </c>
      <c r="H631" t="n">
        <v>0</v>
      </c>
      <c r="I631" t="n">
        <v>0</v>
      </c>
      <c r="J631" t="inlineStr">
        <is>
          <t>NA</t>
        </is>
      </c>
      <c r="K631" t="n">
        <v>79.90000000000001</v>
      </c>
    </row>
    <row r="632">
      <c r="A632" t="inlineStr">
        <is>
          <t>SIMULATED Food Waste Remote Study</t>
        </is>
      </c>
      <c r="B632" t="inlineStr">
        <is>
          <t>RESP0081</t>
        </is>
      </c>
      <c r="C632" t="inlineStr">
        <is>
          <t>Stimulus</t>
        </is>
      </c>
      <c r="D632" t="inlineStr">
        <is>
          <t>foodwaste_narrative</t>
        </is>
      </c>
      <c r="E632" t="n">
        <v>60</v>
      </c>
      <c r="F632" t="inlineStr">
        <is>
          <t>Engagement</t>
        </is>
      </c>
      <c r="G632" t="n">
        <v>50</v>
      </c>
      <c r="H632" t="n">
        <v>65.56</v>
      </c>
      <c r="I632" t="n">
        <v>13</v>
      </c>
      <c r="J632" t="inlineStr">
        <is>
          <t>NA</t>
        </is>
      </c>
      <c r="K632" t="n">
        <v>99.3</v>
      </c>
    </row>
    <row r="633">
      <c r="A633" t="inlineStr">
        <is>
          <t>SIMULATED Food Waste Remote Study</t>
        </is>
      </c>
      <c r="B633" t="inlineStr">
        <is>
          <t>RESP0081</t>
        </is>
      </c>
      <c r="C633" t="inlineStr">
        <is>
          <t>Stimulus</t>
        </is>
      </c>
      <c r="D633" t="inlineStr">
        <is>
          <t>foodwaste_narrative</t>
        </is>
      </c>
      <c r="E633" t="n">
        <v>60</v>
      </c>
      <c r="F633" t="inlineStr">
        <is>
          <t>Joy</t>
        </is>
      </c>
      <c r="G633" t="n">
        <v>50</v>
      </c>
      <c r="H633" t="n">
        <v>3.06</v>
      </c>
      <c r="I633" t="n">
        <v>3</v>
      </c>
      <c r="J633" t="inlineStr">
        <is>
          <t>NA</t>
        </is>
      </c>
      <c r="K633" t="n">
        <v>99.3</v>
      </c>
    </row>
    <row r="634">
      <c r="A634" t="inlineStr">
        <is>
          <t>SIMULATED Food Waste Remote Study</t>
        </is>
      </c>
      <c r="B634" t="inlineStr">
        <is>
          <t>RESP0081</t>
        </is>
      </c>
      <c r="C634" t="inlineStr">
        <is>
          <t>Stimulus</t>
        </is>
      </c>
      <c r="D634" t="inlineStr">
        <is>
          <t>foodwaste_narrative</t>
        </is>
      </c>
      <c r="E634" t="n">
        <v>60</v>
      </c>
      <c r="F634" t="inlineStr">
        <is>
          <t>Brow Furrow</t>
        </is>
      </c>
      <c r="G634" t="n">
        <v>50</v>
      </c>
      <c r="H634" t="n">
        <v>39.83</v>
      </c>
      <c r="I634" t="n">
        <v>12</v>
      </c>
      <c r="J634" t="inlineStr">
        <is>
          <t>NA</t>
        </is>
      </c>
      <c r="K634" t="n">
        <v>99.3</v>
      </c>
    </row>
    <row r="635">
      <c r="A635" t="inlineStr">
        <is>
          <t>SIMULATED Food Waste Remote Study</t>
        </is>
      </c>
      <c r="B635" t="inlineStr">
        <is>
          <t>RESP0081</t>
        </is>
      </c>
      <c r="C635" t="inlineStr">
        <is>
          <t>Stimulus</t>
        </is>
      </c>
      <c r="D635" t="inlineStr">
        <is>
          <t>foodwaste_narrative</t>
        </is>
      </c>
      <c r="E635" t="n">
        <v>60</v>
      </c>
      <c r="F635" t="inlineStr">
        <is>
          <t>Positive Valence</t>
        </is>
      </c>
      <c r="G635" t="n">
        <v>50</v>
      </c>
      <c r="H635" t="n">
        <v>0</v>
      </c>
      <c r="I635" t="n">
        <v>0</v>
      </c>
      <c r="J635" t="inlineStr">
        <is>
          <t>NA</t>
        </is>
      </c>
      <c r="K635" t="n">
        <v>99.3</v>
      </c>
    </row>
    <row r="636">
      <c r="A636" t="inlineStr">
        <is>
          <t>SIMULATED Food Waste Remote Study</t>
        </is>
      </c>
      <c r="B636" t="inlineStr">
        <is>
          <t>RESP0081</t>
        </is>
      </c>
      <c r="C636" t="inlineStr">
        <is>
          <t>Stimulus</t>
        </is>
      </c>
      <c r="D636" t="inlineStr">
        <is>
          <t>foodwaste_narrative</t>
        </is>
      </c>
      <c r="E636" t="n">
        <v>60</v>
      </c>
      <c r="F636" t="inlineStr">
        <is>
          <t>Negative Valence</t>
        </is>
      </c>
      <c r="G636" t="n">
        <v>-50</v>
      </c>
      <c r="H636" t="n">
        <v>9.5</v>
      </c>
      <c r="I636" t="n">
        <v>3</v>
      </c>
      <c r="J636" t="inlineStr">
        <is>
          <t>NA</t>
        </is>
      </c>
      <c r="K636" t="n">
        <v>99.3</v>
      </c>
    </row>
    <row r="637">
      <c r="A637" t="inlineStr">
        <is>
          <t>SIMULATED Food Waste Remote Study</t>
        </is>
      </c>
      <c r="B637" t="inlineStr">
        <is>
          <t>RESP0081</t>
        </is>
      </c>
      <c r="C637" t="inlineStr">
        <is>
          <t>Stimulus</t>
        </is>
      </c>
      <c r="D637" t="inlineStr">
        <is>
          <t>foodwaste_visual</t>
        </is>
      </c>
      <c r="E637" t="n">
        <v>62</v>
      </c>
      <c r="F637" t="inlineStr">
        <is>
          <t>Engagement</t>
        </is>
      </c>
      <c r="G637" t="n">
        <v>50</v>
      </c>
      <c r="H637" t="n">
        <v>98.17</v>
      </c>
      <c r="I637" t="n">
        <v>24</v>
      </c>
      <c r="J637" t="inlineStr">
        <is>
          <t>NA</t>
        </is>
      </c>
      <c r="K637" t="n">
        <v>99.40000000000001</v>
      </c>
    </row>
    <row r="638">
      <c r="A638" t="inlineStr">
        <is>
          <t>SIMULATED Food Waste Remote Study</t>
        </is>
      </c>
      <c r="B638" t="inlineStr">
        <is>
          <t>RESP0081</t>
        </is>
      </c>
      <c r="C638" t="inlineStr">
        <is>
          <t>Stimulus</t>
        </is>
      </c>
      <c r="D638" t="inlineStr">
        <is>
          <t>foodwaste_visual</t>
        </is>
      </c>
      <c r="E638" t="n">
        <v>62</v>
      </c>
      <c r="F638" t="inlineStr">
        <is>
          <t>Joy</t>
        </is>
      </c>
      <c r="G638" t="n">
        <v>50</v>
      </c>
      <c r="H638" t="n">
        <v>7.37</v>
      </c>
      <c r="I638" t="n">
        <v>1</v>
      </c>
      <c r="J638" t="inlineStr">
        <is>
          <t>NA</t>
        </is>
      </c>
      <c r="K638" t="n">
        <v>99.40000000000001</v>
      </c>
    </row>
    <row r="639">
      <c r="A639" t="inlineStr">
        <is>
          <t>SIMULATED Food Waste Remote Study</t>
        </is>
      </c>
      <c r="B639" t="inlineStr">
        <is>
          <t>RESP0081</t>
        </is>
      </c>
      <c r="C639" t="inlineStr">
        <is>
          <t>Stimulus</t>
        </is>
      </c>
      <c r="D639" t="inlineStr">
        <is>
          <t>foodwaste_visual</t>
        </is>
      </c>
      <c r="E639" t="n">
        <v>62</v>
      </c>
      <c r="F639" t="inlineStr">
        <is>
          <t>Brow Furrow</t>
        </is>
      </c>
      <c r="G639" t="n">
        <v>50</v>
      </c>
      <c r="H639" t="n">
        <v>38.55</v>
      </c>
      <c r="I639" t="n">
        <v>12</v>
      </c>
      <c r="J639" t="inlineStr">
        <is>
          <t>NA</t>
        </is>
      </c>
      <c r="K639" t="n">
        <v>99.40000000000001</v>
      </c>
    </row>
    <row r="640">
      <c r="A640" t="inlineStr">
        <is>
          <t>SIMULATED Food Waste Remote Study</t>
        </is>
      </c>
      <c r="B640" t="inlineStr">
        <is>
          <t>RESP0081</t>
        </is>
      </c>
      <c r="C640" t="inlineStr">
        <is>
          <t>Stimulus</t>
        </is>
      </c>
      <c r="D640" t="inlineStr">
        <is>
          <t>foodwaste_visual</t>
        </is>
      </c>
      <c r="E640" t="n">
        <v>62</v>
      </c>
      <c r="F640" t="inlineStr">
        <is>
          <t>Positive Valence</t>
        </is>
      </c>
      <c r="G640" t="n">
        <v>50</v>
      </c>
      <c r="H640" t="n">
        <v>14.84</v>
      </c>
      <c r="I640" t="n">
        <v>6</v>
      </c>
      <c r="J640" t="inlineStr">
        <is>
          <t>NA</t>
        </is>
      </c>
      <c r="K640" t="n">
        <v>99.40000000000001</v>
      </c>
    </row>
    <row r="641">
      <c r="A641" t="inlineStr">
        <is>
          <t>SIMULATED Food Waste Remote Study</t>
        </is>
      </c>
      <c r="B641" t="inlineStr">
        <is>
          <t>RESP0081</t>
        </is>
      </c>
      <c r="C641" t="inlineStr">
        <is>
          <t>Stimulus</t>
        </is>
      </c>
      <c r="D641" t="inlineStr">
        <is>
          <t>foodwaste_visual</t>
        </is>
      </c>
      <c r="E641" t="n">
        <v>62</v>
      </c>
      <c r="F641" t="inlineStr">
        <is>
          <t>Negative Valence</t>
        </is>
      </c>
      <c r="G641" t="n">
        <v>-50</v>
      </c>
      <c r="H641" t="n">
        <v>29.73</v>
      </c>
      <c r="I641" t="n">
        <v>7</v>
      </c>
      <c r="J641" t="inlineStr">
        <is>
          <t>NA</t>
        </is>
      </c>
      <c r="K641" t="n">
        <v>99.40000000000001</v>
      </c>
    </row>
    <row r="642">
      <c r="A642" t="inlineStr">
        <is>
          <t>SIMULATED Food Waste Remote Study</t>
        </is>
      </c>
      <c r="B642" t="inlineStr">
        <is>
          <t>RESP0082</t>
        </is>
      </c>
      <c r="C642" t="inlineStr">
        <is>
          <t>Stimulus</t>
        </is>
      </c>
      <c r="D642" t="inlineStr">
        <is>
          <t>foodwaste_narrative</t>
        </is>
      </c>
      <c r="E642" t="n">
        <v>60</v>
      </c>
      <c r="F642" t="inlineStr">
        <is>
          <t>Engagement</t>
        </is>
      </c>
      <c r="G642" t="n">
        <v>50</v>
      </c>
      <c r="H642" t="n">
        <v>2.61</v>
      </c>
      <c r="I642" t="n">
        <v>1</v>
      </c>
      <c r="J642" t="inlineStr">
        <is>
          <t>NA</t>
        </is>
      </c>
      <c r="K642" t="n">
        <v>98</v>
      </c>
    </row>
    <row r="643">
      <c r="A643" t="inlineStr">
        <is>
          <t>SIMULATED Food Waste Remote Study</t>
        </is>
      </c>
      <c r="B643" t="inlineStr">
        <is>
          <t>RESP0082</t>
        </is>
      </c>
      <c r="C643" t="inlineStr">
        <is>
          <t>Stimulus</t>
        </is>
      </c>
      <c r="D643" t="inlineStr">
        <is>
          <t>foodwaste_narrative</t>
        </is>
      </c>
      <c r="E643" t="n">
        <v>60</v>
      </c>
      <c r="F643" t="inlineStr">
        <is>
          <t>Joy</t>
        </is>
      </c>
      <c r="G643" t="n">
        <v>50</v>
      </c>
      <c r="H643" t="n">
        <v>0</v>
      </c>
      <c r="I643" t="n">
        <v>0</v>
      </c>
      <c r="J643" t="inlineStr">
        <is>
          <t>NA</t>
        </is>
      </c>
      <c r="K643" t="n">
        <v>98</v>
      </c>
    </row>
    <row r="644">
      <c r="A644" t="inlineStr">
        <is>
          <t>SIMULATED Food Waste Remote Study</t>
        </is>
      </c>
      <c r="B644" t="inlineStr">
        <is>
          <t>RESP0082</t>
        </is>
      </c>
      <c r="C644" t="inlineStr">
        <is>
          <t>Stimulus</t>
        </is>
      </c>
      <c r="D644" t="inlineStr">
        <is>
          <t>foodwaste_narrative</t>
        </is>
      </c>
      <c r="E644" t="n">
        <v>60</v>
      </c>
      <c r="F644" t="inlineStr">
        <is>
          <t>Brow Furrow</t>
        </is>
      </c>
      <c r="G644" t="n">
        <v>50</v>
      </c>
      <c r="H644" t="n">
        <v>3.11</v>
      </c>
      <c r="I644" t="n">
        <v>1</v>
      </c>
      <c r="J644" t="inlineStr">
        <is>
          <t>NA</t>
        </is>
      </c>
      <c r="K644" t="n">
        <v>98</v>
      </c>
    </row>
    <row r="645">
      <c r="A645" t="inlineStr">
        <is>
          <t>SIMULATED Food Waste Remote Study</t>
        </is>
      </c>
      <c r="B645" t="inlineStr">
        <is>
          <t>RESP0082</t>
        </is>
      </c>
      <c r="C645" t="inlineStr">
        <is>
          <t>Stimulus</t>
        </is>
      </c>
      <c r="D645" t="inlineStr">
        <is>
          <t>foodwaste_narrative</t>
        </is>
      </c>
      <c r="E645" t="n">
        <v>60</v>
      </c>
      <c r="F645" t="inlineStr">
        <is>
          <t>Positive Valence</t>
        </is>
      </c>
      <c r="G645" t="n">
        <v>50</v>
      </c>
      <c r="H645" t="n">
        <v>0</v>
      </c>
      <c r="I645" t="n">
        <v>0</v>
      </c>
      <c r="J645" t="inlineStr">
        <is>
          <t>NA</t>
        </is>
      </c>
      <c r="K645" t="n">
        <v>98</v>
      </c>
    </row>
    <row r="646">
      <c r="A646" t="inlineStr">
        <is>
          <t>SIMULATED Food Waste Remote Study</t>
        </is>
      </c>
      <c r="B646" t="inlineStr">
        <is>
          <t>RESP0082</t>
        </is>
      </c>
      <c r="C646" t="inlineStr">
        <is>
          <t>Stimulus</t>
        </is>
      </c>
      <c r="D646" t="inlineStr">
        <is>
          <t>foodwaste_narrative</t>
        </is>
      </c>
      <c r="E646" t="n">
        <v>60</v>
      </c>
      <c r="F646" t="inlineStr">
        <is>
          <t>Negative Valence</t>
        </is>
      </c>
      <c r="G646" t="n">
        <v>-50</v>
      </c>
      <c r="H646" t="n">
        <v>0</v>
      </c>
      <c r="I646" t="n">
        <v>0</v>
      </c>
      <c r="J646" t="inlineStr">
        <is>
          <t>NA</t>
        </is>
      </c>
      <c r="K646" t="n">
        <v>98</v>
      </c>
    </row>
    <row r="647">
      <c r="A647" t="inlineStr">
        <is>
          <t>SIMULATED Food Waste Remote Study</t>
        </is>
      </c>
      <c r="B647" t="inlineStr">
        <is>
          <t>RESP0082</t>
        </is>
      </c>
      <c r="C647" t="inlineStr">
        <is>
          <t>Stimulus</t>
        </is>
      </c>
      <c r="D647" t="inlineStr">
        <is>
          <t>foodwaste_visual</t>
        </is>
      </c>
      <c r="E647" t="n">
        <v>62</v>
      </c>
      <c r="F647" t="inlineStr">
        <is>
          <t>Engagement</t>
        </is>
      </c>
      <c r="G647" t="n">
        <v>50</v>
      </c>
      <c r="H647" t="n">
        <v>13.6</v>
      </c>
      <c r="I647" t="n">
        <v>2</v>
      </c>
      <c r="J647" t="inlineStr">
        <is>
          <t>NA</t>
        </is>
      </c>
      <c r="K647" t="n">
        <v>99.2</v>
      </c>
    </row>
    <row r="648">
      <c r="A648" t="inlineStr">
        <is>
          <t>SIMULATED Food Waste Remote Study</t>
        </is>
      </c>
      <c r="B648" t="inlineStr">
        <is>
          <t>RESP0082</t>
        </is>
      </c>
      <c r="C648" t="inlineStr">
        <is>
          <t>Stimulus</t>
        </is>
      </c>
      <c r="D648" t="inlineStr">
        <is>
          <t>foodwaste_visual</t>
        </is>
      </c>
      <c r="E648" t="n">
        <v>62</v>
      </c>
      <c r="F648" t="inlineStr">
        <is>
          <t>Joy</t>
        </is>
      </c>
      <c r="G648" t="n">
        <v>50</v>
      </c>
      <c r="H648" t="n">
        <v>0.32</v>
      </c>
      <c r="I648" t="n">
        <v>1</v>
      </c>
      <c r="J648" t="inlineStr">
        <is>
          <t>NA</t>
        </is>
      </c>
      <c r="K648" t="n">
        <v>99.2</v>
      </c>
    </row>
    <row r="649">
      <c r="A649" t="inlineStr">
        <is>
          <t>SIMULATED Food Waste Remote Study</t>
        </is>
      </c>
      <c r="B649" t="inlineStr">
        <is>
          <t>RESP0082</t>
        </is>
      </c>
      <c r="C649" t="inlineStr">
        <is>
          <t>Stimulus</t>
        </is>
      </c>
      <c r="D649" t="inlineStr">
        <is>
          <t>foodwaste_visual</t>
        </is>
      </c>
      <c r="E649" t="n">
        <v>62</v>
      </c>
      <c r="F649" t="inlineStr">
        <is>
          <t>Brow Furrow</t>
        </is>
      </c>
      <c r="G649" t="n">
        <v>50</v>
      </c>
      <c r="H649" t="n">
        <v>1.77</v>
      </c>
      <c r="I649" t="n">
        <v>1</v>
      </c>
      <c r="J649" t="inlineStr">
        <is>
          <t>NA</t>
        </is>
      </c>
      <c r="K649" t="n">
        <v>99.2</v>
      </c>
    </row>
    <row r="650">
      <c r="A650" t="inlineStr">
        <is>
          <t>SIMULATED Food Waste Remote Study</t>
        </is>
      </c>
      <c r="B650" t="inlineStr">
        <is>
          <t>RESP0082</t>
        </is>
      </c>
      <c r="C650" t="inlineStr">
        <is>
          <t>Stimulus</t>
        </is>
      </c>
      <c r="D650" t="inlineStr">
        <is>
          <t>foodwaste_visual</t>
        </is>
      </c>
      <c r="E650" t="n">
        <v>62</v>
      </c>
      <c r="F650" t="inlineStr">
        <is>
          <t>Positive Valence</t>
        </is>
      </c>
      <c r="G650" t="n">
        <v>50</v>
      </c>
      <c r="H650" t="n">
        <v>0.43</v>
      </c>
      <c r="I650" t="n">
        <v>1</v>
      </c>
      <c r="J650" t="inlineStr">
        <is>
          <t>NA</t>
        </is>
      </c>
      <c r="K650" t="n">
        <v>99.2</v>
      </c>
    </row>
    <row r="651">
      <c r="A651" t="inlineStr">
        <is>
          <t>SIMULATED Food Waste Remote Study</t>
        </is>
      </c>
      <c r="B651" t="inlineStr">
        <is>
          <t>RESP0082</t>
        </is>
      </c>
      <c r="C651" t="inlineStr">
        <is>
          <t>Stimulus</t>
        </is>
      </c>
      <c r="D651" t="inlineStr">
        <is>
          <t>foodwaste_visual</t>
        </is>
      </c>
      <c r="E651" t="n">
        <v>62</v>
      </c>
      <c r="F651" t="inlineStr">
        <is>
          <t>Negative Valence</t>
        </is>
      </c>
      <c r="G651" t="n">
        <v>-50</v>
      </c>
      <c r="H651" t="n">
        <v>1.72</v>
      </c>
      <c r="I651" t="n">
        <v>1</v>
      </c>
      <c r="J651" t="inlineStr">
        <is>
          <t>NA</t>
        </is>
      </c>
      <c r="K651" t="n">
        <v>99.2</v>
      </c>
    </row>
    <row r="652">
      <c r="A652" t="inlineStr">
        <is>
          <t>SIMULATED Food Waste Remote Study</t>
        </is>
      </c>
      <c r="B652" t="inlineStr">
        <is>
          <t>RESP0084</t>
        </is>
      </c>
      <c r="C652" t="inlineStr">
        <is>
          <t>Stimulus</t>
        </is>
      </c>
      <c r="D652" t="inlineStr">
        <is>
          <t>foodwaste_narrative</t>
        </is>
      </c>
      <c r="E652" t="n">
        <v>60</v>
      </c>
      <c r="F652" t="inlineStr">
        <is>
          <t>Engagement</t>
        </is>
      </c>
      <c r="G652" t="n">
        <v>50</v>
      </c>
      <c r="H652" t="n">
        <v>35.28</v>
      </c>
      <c r="I652" t="n">
        <v>4</v>
      </c>
      <c r="J652" t="inlineStr">
        <is>
          <t>NA</t>
        </is>
      </c>
      <c r="K652" t="n">
        <v>99.8</v>
      </c>
    </row>
    <row r="653">
      <c r="A653" t="inlineStr">
        <is>
          <t>SIMULATED Food Waste Remote Study</t>
        </is>
      </c>
      <c r="B653" t="inlineStr">
        <is>
          <t>RESP0084</t>
        </is>
      </c>
      <c r="C653" t="inlineStr">
        <is>
          <t>Stimulus</t>
        </is>
      </c>
      <c r="D653" t="inlineStr">
        <is>
          <t>foodwaste_narrative</t>
        </is>
      </c>
      <c r="E653" t="n">
        <v>60</v>
      </c>
      <c r="F653" t="inlineStr">
        <is>
          <t>Joy</t>
        </is>
      </c>
      <c r="G653" t="n">
        <v>50</v>
      </c>
      <c r="H653" t="n">
        <v>0</v>
      </c>
      <c r="I653" t="n">
        <v>0</v>
      </c>
      <c r="J653" t="inlineStr">
        <is>
          <t>NA</t>
        </is>
      </c>
      <c r="K653" t="n">
        <v>99.8</v>
      </c>
    </row>
    <row r="654">
      <c r="A654" t="inlineStr">
        <is>
          <t>SIMULATED Food Waste Remote Study</t>
        </is>
      </c>
      <c r="B654" t="inlineStr">
        <is>
          <t>RESP0084</t>
        </is>
      </c>
      <c r="C654" t="inlineStr">
        <is>
          <t>Stimulus</t>
        </is>
      </c>
      <c r="D654" t="inlineStr">
        <is>
          <t>foodwaste_narrative</t>
        </is>
      </c>
      <c r="E654" t="n">
        <v>60</v>
      </c>
      <c r="F654" t="inlineStr">
        <is>
          <t>Brow Furrow</t>
        </is>
      </c>
      <c r="G654" t="n">
        <v>50</v>
      </c>
      <c r="H654" t="n">
        <v>0</v>
      </c>
      <c r="I654" t="n">
        <v>0</v>
      </c>
      <c r="J654" t="inlineStr">
        <is>
          <t>NA</t>
        </is>
      </c>
      <c r="K654" t="n">
        <v>99.8</v>
      </c>
    </row>
    <row r="655">
      <c r="A655" t="inlineStr">
        <is>
          <t>SIMULATED Food Waste Remote Study</t>
        </is>
      </c>
      <c r="B655" t="inlineStr">
        <is>
          <t>RESP0084</t>
        </is>
      </c>
      <c r="C655" t="inlineStr">
        <is>
          <t>Stimulus</t>
        </is>
      </c>
      <c r="D655" t="inlineStr">
        <is>
          <t>foodwaste_narrative</t>
        </is>
      </c>
      <c r="E655" t="n">
        <v>60</v>
      </c>
      <c r="F655" t="inlineStr">
        <is>
          <t>Positive Valence</t>
        </is>
      </c>
      <c r="G655" t="n">
        <v>50</v>
      </c>
      <c r="H655" t="n">
        <v>16.28</v>
      </c>
      <c r="I655" t="n">
        <v>4</v>
      </c>
      <c r="J655" t="inlineStr">
        <is>
          <t>NA</t>
        </is>
      </c>
      <c r="K655" t="n">
        <v>99.8</v>
      </c>
    </row>
    <row r="656">
      <c r="A656" t="inlineStr">
        <is>
          <t>SIMULATED Food Waste Remote Study</t>
        </is>
      </c>
      <c r="B656" t="inlineStr">
        <is>
          <t>RESP0084</t>
        </is>
      </c>
      <c r="C656" t="inlineStr">
        <is>
          <t>Stimulus</t>
        </is>
      </c>
      <c r="D656" t="inlineStr">
        <is>
          <t>foodwaste_narrative</t>
        </is>
      </c>
      <c r="E656" t="n">
        <v>60</v>
      </c>
      <c r="F656" t="inlineStr">
        <is>
          <t>Negative Valence</t>
        </is>
      </c>
      <c r="G656" t="n">
        <v>-50</v>
      </c>
      <c r="H656" t="n">
        <v>0</v>
      </c>
      <c r="I656" t="n">
        <v>0</v>
      </c>
      <c r="J656" t="inlineStr">
        <is>
          <t>NA</t>
        </is>
      </c>
      <c r="K656" t="n">
        <v>99.8</v>
      </c>
    </row>
    <row r="657">
      <c r="A657" t="inlineStr">
        <is>
          <t>SIMULATED Food Waste Remote Study</t>
        </is>
      </c>
      <c r="B657" t="inlineStr">
        <is>
          <t>RESP0084</t>
        </is>
      </c>
      <c r="C657" t="inlineStr">
        <is>
          <t>Stimulus</t>
        </is>
      </c>
      <c r="D657" t="inlineStr">
        <is>
          <t>foodwaste_visual</t>
        </is>
      </c>
      <c r="E657" t="n">
        <v>62</v>
      </c>
      <c r="F657" t="inlineStr">
        <is>
          <t>Engagement</t>
        </is>
      </c>
      <c r="G657" t="n">
        <v>50</v>
      </c>
      <c r="H657" t="n">
        <v>9.57</v>
      </c>
      <c r="I657" t="n">
        <v>4</v>
      </c>
      <c r="J657" t="inlineStr">
        <is>
          <t>NA</t>
        </is>
      </c>
      <c r="K657" t="n">
        <v>99.09999999999999</v>
      </c>
    </row>
    <row r="658">
      <c r="A658" t="inlineStr">
        <is>
          <t>SIMULATED Food Waste Remote Study</t>
        </is>
      </c>
      <c r="B658" t="inlineStr">
        <is>
          <t>RESP0084</t>
        </is>
      </c>
      <c r="C658" t="inlineStr">
        <is>
          <t>Stimulus</t>
        </is>
      </c>
      <c r="D658" t="inlineStr">
        <is>
          <t>foodwaste_visual</t>
        </is>
      </c>
      <c r="E658" t="n">
        <v>62</v>
      </c>
      <c r="F658" t="inlineStr">
        <is>
          <t>Joy</t>
        </is>
      </c>
      <c r="G658" t="n">
        <v>50</v>
      </c>
      <c r="H658" t="n">
        <v>17.2</v>
      </c>
      <c r="I658" t="n">
        <v>6</v>
      </c>
      <c r="J658" t="inlineStr">
        <is>
          <t>NA</t>
        </is>
      </c>
      <c r="K658" t="n">
        <v>99.09999999999999</v>
      </c>
    </row>
    <row r="659">
      <c r="A659" t="inlineStr">
        <is>
          <t>SIMULATED Food Waste Remote Study</t>
        </is>
      </c>
      <c r="B659" t="inlineStr">
        <is>
          <t>RESP0084</t>
        </is>
      </c>
      <c r="C659" t="inlineStr">
        <is>
          <t>Stimulus</t>
        </is>
      </c>
      <c r="D659" t="inlineStr">
        <is>
          <t>foodwaste_visual</t>
        </is>
      </c>
      <c r="E659" t="n">
        <v>62</v>
      </c>
      <c r="F659" t="inlineStr">
        <is>
          <t>Brow Furrow</t>
        </is>
      </c>
      <c r="G659" t="n">
        <v>50</v>
      </c>
      <c r="H659" t="n">
        <v>5.75</v>
      </c>
      <c r="I659" t="n">
        <v>1</v>
      </c>
      <c r="J659" t="inlineStr">
        <is>
          <t>NA</t>
        </is>
      </c>
      <c r="K659" t="n">
        <v>99.09999999999999</v>
      </c>
    </row>
    <row r="660">
      <c r="A660" t="inlineStr">
        <is>
          <t>SIMULATED Food Waste Remote Study</t>
        </is>
      </c>
      <c r="B660" t="inlineStr">
        <is>
          <t>RESP0084</t>
        </is>
      </c>
      <c r="C660" t="inlineStr">
        <is>
          <t>Stimulus</t>
        </is>
      </c>
      <c r="D660" t="inlineStr">
        <is>
          <t>foodwaste_visual</t>
        </is>
      </c>
      <c r="E660" t="n">
        <v>62</v>
      </c>
      <c r="F660" t="inlineStr">
        <is>
          <t>Positive Valence</t>
        </is>
      </c>
      <c r="G660" t="n">
        <v>50</v>
      </c>
      <c r="H660" t="n">
        <v>3.82</v>
      </c>
      <c r="I660" t="n">
        <v>4</v>
      </c>
      <c r="J660" t="inlineStr">
        <is>
          <t>NA</t>
        </is>
      </c>
      <c r="K660" t="n">
        <v>99.09999999999999</v>
      </c>
    </row>
    <row r="661">
      <c r="A661" t="inlineStr">
        <is>
          <t>SIMULATED Food Waste Remote Study</t>
        </is>
      </c>
      <c r="B661" t="inlineStr">
        <is>
          <t>RESP0084</t>
        </is>
      </c>
      <c r="C661" t="inlineStr">
        <is>
          <t>Stimulus</t>
        </is>
      </c>
      <c r="D661" t="inlineStr">
        <is>
          <t>foodwaste_visual</t>
        </is>
      </c>
      <c r="E661" t="n">
        <v>62</v>
      </c>
      <c r="F661" t="inlineStr">
        <is>
          <t>Negative Valence</t>
        </is>
      </c>
      <c r="G661" t="n">
        <v>-50</v>
      </c>
      <c r="H661" t="n">
        <v>0.43</v>
      </c>
      <c r="I661" t="n">
        <v>1</v>
      </c>
      <c r="J661" t="inlineStr">
        <is>
          <t>NA</t>
        </is>
      </c>
      <c r="K661" t="n">
        <v>99.09999999999999</v>
      </c>
    </row>
    <row r="662">
      <c r="A662" t="inlineStr">
        <is>
          <t>SIMULATED Food Waste Remote Study</t>
        </is>
      </c>
      <c r="B662" t="inlineStr">
        <is>
          <t>RESP0085</t>
        </is>
      </c>
      <c r="C662" t="inlineStr">
        <is>
          <t>Stimulus</t>
        </is>
      </c>
      <c r="D662" t="inlineStr">
        <is>
          <t>foodwaste_narrative</t>
        </is>
      </c>
      <c r="E662" t="n">
        <v>60</v>
      </c>
      <c r="F662" t="inlineStr">
        <is>
          <t>Engagement</t>
        </is>
      </c>
      <c r="G662" t="n">
        <v>50</v>
      </c>
      <c r="H662" t="n">
        <v>39.61</v>
      </c>
      <c r="I662" t="n">
        <v>11</v>
      </c>
      <c r="J662" t="inlineStr">
        <is>
          <t>NA</t>
        </is>
      </c>
      <c r="K662" t="n">
        <v>97.59999999999999</v>
      </c>
    </row>
    <row r="663">
      <c r="A663" t="inlineStr">
        <is>
          <t>SIMULATED Food Waste Remote Study</t>
        </is>
      </c>
      <c r="B663" t="inlineStr">
        <is>
          <t>RESP0085</t>
        </is>
      </c>
      <c r="C663" t="inlineStr">
        <is>
          <t>Stimulus</t>
        </is>
      </c>
      <c r="D663" t="inlineStr">
        <is>
          <t>foodwaste_narrative</t>
        </is>
      </c>
      <c r="E663" t="n">
        <v>60</v>
      </c>
      <c r="F663" t="inlineStr">
        <is>
          <t>Joy</t>
        </is>
      </c>
      <c r="G663" t="n">
        <v>50</v>
      </c>
      <c r="H663" t="n">
        <v>0.61</v>
      </c>
      <c r="I663" t="n">
        <v>2</v>
      </c>
      <c r="J663" t="inlineStr">
        <is>
          <t>NA</t>
        </is>
      </c>
      <c r="K663" t="n">
        <v>97.59999999999999</v>
      </c>
    </row>
    <row r="664">
      <c r="A664" t="inlineStr">
        <is>
          <t>SIMULATED Food Waste Remote Study</t>
        </is>
      </c>
      <c r="B664" t="inlineStr">
        <is>
          <t>RESP0085</t>
        </is>
      </c>
      <c r="C664" t="inlineStr">
        <is>
          <t>Stimulus</t>
        </is>
      </c>
      <c r="D664" t="inlineStr">
        <is>
          <t>foodwaste_narrative</t>
        </is>
      </c>
      <c r="E664" t="n">
        <v>60</v>
      </c>
      <c r="F664" t="inlineStr">
        <is>
          <t>Brow Furrow</t>
        </is>
      </c>
      <c r="G664" t="n">
        <v>50</v>
      </c>
      <c r="H664" t="n">
        <v>4.78</v>
      </c>
      <c r="I664" t="n">
        <v>1</v>
      </c>
      <c r="J664" t="inlineStr">
        <is>
          <t>NA</t>
        </is>
      </c>
      <c r="K664" t="n">
        <v>97.59999999999999</v>
      </c>
    </row>
    <row r="665">
      <c r="A665" t="inlineStr">
        <is>
          <t>SIMULATED Food Waste Remote Study</t>
        </is>
      </c>
      <c r="B665" t="inlineStr">
        <is>
          <t>RESP0085</t>
        </is>
      </c>
      <c r="C665" t="inlineStr">
        <is>
          <t>Stimulus</t>
        </is>
      </c>
      <c r="D665" t="inlineStr">
        <is>
          <t>foodwaste_narrative</t>
        </is>
      </c>
      <c r="E665" t="n">
        <v>60</v>
      </c>
      <c r="F665" t="inlineStr">
        <is>
          <t>Positive Valence</t>
        </is>
      </c>
      <c r="G665" t="n">
        <v>50</v>
      </c>
      <c r="H665" t="n">
        <v>0</v>
      </c>
      <c r="I665" t="n">
        <v>0</v>
      </c>
      <c r="J665" t="inlineStr">
        <is>
          <t>NA</t>
        </is>
      </c>
      <c r="K665" t="n">
        <v>97.59999999999999</v>
      </c>
    </row>
    <row r="666">
      <c r="A666" t="inlineStr">
        <is>
          <t>SIMULATED Food Waste Remote Study</t>
        </is>
      </c>
      <c r="B666" t="inlineStr">
        <is>
          <t>RESP0085</t>
        </is>
      </c>
      <c r="C666" t="inlineStr">
        <is>
          <t>Stimulus</t>
        </is>
      </c>
      <c r="D666" t="inlineStr">
        <is>
          <t>foodwaste_narrative</t>
        </is>
      </c>
      <c r="E666" t="n">
        <v>60</v>
      </c>
      <c r="F666" t="inlineStr">
        <is>
          <t>Negative Valence</t>
        </is>
      </c>
      <c r="G666" t="n">
        <v>-50</v>
      </c>
      <c r="H666" t="n">
        <v>0.06</v>
      </c>
      <c r="I666" t="n">
        <v>1</v>
      </c>
      <c r="J666" t="inlineStr">
        <is>
          <t>NA</t>
        </is>
      </c>
      <c r="K666" t="n">
        <v>97.59999999999999</v>
      </c>
    </row>
    <row r="667">
      <c r="A667" t="inlineStr">
        <is>
          <t>SIMULATED Food Waste Remote Study</t>
        </is>
      </c>
      <c r="B667" t="inlineStr">
        <is>
          <t>RESP0085</t>
        </is>
      </c>
      <c r="C667" t="inlineStr">
        <is>
          <t>Stimulus</t>
        </is>
      </c>
      <c r="D667" t="inlineStr">
        <is>
          <t>foodwaste_visual</t>
        </is>
      </c>
      <c r="E667" t="n">
        <v>62</v>
      </c>
      <c r="F667" t="inlineStr">
        <is>
          <t>Engagement</t>
        </is>
      </c>
      <c r="G667" t="n">
        <v>50</v>
      </c>
      <c r="H667" t="n">
        <v>91.34</v>
      </c>
      <c r="I667" t="n">
        <v>26</v>
      </c>
      <c r="J667" t="inlineStr">
        <is>
          <t>NA</t>
        </is>
      </c>
      <c r="K667" t="n">
        <v>98.40000000000001</v>
      </c>
    </row>
    <row r="668">
      <c r="A668" t="inlineStr">
        <is>
          <t>SIMULATED Food Waste Remote Study</t>
        </is>
      </c>
      <c r="B668" t="inlineStr">
        <is>
          <t>RESP0085</t>
        </is>
      </c>
      <c r="C668" t="inlineStr">
        <is>
          <t>Stimulus</t>
        </is>
      </c>
      <c r="D668" t="inlineStr">
        <is>
          <t>foodwaste_visual</t>
        </is>
      </c>
      <c r="E668" t="n">
        <v>62</v>
      </c>
      <c r="F668" t="inlineStr">
        <is>
          <t>Joy</t>
        </is>
      </c>
      <c r="G668" t="n">
        <v>50</v>
      </c>
      <c r="H668" t="n">
        <v>0.48</v>
      </c>
      <c r="I668" t="n">
        <v>2</v>
      </c>
      <c r="J668" t="inlineStr">
        <is>
          <t>NA</t>
        </is>
      </c>
      <c r="K668" t="n">
        <v>98.40000000000001</v>
      </c>
    </row>
    <row r="669">
      <c r="A669" t="inlineStr">
        <is>
          <t>SIMULATED Food Waste Remote Study</t>
        </is>
      </c>
      <c r="B669" t="inlineStr">
        <is>
          <t>RESP0085</t>
        </is>
      </c>
      <c r="C669" t="inlineStr">
        <is>
          <t>Stimulus</t>
        </is>
      </c>
      <c r="D669" t="inlineStr">
        <is>
          <t>foodwaste_visual</t>
        </is>
      </c>
      <c r="E669" t="n">
        <v>62</v>
      </c>
      <c r="F669" t="inlineStr">
        <is>
          <t>Brow Furrow</t>
        </is>
      </c>
      <c r="G669" t="n">
        <v>50</v>
      </c>
      <c r="H669" t="n">
        <v>14.84</v>
      </c>
      <c r="I669" t="n">
        <v>5</v>
      </c>
      <c r="J669" t="inlineStr">
        <is>
          <t>NA</t>
        </is>
      </c>
      <c r="K669" t="n">
        <v>98.40000000000001</v>
      </c>
    </row>
    <row r="670">
      <c r="A670" t="inlineStr">
        <is>
          <t>SIMULATED Food Waste Remote Study</t>
        </is>
      </c>
      <c r="B670" t="inlineStr">
        <is>
          <t>RESP0085</t>
        </is>
      </c>
      <c r="C670" t="inlineStr">
        <is>
          <t>Stimulus</t>
        </is>
      </c>
      <c r="D670" t="inlineStr">
        <is>
          <t>foodwaste_visual</t>
        </is>
      </c>
      <c r="E670" t="n">
        <v>62</v>
      </c>
      <c r="F670" t="inlineStr">
        <is>
          <t>Positive Valence</t>
        </is>
      </c>
      <c r="G670" t="n">
        <v>50</v>
      </c>
      <c r="H670" t="n">
        <v>2.2</v>
      </c>
      <c r="I670" t="n">
        <v>2</v>
      </c>
      <c r="J670" t="inlineStr">
        <is>
          <t>NA</t>
        </is>
      </c>
      <c r="K670" t="n">
        <v>98.40000000000001</v>
      </c>
    </row>
    <row r="671">
      <c r="A671" t="inlineStr">
        <is>
          <t>SIMULATED Food Waste Remote Study</t>
        </is>
      </c>
      <c r="B671" t="inlineStr">
        <is>
          <t>RESP0085</t>
        </is>
      </c>
      <c r="C671" t="inlineStr">
        <is>
          <t>Stimulus</t>
        </is>
      </c>
      <c r="D671" t="inlineStr">
        <is>
          <t>foodwaste_visual</t>
        </is>
      </c>
      <c r="E671" t="n">
        <v>62</v>
      </c>
      <c r="F671" t="inlineStr">
        <is>
          <t>Negative Valence</t>
        </is>
      </c>
      <c r="G671" t="n">
        <v>-50</v>
      </c>
      <c r="H671" t="n">
        <v>21.61</v>
      </c>
      <c r="I671" t="n">
        <v>10</v>
      </c>
      <c r="J671" t="inlineStr">
        <is>
          <t>NA</t>
        </is>
      </c>
      <c r="K671" t="n">
        <v>98.40000000000001</v>
      </c>
    </row>
    <row r="672">
      <c r="A672" t="inlineStr">
        <is>
          <t>SIMULATED Food Waste Remote Study</t>
        </is>
      </c>
      <c r="B672" t="inlineStr">
        <is>
          <t>RESP0088</t>
        </is>
      </c>
      <c r="C672" t="inlineStr">
        <is>
          <t>Stimulus</t>
        </is>
      </c>
      <c r="D672" t="inlineStr">
        <is>
          <t>foodwaste_narrative</t>
        </is>
      </c>
      <c r="E672" t="n">
        <v>60</v>
      </c>
      <c r="F672" t="inlineStr">
        <is>
          <t>Engagement</t>
        </is>
      </c>
      <c r="G672" t="n">
        <v>50</v>
      </c>
      <c r="H672" t="n">
        <v>0</v>
      </c>
      <c r="I672" t="n">
        <v>0</v>
      </c>
      <c r="J672" t="inlineStr">
        <is>
          <t>NA</t>
        </is>
      </c>
      <c r="K672" t="n">
        <v>89.59999999999999</v>
      </c>
    </row>
    <row r="673">
      <c r="A673" t="inlineStr">
        <is>
          <t>SIMULATED Food Waste Remote Study</t>
        </is>
      </c>
      <c r="B673" t="inlineStr">
        <is>
          <t>RESP0088</t>
        </is>
      </c>
      <c r="C673" t="inlineStr">
        <is>
          <t>Stimulus</t>
        </is>
      </c>
      <c r="D673" t="inlineStr">
        <is>
          <t>foodwaste_narrative</t>
        </is>
      </c>
      <c r="E673" t="n">
        <v>60</v>
      </c>
      <c r="F673" t="inlineStr">
        <is>
          <t>Joy</t>
        </is>
      </c>
      <c r="G673" t="n">
        <v>50</v>
      </c>
      <c r="H673" t="n">
        <v>6.56</v>
      </c>
      <c r="I673" t="n">
        <v>2</v>
      </c>
      <c r="J673" t="inlineStr">
        <is>
          <t>NA</t>
        </is>
      </c>
      <c r="K673" t="n">
        <v>89.59999999999999</v>
      </c>
    </row>
    <row r="674">
      <c r="A674" t="inlineStr">
        <is>
          <t>SIMULATED Food Waste Remote Study</t>
        </is>
      </c>
      <c r="B674" t="inlineStr">
        <is>
          <t>RESP0088</t>
        </is>
      </c>
      <c r="C674" t="inlineStr">
        <is>
          <t>Stimulus</t>
        </is>
      </c>
      <c r="D674" t="inlineStr">
        <is>
          <t>foodwaste_narrative</t>
        </is>
      </c>
      <c r="E674" t="n">
        <v>60</v>
      </c>
      <c r="F674" t="inlineStr">
        <is>
          <t>Brow Furrow</t>
        </is>
      </c>
      <c r="G674" t="n">
        <v>50</v>
      </c>
      <c r="H674" t="n">
        <v>2.56</v>
      </c>
      <c r="I674" t="n">
        <v>1</v>
      </c>
      <c r="J674" t="inlineStr">
        <is>
          <t>NA</t>
        </is>
      </c>
      <c r="K674" t="n">
        <v>89.59999999999999</v>
      </c>
    </row>
    <row r="675">
      <c r="A675" t="inlineStr">
        <is>
          <t>SIMULATED Food Waste Remote Study</t>
        </is>
      </c>
      <c r="B675" t="inlineStr">
        <is>
          <t>RESP0088</t>
        </is>
      </c>
      <c r="C675" t="inlineStr">
        <is>
          <t>Stimulus</t>
        </is>
      </c>
      <c r="D675" t="inlineStr">
        <is>
          <t>foodwaste_narrative</t>
        </is>
      </c>
      <c r="E675" t="n">
        <v>60</v>
      </c>
      <c r="F675" t="inlineStr">
        <is>
          <t>Positive Valence</t>
        </is>
      </c>
      <c r="G675" t="n">
        <v>50</v>
      </c>
      <c r="H675" t="n">
        <v>1.5</v>
      </c>
      <c r="I675" t="n">
        <v>1</v>
      </c>
      <c r="J675" t="inlineStr">
        <is>
          <t>NA</t>
        </is>
      </c>
      <c r="K675" t="n">
        <v>89.59999999999999</v>
      </c>
    </row>
    <row r="676">
      <c r="A676" t="inlineStr">
        <is>
          <t>SIMULATED Food Waste Remote Study</t>
        </is>
      </c>
      <c r="B676" t="inlineStr">
        <is>
          <t>RESP0088</t>
        </is>
      </c>
      <c r="C676" t="inlineStr">
        <is>
          <t>Stimulus</t>
        </is>
      </c>
      <c r="D676" t="inlineStr">
        <is>
          <t>foodwaste_narrative</t>
        </is>
      </c>
      <c r="E676" t="n">
        <v>60</v>
      </c>
      <c r="F676" t="inlineStr">
        <is>
          <t>Negative Valence</t>
        </is>
      </c>
      <c r="G676" t="n">
        <v>-50</v>
      </c>
      <c r="H676" t="n">
        <v>0</v>
      </c>
      <c r="I676" t="n">
        <v>0</v>
      </c>
      <c r="J676" t="inlineStr">
        <is>
          <t>NA</t>
        </is>
      </c>
      <c r="K676" t="n">
        <v>89.59999999999999</v>
      </c>
    </row>
    <row r="677">
      <c r="A677" t="inlineStr">
        <is>
          <t>SIMULATED Food Waste Remote Study</t>
        </is>
      </c>
      <c r="B677" t="inlineStr">
        <is>
          <t>RESP0088</t>
        </is>
      </c>
      <c r="C677" t="inlineStr">
        <is>
          <t>Stimulus</t>
        </is>
      </c>
      <c r="D677" t="inlineStr">
        <is>
          <t>foodwaste_visual</t>
        </is>
      </c>
      <c r="E677" t="n">
        <v>62</v>
      </c>
      <c r="F677" t="inlineStr">
        <is>
          <t>Engagement</t>
        </is>
      </c>
      <c r="G677" t="n">
        <v>50</v>
      </c>
      <c r="H677" t="n">
        <v>65</v>
      </c>
      <c r="I677" t="n">
        <v>7</v>
      </c>
      <c r="J677" t="inlineStr">
        <is>
          <t>NA</t>
        </is>
      </c>
      <c r="K677" t="n">
        <v>85.2</v>
      </c>
    </row>
    <row r="678">
      <c r="A678" t="inlineStr">
        <is>
          <t>SIMULATED Food Waste Remote Study</t>
        </is>
      </c>
      <c r="B678" t="inlineStr">
        <is>
          <t>RESP0088</t>
        </is>
      </c>
      <c r="C678" t="inlineStr">
        <is>
          <t>Stimulus</t>
        </is>
      </c>
      <c r="D678" t="inlineStr">
        <is>
          <t>foodwaste_visual</t>
        </is>
      </c>
      <c r="E678" t="n">
        <v>62</v>
      </c>
      <c r="F678" t="inlineStr">
        <is>
          <t>Joy</t>
        </is>
      </c>
      <c r="G678" t="n">
        <v>50</v>
      </c>
      <c r="H678" t="n">
        <v>0.86</v>
      </c>
      <c r="I678" t="n">
        <v>1</v>
      </c>
      <c r="J678" t="inlineStr">
        <is>
          <t>NA</t>
        </is>
      </c>
      <c r="K678" t="n">
        <v>85.2</v>
      </c>
    </row>
    <row r="679">
      <c r="A679" t="inlineStr">
        <is>
          <t>SIMULATED Food Waste Remote Study</t>
        </is>
      </c>
      <c r="B679" t="inlineStr">
        <is>
          <t>RESP0088</t>
        </is>
      </c>
      <c r="C679" t="inlineStr">
        <is>
          <t>Stimulus</t>
        </is>
      </c>
      <c r="D679" t="inlineStr">
        <is>
          <t>foodwaste_visual</t>
        </is>
      </c>
      <c r="E679" t="n">
        <v>62</v>
      </c>
      <c r="F679" t="inlineStr">
        <is>
          <t>Brow Furrow</t>
        </is>
      </c>
      <c r="G679" t="n">
        <v>50</v>
      </c>
      <c r="H679" t="n">
        <v>10</v>
      </c>
      <c r="I679" t="n">
        <v>1</v>
      </c>
      <c r="J679" t="inlineStr">
        <is>
          <t>NA</t>
        </is>
      </c>
      <c r="K679" t="n">
        <v>85.2</v>
      </c>
    </row>
    <row r="680">
      <c r="A680" t="inlineStr">
        <is>
          <t>SIMULATED Food Waste Remote Study</t>
        </is>
      </c>
      <c r="B680" t="inlineStr">
        <is>
          <t>RESP0088</t>
        </is>
      </c>
      <c r="C680" t="inlineStr">
        <is>
          <t>Stimulus</t>
        </is>
      </c>
      <c r="D680" t="inlineStr">
        <is>
          <t>foodwaste_visual</t>
        </is>
      </c>
      <c r="E680" t="n">
        <v>62</v>
      </c>
      <c r="F680" t="inlineStr">
        <is>
          <t>Positive Valence</t>
        </is>
      </c>
      <c r="G680" t="n">
        <v>50</v>
      </c>
      <c r="H680" t="n">
        <v>0</v>
      </c>
      <c r="I680" t="n">
        <v>0</v>
      </c>
      <c r="J680" t="inlineStr">
        <is>
          <t>NA</t>
        </is>
      </c>
      <c r="K680" t="n">
        <v>85.2</v>
      </c>
    </row>
    <row r="681">
      <c r="A681" t="inlineStr">
        <is>
          <t>SIMULATED Food Waste Remote Study</t>
        </is>
      </c>
      <c r="B681" t="inlineStr">
        <is>
          <t>RESP0088</t>
        </is>
      </c>
      <c r="C681" t="inlineStr">
        <is>
          <t>Stimulus</t>
        </is>
      </c>
      <c r="D681" t="inlineStr">
        <is>
          <t>foodwaste_visual</t>
        </is>
      </c>
      <c r="E681" t="n">
        <v>62</v>
      </c>
      <c r="F681" t="inlineStr">
        <is>
          <t>Negative Valence</t>
        </is>
      </c>
      <c r="G681" t="n">
        <v>-50</v>
      </c>
      <c r="H681" t="n">
        <v>0.7</v>
      </c>
      <c r="I681" t="n">
        <v>1</v>
      </c>
      <c r="J681" t="inlineStr">
        <is>
          <t>NA</t>
        </is>
      </c>
      <c r="K681" t="n">
        <v>85.2</v>
      </c>
    </row>
    <row r="682">
      <c r="A682" t="inlineStr">
        <is>
          <t>SIMULATED Food Waste Remote Study</t>
        </is>
      </c>
      <c r="B682" t="inlineStr">
        <is>
          <t>RESP0090</t>
        </is>
      </c>
      <c r="C682" t="inlineStr">
        <is>
          <t>Stimulus</t>
        </is>
      </c>
      <c r="D682" t="inlineStr">
        <is>
          <t>foodwaste_narrative</t>
        </is>
      </c>
      <c r="E682" t="n">
        <v>60</v>
      </c>
      <c r="F682" t="inlineStr">
        <is>
          <t>Engagement</t>
        </is>
      </c>
      <c r="G682" t="n">
        <v>50</v>
      </c>
      <c r="H682" t="n">
        <v>0</v>
      </c>
      <c r="I682" t="n">
        <v>0</v>
      </c>
      <c r="J682" t="inlineStr">
        <is>
          <t>NA</t>
        </is>
      </c>
      <c r="K682" t="n">
        <v>98.2</v>
      </c>
    </row>
    <row r="683">
      <c r="A683" t="inlineStr">
        <is>
          <t>SIMULATED Food Waste Remote Study</t>
        </is>
      </c>
      <c r="B683" t="inlineStr">
        <is>
          <t>RESP0090</t>
        </is>
      </c>
      <c r="C683" t="inlineStr">
        <is>
          <t>Stimulus</t>
        </is>
      </c>
      <c r="D683" t="inlineStr">
        <is>
          <t>foodwaste_narrative</t>
        </is>
      </c>
      <c r="E683" t="n">
        <v>60</v>
      </c>
      <c r="F683" t="inlineStr">
        <is>
          <t>Joy</t>
        </is>
      </c>
      <c r="G683" t="n">
        <v>50</v>
      </c>
      <c r="H683" t="n">
        <v>0</v>
      </c>
      <c r="I683" t="n">
        <v>0</v>
      </c>
      <c r="J683" t="inlineStr">
        <is>
          <t>NA</t>
        </is>
      </c>
      <c r="K683" t="n">
        <v>98.2</v>
      </c>
    </row>
    <row r="684">
      <c r="A684" t="inlineStr">
        <is>
          <t>SIMULATED Food Waste Remote Study</t>
        </is>
      </c>
      <c r="B684" t="inlineStr">
        <is>
          <t>RESP0090</t>
        </is>
      </c>
      <c r="C684" t="inlineStr">
        <is>
          <t>Stimulus</t>
        </is>
      </c>
      <c r="D684" t="inlineStr">
        <is>
          <t>foodwaste_narrative</t>
        </is>
      </c>
      <c r="E684" t="n">
        <v>60</v>
      </c>
      <c r="F684" t="inlineStr">
        <is>
          <t>Brow Furrow</t>
        </is>
      </c>
      <c r="G684" t="n">
        <v>50</v>
      </c>
      <c r="H684" t="n">
        <v>0</v>
      </c>
      <c r="I684" t="n">
        <v>0</v>
      </c>
      <c r="J684" t="inlineStr">
        <is>
          <t>NA</t>
        </is>
      </c>
      <c r="K684" t="n">
        <v>98.2</v>
      </c>
    </row>
    <row r="685">
      <c r="A685" t="inlineStr">
        <is>
          <t>SIMULATED Food Waste Remote Study</t>
        </is>
      </c>
      <c r="B685" t="inlineStr">
        <is>
          <t>RESP0090</t>
        </is>
      </c>
      <c r="C685" t="inlineStr">
        <is>
          <t>Stimulus</t>
        </is>
      </c>
      <c r="D685" t="inlineStr">
        <is>
          <t>foodwaste_narrative</t>
        </is>
      </c>
      <c r="E685" t="n">
        <v>60</v>
      </c>
      <c r="F685" t="inlineStr">
        <is>
          <t>Positive Valence</t>
        </is>
      </c>
      <c r="G685" t="n">
        <v>50</v>
      </c>
      <c r="H685" t="n">
        <v>3.56</v>
      </c>
      <c r="I685" t="n">
        <v>1</v>
      </c>
      <c r="J685" t="inlineStr">
        <is>
          <t>NA</t>
        </is>
      </c>
      <c r="K685" t="n">
        <v>98.2</v>
      </c>
    </row>
    <row r="686">
      <c r="A686" t="inlineStr">
        <is>
          <t>SIMULATED Food Waste Remote Study</t>
        </is>
      </c>
      <c r="B686" t="inlineStr">
        <is>
          <t>RESP0090</t>
        </is>
      </c>
      <c r="C686" t="inlineStr">
        <is>
          <t>Stimulus</t>
        </is>
      </c>
      <c r="D686" t="inlineStr">
        <is>
          <t>foodwaste_narrative</t>
        </is>
      </c>
      <c r="E686" t="n">
        <v>60</v>
      </c>
      <c r="F686" t="inlineStr">
        <is>
          <t>Negative Valence</t>
        </is>
      </c>
      <c r="G686" t="n">
        <v>-50</v>
      </c>
      <c r="H686" t="n">
        <v>0</v>
      </c>
      <c r="I686" t="n">
        <v>0</v>
      </c>
      <c r="J686" t="inlineStr">
        <is>
          <t>NA</t>
        </is>
      </c>
      <c r="K686" t="n">
        <v>98.2</v>
      </c>
    </row>
    <row r="687">
      <c r="A687" t="inlineStr">
        <is>
          <t>SIMULATED Food Waste Remote Study</t>
        </is>
      </c>
      <c r="B687" t="inlineStr">
        <is>
          <t>RESP0090</t>
        </is>
      </c>
      <c r="C687" t="inlineStr">
        <is>
          <t>Stimulus</t>
        </is>
      </c>
      <c r="D687" t="inlineStr">
        <is>
          <t>foodwaste_visual</t>
        </is>
      </c>
      <c r="E687" t="n">
        <v>62</v>
      </c>
      <c r="F687" t="inlineStr">
        <is>
          <t>Engagement</t>
        </is>
      </c>
      <c r="G687" t="n">
        <v>50</v>
      </c>
      <c r="H687" t="n">
        <v>23.6</v>
      </c>
      <c r="I687" t="n">
        <v>3</v>
      </c>
      <c r="J687" t="inlineStr">
        <is>
          <t>NA</t>
        </is>
      </c>
      <c r="K687" t="n">
        <v>98.7</v>
      </c>
    </row>
    <row r="688">
      <c r="A688" t="inlineStr">
        <is>
          <t>SIMULATED Food Waste Remote Study</t>
        </is>
      </c>
      <c r="B688" t="inlineStr">
        <is>
          <t>RESP0090</t>
        </is>
      </c>
      <c r="C688" t="inlineStr">
        <is>
          <t>Stimulus</t>
        </is>
      </c>
      <c r="D688" t="inlineStr">
        <is>
          <t>foodwaste_visual</t>
        </is>
      </c>
      <c r="E688" t="n">
        <v>62</v>
      </c>
      <c r="F688" t="inlineStr">
        <is>
          <t>Joy</t>
        </is>
      </c>
      <c r="G688" t="n">
        <v>50</v>
      </c>
      <c r="H688" t="n">
        <v>0</v>
      </c>
      <c r="I688" t="n">
        <v>0</v>
      </c>
      <c r="J688" t="inlineStr">
        <is>
          <t>NA</t>
        </is>
      </c>
      <c r="K688" t="n">
        <v>98.7</v>
      </c>
    </row>
    <row r="689">
      <c r="A689" t="inlineStr">
        <is>
          <t>SIMULATED Food Waste Remote Study</t>
        </is>
      </c>
      <c r="B689" t="inlineStr">
        <is>
          <t>RESP0090</t>
        </is>
      </c>
      <c r="C689" t="inlineStr">
        <is>
          <t>Stimulus</t>
        </is>
      </c>
      <c r="D689" t="inlineStr">
        <is>
          <t>foodwaste_visual</t>
        </is>
      </c>
      <c r="E689" t="n">
        <v>62</v>
      </c>
      <c r="F689" t="inlineStr">
        <is>
          <t>Brow Furrow</t>
        </is>
      </c>
      <c r="G689" t="n">
        <v>50</v>
      </c>
      <c r="H689" t="n">
        <v>11.13</v>
      </c>
      <c r="I689" t="n">
        <v>3</v>
      </c>
      <c r="J689" t="inlineStr">
        <is>
          <t>NA</t>
        </is>
      </c>
      <c r="K689" t="n">
        <v>98.7</v>
      </c>
    </row>
    <row r="690">
      <c r="A690" t="inlineStr">
        <is>
          <t>SIMULATED Food Waste Remote Study</t>
        </is>
      </c>
      <c r="B690" t="inlineStr">
        <is>
          <t>RESP0090</t>
        </is>
      </c>
      <c r="C690" t="inlineStr">
        <is>
          <t>Stimulus</t>
        </is>
      </c>
      <c r="D690" t="inlineStr">
        <is>
          <t>foodwaste_visual</t>
        </is>
      </c>
      <c r="E690" t="n">
        <v>62</v>
      </c>
      <c r="F690" t="inlineStr">
        <is>
          <t>Positive Valence</t>
        </is>
      </c>
      <c r="G690" t="n">
        <v>50</v>
      </c>
      <c r="H690" t="n">
        <v>0</v>
      </c>
      <c r="I690" t="n">
        <v>0</v>
      </c>
      <c r="J690" t="inlineStr">
        <is>
          <t>NA</t>
        </is>
      </c>
      <c r="K690" t="n">
        <v>98.7</v>
      </c>
    </row>
    <row r="691">
      <c r="A691" t="inlineStr">
        <is>
          <t>SIMULATED Food Waste Remote Study</t>
        </is>
      </c>
      <c r="B691" t="inlineStr">
        <is>
          <t>RESP0090</t>
        </is>
      </c>
      <c r="C691" t="inlineStr">
        <is>
          <t>Stimulus</t>
        </is>
      </c>
      <c r="D691" t="inlineStr">
        <is>
          <t>foodwaste_visual</t>
        </is>
      </c>
      <c r="E691" t="n">
        <v>62</v>
      </c>
      <c r="F691" t="inlineStr">
        <is>
          <t>Negative Valence</t>
        </is>
      </c>
      <c r="G691" t="n">
        <v>-50</v>
      </c>
      <c r="H691" t="n">
        <v>3.33</v>
      </c>
      <c r="I691" t="n">
        <v>2</v>
      </c>
      <c r="J691" t="inlineStr">
        <is>
          <t>NA</t>
        </is>
      </c>
      <c r="K691" t="n">
        <v>98.7</v>
      </c>
    </row>
    <row r="692">
      <c r="A692" t="inlineStr">
        <is>
          <t>SIMULATED Food Waste Remote Study</t>
        </is>
      </c>
      <c r="B692" t="inlineStr">
        <is>
          <t>RESP0093</t>
        </is>
      </c>
      <c r="C692" t="inlineStr">
        <is>
          <t>Stimulus</t>
        </is>
      </c>
      <c r="D692" t="inlineStr">
        <is>
          <t>foodwaste_narrative</t>
        </is>
      </c>
      <c r="E692" t="n">
        <v>60</v>
      </c>
      <c r="F692" t="inlineStr">
        <is>
          <t>Engagement</t>
        </is>
      </c>
      <c r="G692" t="n">
        <v>50</v>
      </c>
      <c r="H692" t="n">
        <v>0</v>
      </c>
      <c r="I692" t="n">
        <v>0</v>
      </c>
      <c r="J692" t="inlineStr">
        <is>
          <t>NA</t>
        </is>
      </c>
      <c r="K692" t="n">
        <v>98.90000000000001</v>
      </c>
    </row>
    <row r="693">
      <c r="A693" t="inlineStr">
        <is>
          <t>SIMULATED Food Waste Remote Study</t>
        </is>
      </c>
      <c r="B693" t="inlineStr">
        <is>
          <t>RESP0093</t>
        </is>
      </c>
      <c r="C693" t="inlineStr">
        <is>
          <t>Stimulus</t>
        </is>
      </c>
      <c r="D693" t="inlineStr">
        <is>
          <t>foodwaste_narrative</t>
        </is>
      </c>
      <c r="E693" t="n">
        <v>60</v>
      </c>
      <c r="F693" t="inlineStr">
        <is>
          <t>Joy</t>
        </is>
      </c>
      <c r="G693" t="n">
        <v>50</v>
      </c>
      <c r="H693" t="n">
        <v>0</v>
      </c>
      <c r="I693" t="n">
        <v>0</v>
      </c>
      <c r="J693" t="inlineStr">
        <is>
          <t>NA</t>
        </is>
      </c>
      <c r="K693" t="n">
        <v>98.90000000000001</v>
      </c>
    </row>
    <row r="694">
      <c r="A694" t="inlineStr">
        <is>
          <t>SIMULATED Food Waste Remote Study</t>
        </is>
      </c>
      <c r="B694" t="inlineStr">
        <is>
          <t>RESP0093</t>
        </is>
      </c>
      <c r="C694" t="inlineStr">
        <is>
          <t>Stimulus</t>
        </is>
      </c>
      <c r="D694" t="inlineStr">
        <is>
          <t>foodwaste_narrative</t>
        </is>
      </c>
      <c r="E694" t="n">
        <v>60</v>
      </c>
      <c r="F694" t="inlineStr">
        <is>
          <t>Brow Furrow</t>
        </is>
      </c>
      <c r="G694" t="n">
        <v>50</v>
      </c>
      <c r="H694" t="n">
        <v>0</v>
      </c>
      <c r="I694" t="n">
        <v>0</v>
      </c>
      <c r="J694" t="inlineStr">
        <is>
          <t>NA</t>
        </is>
      </c>
      <c r="K694" t="n">
        <v>98.90000000000001</v>
      </c>
    </row>
    <row r="695">
      <c r="A695" t="inlineStr">
        <is>
          <t>SIMULATED Food Waste Remote Study</t>
        </is>
      </c>
      <c r="B695" t="inlineStr">
        <is>
          <t>RESP0093</t>
        </is>
      </c>
      <c r="C695" t="inlineStr">
        <is>
          <t>Stimulus</t>
        </is>
      </c>
      <c r="D695" t="inlineStr">
        <is>
          <t>foodwaste_narrative</t>
        </is>
      </c>
      <c r="E695" t="n">
        <v>60</v>
      </c>
      <c r="F695" t="inlineStr">
        <is>
          <t>Positive Valence</t>
        </is>
      </c>
      <c r="G695" t="n">
        <v>50</v>
      </c>
      <c r="H695" t="n">
        <v>0</v>
      </c>
      <c r="I695" t="n">
        <v>0</v>
      </c>
      <c r="J695" t="inlineStr">
        <is>
          <t>NA</t>
        </is>
      </c>
      <c r="K695" t="n">
        <v>98.90000000000001</v>
      </c>
    </row>
    <row r="696">
      <c r="A696" t="inlineStr">
        <is>
          <t>SIMULATED Food Waste Remote Study</t>
        </is>
      </c>
      <c r="B696" t="inlineStr">
        <is>
          <t>RESP0093</t>
        </is>
      </c>
      <c r="C696" t="inlineStr">
        <is>
          <t>Stimulus</t>
        </is>
      </c>
      <c r="D696" t="inlineStr">
        <is>
          <t>foodwaste_narrative</t>
        </is>
      </c>
      <c r="E696" t="n">
        <v>60</v>
      </c>
      <c r="F696" t="inlineStr">
        <is>
          <t>Negative Valence</t>
        </is>
      </c>
      <c r="G696" t="n">
        <v>-50</v>
      </c>
      <c r="H696" t="n">
        <v>0</v>
      </c>
      <c r="I696" t="n">
        <v>0</v>
      </c>
      <c r="J696" t="inlineStr">
        <is>
          <t>NA</t>
        </is>
      </c>
      <c r="K696" t="n">
        <v>98.90000000000001</v>
      </c>
    </row>
    <row r="697">
      <c r="A697" t="inlineStr">
        <is>
          <t>SIMULATED Food Waste Remote Study</t>
        </is>
      </c>
      <c r="B697" t="inlineStr">
        <is>
          <t>RESP0093</t>
        </is>
      </c>
      <c r="C697" t="inlineStr">
        <is>
          <t>Stimulus</t>
        </is>
      </c>
      <c r="D697" t="inlineStr">
        <is>
          <t>foodwaste_visual</t>
        </is>
      </c>
      <c r="E697" t="n">
        <v>62</v>
      </c>
      <c r="F697" t="inlineStr">
        <is>
          <t>Engagement</t>
        </is>
      </c>
      <c r="G697" t="n">
        <v>50</v>
      </c>
      <c r="H697" t="n">
        <v>40.32</v>
      </c>
      <c r="I697" t="n">
        <v>7</v>
      </c>
      <c r="J697" t="inlineStr">
        <is>
          <t>NA</t>
        </is>
      </c>
      <c r="K697" t="n">
        <v>99.2</v>
      </c>
    </row>
    <row r="698">
      <c r="A698" t="inlineStr">
        <is>
          <t>SIMULATED Food Waste Remote Study</t>
        </is>
      </c>
      <c r="B698" t="inlineStr">
        <is>
          <t>RESP0093</t>
        </is>
      </c>
      <c r="C698" t="inlineStr">
        <is>
          <t>Stimulus</t>
        </is>
      </c>
      <c r="D698" t="inlineStr">
        <is>
          <t>foodwaste_visual</t>
        </is>
      </c>
      <c r="E698" t="n">
        <v>62</v>
      </c>
      <c r="F698" t="inlineStr">
        <is>
          <t>Joy</t>
        </is>
      </c>
      <c r="G698" t="n">
        <v>50</v>
      </c>
      <c r="H698" t="n">
        <v>0.32</v>
      </c>
      <c r="I698" t="n">
        <v>1</v>
      </c>
      <c r="J698" t="inlineStr">
        <is>
          <t>NA</t>
        </is>
      </c>
      <c r="K698" t="n">
        <v>99.2</v>
      </c>
    </row>
    <row r="699">
      <c r="A699" t="inlineStr">
        <is>
          <t>SIMULATED Food Waste Remote Study</t>
        </is>
      </c>
      <c r="B699" t="inlineStr">
        <is>
          <t>RESP0093</t>
        </is>
      </c>
      <c r="C699" t="inlineStr">
        <is>
          <t>Stimulus</t>
        </is>
      </c>
      <c r="D699" t="inlineStr">
        <is>
          <t>foodwaste_visual</t>
        </is>
      </c>
      <c r="E699" t="n">
        <v>62</v>
      </c>
      <c r="F699" t="inlineStr">
        <is>
          <t>Brow Furrow</t>
        </is>
      </c>
      <c r="G699" t="n">
        <v>50</v>
      </c>
      <c r="H699" t="n">
        <v>0</v>
      </c>
      <c r="I699" t="n">
        <v>0</v>
      </c>
      <c r="J699" t="inlineStr">
        <is>
          <t>NA</t>
        </is>
      </c>
      <c r="K699" t="n">
        <v>99.2</v>
      </c>
    </row>
    <row r="700">
      <c r="A700" t="inlineStr">
        <is>
          <t>SIMULATED Food Waste Remote Study</t>
        </is>
      </c>
      <c r="B700" t="inlineStr">
        <is>
          <t>RESP0093</t>
        </is>
      </c>
      <c r="C700" t="inlineStr">
        <is>
          <t>Stimulus</t>
        </is>
      </c>
      <c r="D700" t="inlineStr">
        <is>
          <t>foodwaste_visual</t>
        </is>
      </c>
      <c r="E700" t="n">
        <v>62</v>
      </c>
      <c r="F700" t="inlineStr">
        <is>
          <t>Positive Valence</t>
        </is>
      </c>
      <c r="G700" t="n">
        <v>50</v>
      </c>
      <c r="H700" t="n">
        <v>0</v>
      </c>
      <c r="I700" t="n">
        <v>0</v>
      </c>
      <c r="J700" t="inlineStr">
        <is>
          <t>NA</t>
        </is>
      </c>
      <c r="K700" t="n">
        <v>99.2</v>
      </c>
    </row>
    <row r="701">
      <c r="A701" t="inlineStr">
        <is>
          <t>SIMULATED Food Waste Remote Study</t>
        </is>
      </c>
      <c r="B701" t="inlineStr">
        <is>
          <t>RESP0093</t>
        </is>
      </c>
      <c r="C701" t="inlineStr">
        <is>
          <t>Stimulus</t>
        </is>
      </c>
      <c r="D701" t="inlineStr">
        <is>
          <t>foodwaste_visual</t>
        </is>
      </c>
      <c r="E701" t="n">
        <v>62</v>
      </c>
      <c r="F701" t="inlineStr">
        <is>
          <t>Negative Valence</t>
        </is>
      </c>
      <c r="G701" t="n">
        <v>-50</v>
      </c>
      <c r="H701" t="n">
        <v>15.27</v>
      </c>
      <c r="I701" t="n">
        <v>5</v>
      </c>
      <c r="J701" t="inlineStr">
        <is>
          <t>NA</t>
        </is>
      </c>
      <c r="K701" t="n">
        <v>99.2</v>
      </c>
    </row>
    <row r="702">
      <c r="A702" t="inlineStr">
        <is>
          <t>SIMULATED Food Waste Remote Study</t>
        </is>
      </c>
      <c r="B702" t="inlineStr">
        <is>
          <t>RESP0094</t>
        </is>
      </c>
      <c r="C702" t="inlineStr">
        <is>
          <t>Stimulus</t>
        </is>
      </c>
      <c r="D702" t="inlineStr">
        <is>
          <t>foodwaste_narrative</t>
        </is>
      </c>
      <c r="E702" t="n">
        <v>60</v>
      </c>
      <c r="F702" t="inlineStr">
        <is>
          <t>Engagement</t>
        </is>
      </c>
      <c r="G702" t="n">
        <v>50</v>
      </c>
      <c r="H702" t="n">
        <v>15.83</v>
      </c>
      <c r="I702" t="n">
        <v>2</v>
      </c>
      <c r="J702" t="inlineStr">
        <is>
          <t>NA</t>
        </is>
      </c>
      <c r="K702" t="n">
        <v>97.90000000000001</v>
      </c>
    </row>
    <row r="703">
      <c r="A703" t="inlineStr">
        <is>
          <t>SIMULATED Food Waste Remote Study</t>
        </is>
      </c>
      <c r="B703" t="inlineStr">
        <is>
          <t>RESP0094</t>
        </is>
      </c>
      <c r="C703" t="inlineStr">
        <is>
          <t>Stimulus</t>
        </is>
      </c>
      <c r="D703" t="inlineStr">
        <is>
          <t>foodwaste_narrative</t>
        </is>
      </c>
      <c r="E703" t="n">
        <v>60</v>
      </c>
      <c r="F703" t="inlineStr">
        <is>
          <t>Joy</t>
        </is>
      </c>
      <c r="G703" t="n">
        <v>50</v>
      </c>
      <c r="H703" t="n">
        <v>1.78</v>
      </c>
      <c r="I703" t="n">
        <v>1</v>
      </c>
      <c r="J703" t="inlineStr">
        <is>
          <t>NA</t>
        </is>
      </c>
      <c r="K703" t="n">
        <v>97.90000000000001</v>
      </c>
    </row>
    <row r="704">
      <c r="A704" t="inlineStr">
        <is>
          <t>SIMULATED Food Waste Remote Study</t>
        </is>
      </c>
      <c r="B704" t="inlineStr">
        <is>
          <t>RESP0094</t>
        </is>
      </c>
      <c r="C704" t="inlineStr">
        <is>
          <t>Stimulus</t>
        </is>
      </c>
      <c r="D704" t="inlineStr">
        <is>
          <t>foodwaste_narrative</t>
        </is>
      </c>
      <c r="E704" t="n">
        <v>60</v>
      </c>
      <c r="F704" t="inlineStr">
        <is>
          <t>Brow Furrow</t>
        </is>
      </c>
      <c r="G704" t="n">
        <v>50</v>
      </c>
      <c r="H704" t="n">
        <v>2.83</v>
      </c>
      <c r="I704" t="n">
        <v>1</v>
      </c>
      <c r="J704" t="inlineStr">
        <is>
          <t>NA</t>
        </is>
      </c>
      <c r="K704" t="n">
        <v>97.90000000000001</v>
      </c>
    </row>
    <row r="705">
      <c r="A705" t="inlineStr">
        <is>
          <t>SIMULATED Food Waste Remote Study</t>
        </is>
      </c>
      <c r="B705" t="inlineStr">
        <is>
          <t>RESP0094</t>
        </is>
      </c>
      <c r="C705" t="inlineStr">
        <is>
          <t>Stimulus</t>
        </is>
      </c>
      <c r="D705" t="inlineStr">
        <is>
          <t>foodwaste_narrative</t>
        </is>
      </c>
      <c r="E705" t="n">
        <v>60</v>
      </c>
      <c r="F705" t="inlineStr">
        <is>
          <t>Positive Valence</t>
        </is>
      </c>
      <c r="G705" t="n">
        <v>50</v>
      </c>
      <c r="H705" t="n">
        <v>5.94</v>
      </c>
      <c r="I705" t="n">
        <v>3</v>
      </c>
      <c r="J705" t="inlineStr">
        <is>
          <t>NA</t>
        </is>
      </c>
      <c r="K705" t="n">
        <v>97.90000000000001</v>
      </c>
    </row>
    <row r="706">
      <c r="A706" t="inlineStr">
        <is>
          <t>SIMULATED Food Waste Remote Study</t>
        </is>
      </c>
      <c r="B706" t="inlineStr">
        <is>
          <t>RESP0094</t>
        </is>
      </c>
      <c r="C706" t="inlineStr">
        <is>
          <t>Stimulus</t>
        </is>
      </c>
      <c r="D706" t="inlineStr">
        <is>
          <t>foodwaste_narrative</t>
        </is>
      </c>
      <c r="E706" t="n">
        <v>60</v>
      </c>
      <c r="F706" t="inlineStr">
        <is>
          <t>Negative Valence</t>
        </is>
      </c>
      <c r="G706" t="n">
        <v>-50</v>
      </c>
      <c r="H706" t="n">
        <v>0</v>
      </c>
      <c r="I706" t="n">
        <v>0</v>
      </c>
      <c r="J706" t="inlineStr">
        <is>
          <t>NA</t>
        </is>
      </c>
      <c r="K706" t="n">
        <v>97.90000000000001</v>
      </c>
    </row>
    <row r="707">
      <c r="A707" t="inlineStr">
        <is>
          <t>SIMULATED Food Waste Remote Study</t>
        </is>
      </c>
      <c r="B707" t="inlineStr">
        <is>
          <t>RESP0094</t>
        </is>
      </c>
      <c r="C707" t="inlineStr">
        <is>
          <t>Stimulus</t>
        </is>
      </c>
      <c r="D707" t="inlineStr">
        <is>
          <t>foodwaste_visual</t>
        </is>
      </c>
      <c r="E707" t="n">
        <v>62</v>
      </c>
      <c r="F707" t="inlineStr">
        <is>
          <t>Engagement</t>
        </is>
      </c>
      <c r="G707" t="n">
        <v>50</v>
      </c>
      <c r="H707" t="n">
        <v>27.9</v>
      </c>
      <c r="I707" t="n">
        <v>8</v>
      </c>
      <c r="J707" t="inlineStr">
        <is>
          <t>NA</t>
        </is>
      </c>
      <c r="K707" t="n">
        <v>92.90000000000001</v>
      </c>
    </row>
    <row r="708">
      <c r="A708" t="inlineStr">
        <is>
          <t>SIMULATED Food Waste Remote Study</t>
        </is>
      </c>
      <c r="B708" t="inlineStr">
        <is>
          <t>RESP0094</t>
        </is>
      </c>
      <c r="C708" t="inlineStr">
        <is>
          <t>Stimulus</t>
        </is>
      </c>
      <c r="D708" t="inlineStr">
        <is>
          <t>foodwaste_visual</t>
        </is>
      </c>
      <c r="E708" t="n">
        <v>62</v>
      </c>
      <c r="F708" t="inlineStr">
        <is>
          <t>Joy</t>
        </is>
      </c>
      <c r="G708" t="n">
        <v>50</v>
      </c>
      <c r="H708" t="n">
        <v>0</v>
      </c>
      <c r="I708" t="n">
        <v>0</v>
      </c>
      <c r="J708" t="inlineStr">
        <is>
          <t>NA</t>
        </is>
      </c>
      <c r="K708" t="n">
        <v>92.90000000000001</v>
      </c>
    </row>
    <row r="709">
      <c r="A709" t="inlineStr">
        <is>
          <t>SIMULATED Food Waste Remote Study</t>
        </is>
      </c>
      <c r="B709" t="inlineStr">
        <is>
          <t>RESP0094</t>
        </is>
      </c>
      <c r="C709" t="inlineStr">
        <is>
          <t>Stimulus</t>
        </is>
      </c>
      <c r="D709" t="inlineStr">
        <is>
          <t>foodwaste_visual</t>
        </is>
      </c>
      <c r="E709" t="n">
        <v>62</v>
      </c>
      <c r="F709" t="inlineStr">
        <is>
          <t>Brow Furrow</t>
        </is>
      </c>
      <c r="G709" t="n">
        <v>50</v>
      </c>
      <c r="H709" t="n">
        <v>0</v>
      </c>
      <c r="I709" t="n">
        <v>0</v>
      </c>
      <c r="J709" t="inlineStr">
        <is>
          <t>NA</t>
        </is>
      </c>
      <c r="K709" t="n">
        <v>92.90000000000001</v>
      </c>
    </row>
    <row r="710">
      <c r="A710" t="inlineStr">
        <is>
          <t>SIMULATED Food Waste Remote Study</t>
        </is>
      </c>
      <c r="B710" t="inlineStr">
        <is>
          <t>RESP0094</t>
        </is>
      </c>
      <c r="C710" t="inlineStr">
        <is>
          <t>Stimulus</t>
        </is>
      </c>
      <c r="D710" t="inlineStr">
        <is>
          <t>foodwaste_visual</t>
        </is>
      </c>
      <c r="E710" t="n">
        <v>62</v>
      </c>
      <c r="F710" t="inlineStr">
        <is>
          <t>Positive Valence</t>
        </is>
      </c>
      <c r="G710" t="n">
        <v>50</v>
      </c>
      <c r="H710" t="n">
        <v>4.73</v>
      </c>
      <c r="I710" t="n">
        <v>3</v>
      </c>
      <c r="J710" t="inlineStr">
        <is>
          <t>NA</t>
        </is>
      </c>
      <c r="K710" t="n">
        <v>92.90000000000001</v>
      </c>
    </row>
    <row r="711">
      <c r="A711" t="inlineStr">
        <is>
          <t>SIMULATED Food Waste Remote Study</t>
        </is>
      </c>
      <c r="B711" t="inlineStr">
        <is>
          <t>RESP0094</t>
        </is>
      </c>
      <c r="C711" t="inlineStr">
        <is>
          <t>Stimulus</t>
        </is>
      </c>
      <c r="D711" t="inlineStr">
        <is>
          <t>foodwaste_visual</t>
        </is>
      </c>
      <c r="E711" t="n">
        <v>62</v>
      </c>
      <c r="F711" t="inlineStr">
        <is>
          <t>Negative Valence</t>
        </is>
      </c>
      <c r="G711" t="n">
        <v>-50</v>
      </c>
      <c r="H711" t="n">
        <v>0</v>
      </c>
      <c r="I711" t="n">
        <v>0</v>
      </c>
      <c r="J711" t="inlineStr">
        <is>
          <t>NA</t>
        </is>
      </c>
      <c r="K711" t="n">
        <v>92.90000000000001</v>
      </c>
    </row>
    <row r="712">
      <c r="A712" t="inlineStr">
        <is>
          <t>SIMULATED Food Waste Remote Study</t>
        </is>
      </c>
      <c r="B712" t="inlineStr">
        <is>
          <t>RESP0095</t>
        </is>
      </c>
      <c r="C712" t="inlineStr">
        <is>
          <t>Stimulus</t>
        </is>
      </c>
      <c r="D712" t="inlineStr">
        <is>
          <t>foodwaste_narrative</t>
        </is>
      </c>
      <c r="E712" t="n">
        <v>60</v>
      </c>
      <c r="F712" t="inlineStr">
        <is>
          <t>Engagement</t>
        </is>
      </c>
      <c r="G712" t="n">
        <v>50</v>
      </c>
      <c r="H712" t="n">
        <v>45.61</v>
      </c>
      <c r="I712" t="n">
        <v>8</v>
      </c>
      <c r="J712" t="inlineStr">
        <is>
          <t>NA</t>
        </is>
      </c>
      <c r="K712" t="n">
        <v>89.3</v>
      </c>
    </row>
    <row r="713">
      <c r="A713" t="inlineStr">
        <is>
          <t>SIMULATED Food Waste Remote Study</t>
        </is>
      </c>
      <c r="B713" t="inlineStr">
        <is>
          <t>RESP0095</t>
        </is>
      </c>
      <c r="C713" t="inlineStr">
        <is>
          <t>Stimulus</t>
        </is>
      </c>
      <c r="D713" t="inlineStr">
        <is>
          <t>foodwaste_narrative</t>
        </is>
      </c>
      <c r="E713" t="n">
        <v>60</v>
      </c>
      <c r="F713" t="inlineStr">
        <is>
          <t>Joy</t>
        </is>
      </c>
      <c r="G713" t="n">
        <v>50</v>
      </c>
      <c r="H713" t="n">
        <v>0.67</v>
      </c>
      <c r="I713" t="n">
        <v>1</v>
      </c>
      <c r="J713" t="inlineStr">
        <is>
          <t>NA</t>
        </is>
      </c>
      <c r="K713" t="n">
        <v>89.3</v>
      </c>
    </row>
    <row r="714">
      <c r="A714" t="inlineStr">
        <is>
          <t>SIMULATED Food Waste Remote Study</t>
        </is>
      </c>
      <c r="B714" t="inlineStr">
        <is>
          <t>RESP0095</t>
        </is>
      </c>
      <c r="C714" t="inlineStr">
        <is>
          <t>Stimulus</t>
        </is>
      </c>
      <c r="D714" t="inlineStr">
        <is>
          <t>foodwaste_narrative</t>
        </is>
      </c>
      <c r="E714" t="n">
        <v>60</v>
      </c>
      <c r="F714" t="inlineStr">
        <is>
          <t>Brow Furrow</t>
        </is>
      </c>
      <c r="G714" t="n">
        <v>50</v>
      </c>
      <c r="H714" t="n">
        <v>4.89</v>
      </c>
      <c r="I714" t="n">
        <v>1</v>
      </c>
      <c r="J714" t="inlineStr">
        <is>
          <t>NA</t>
        </is>
      </c>
      <c r="K714" t="n">
        <v>89.3</v>
      </c>
    </row>
    <row r="715">
      <c r="A715" t="inlineStr">
        <is>
          <t>SIMULATED Food Waste Remote Study</t>
        </is>
      </c>
      <c r="B715" t="inlineStr">
        <is>
          <t>RESP0095</t>
        </is>
      </c>
      <c r="C715" t="inlineStr">
        <is>
          <t>Stimulus</t>
        </is>
      </c>
      <c r="D715" t="inlineStr">
        <is>
          <t>foodwaste_narrative</t>
        </is>
      </c>
      <c r="E715" t="n">
        <v>60</v>
      </c>
      <c r="F715" t="inlineStr">
        <is>
          <t>Positive Valence</t>
        </is>
      </c>
      <c r="G715" t="n">
        <v>50</v>
      </c>
      <c r="H715" t="n">
        <v>0</v>
      </c>
      <c r="I715" t="n">
        <v>0</v>
      </c>
      <c r="J715" t="inlineStr">
        <is>
          <t>NA</t>
        </is>
      </c>
      <c r="K715" t="n">
        <v>89.3</v>
      </c>
    </row>
    <row r="716">
      <c r="A716" t="inlineStr">
        <is>
          <t>SIMULATED Food Waste Remote Study</t>
        </is>
      </c>
      <c r="B716" t="inlineStr">
        <is>
          <t>RESP0095</t>
        </is>
      </c>
      <c r="C716" t="inlineStr">
        <is>
          <t>Stimulus</t>
        </is>
      </c>
      <c r="D716" t="inlineStr">
        <is>
          <t>foodwaste_narrative</t>
        </is>
      </c>
      <c r="E716" t="n">
        <v>60</v>
      </c>
      <c r="F716" t="inlineStr">
        <is>
          <t>Negative Valence</t>
        </is>
      </c>
      <c r="G716" t="n">
        <v>-50</v>
      </c>
      <c r="H716" t="n">
        <v>0</v>
      </c>
      <c r="I716" t="n">
        <v>0</v>
      </c>
      <c r="J716" t="inlineStr">
        <is>
          <t>NA</t>
        </is>
      </c>
      <c r="K716" t="n">
        <v>89.3</v>
      </c>
    </row>
    <row r="717">
      <c r="A717" t="inlineStr">
        <is>
          <t>SIMULATED Food Waste Remote Study</t>
        </is>
      </c>
      <c r="B717" t="inlineStr">
        <is>
          <t>RESP0095</t>
        </is>
      </c>
      <c r="C717" t="inlineStr">
        <is>
          <t>Stimulus</t>
        </is>
      </c>
      <c r="D717" t="inlineStr">
        <is>
          <t>foodwaste_visual</t>
        </is>
      </c>
      <c r="E717" t="n">
        <v>62</v>
      </c>
      <c r="F717" t="inlineStr">
        <is>
          <t>Engagement</t>
        </is>
      </c>
      <c r="G717" t="n">
        <v>50</v>
      </c>
      <c r="H717" t="n">
        <v>88.39</v>
      </c>
      <c r="I717" t="n">
        <v>18</v>
      </c>
      <c r="J717" t="inlineStr">
        <is>
          <t>NA</t>
        </is>
      </c>
      <c r="K717" t="n">
        <v>92.90000000000001</v>
      </c>
    </row>
    <row r="718">
      <c r="A718" t="inlineStr">
        <is>
          <t>SIMULATED Food Waste Remote Study</t>
        </is>
      </c>
      <c r="B718" t="inlineStr">
        <is>
          <t>RESP0095</t>
        </is>
      </c>
      <c r="C718" t="inlineStr">
        <is>
          <t>Stimulus</t>
        </is>
      </c>
      <c r="D718" t="inlineStr">
        <is>
          <t>foodwaste_visual</t>
        </is>
      </c>
      <c r="E718" t="n">
        <v>62</v>
      </c>
      <c r="F718" t="inlineStr">
        <is>
          <t>Joy</t>
        </is>
      </c>
      <c r="G718" t="n">
        <v>50</v>
      </c>
      <c r="H718" t="n">
        <v>0.65</v>
      </c>
      <c r="I718" t="n">
        <v>1</v>
      </c>
      <c r="J718" t="inlineStr">
        <is>
          <t>NA</t>
        </is>
      </c>
      <c r="K718" t="n">
        <v>92.90000000000001</v>
      </c>
    </row>
    <row r="719">
      <c r="A719" t="inlineStr">
        <is>
          <t>SIMULATED Food Waste Remote Study</t>
        </is>
      </c>
      <c r="B719" t="inlineStr">
        <is>
          <t>RESP0095</t>
        </is>
      </c>
      <c r="C719" t="inlineStr">
        <is>
          <t>Stimulus</t>
        </is>
      </c>
      <c r="D719" t="inlineStr">
        <is>
          <t>foodwaste_visual</t>
        </is>
      </c>
      <c r="E719" t="n">
        <v>62</v>
      </c>
      <c r="F719" t="inlineStr">
        <is>
          <t>Brow Furrow</t>
        </is>
      </c>
      <c r="G719" t="n">
        <v>50</v>
      </c>
      <c r="H719" t="n">
        <v>4.03</v>
      </c>
      <c r="I719" t="n">
        <v>2</v>
      </c>
      <c r="J719" t="inlineStr">
        <is>
          <t>NA</t>
        </is>
      </c>
      <c r="K719" t="n">
        <v>92.90000000000001</v>
      </c>
    </row>
    <row r="720">
      <c r="A720" t="inlineStr">
        <is>
          <t>SIMULATED Food Waste Remote Study</t>
        </is>
      </c>
      <c r="B720" t="inlineStr">
        <is>
          <t>RESP0095</t>
        </is>
      </c>
      <c r="C720" t="inlineStr">
        <is>
          <t>Stimulus</t>
        </is>
      </c>
      <c r="D720" t="inlineStr">
        <is>
          <t>foodwaste_visual</t>
        </is>
      </c>
      <c r="E720" t="n">
        <v>62</v>
      </c>
      <c r="F720" t="inlineStr">
        <is>
          <t>Positive Valence</t>
        </is>
      </c>
      <c r="G720" t="n">
        <v>50</v>
      </c>
      <c r="H720" t="n">
        <v>14.62</v>
      </c>
      <c r="I720" t="n">
        <v>2</v>
      </c>
      <c r="J720" t="inlineStr">
        <is>
          <t>NA</t>
        </is>
      </c>
      <c r="K720" t="n">
        <v>92.90000000000001</v>
      </c>
    </row>
    <row r="721">
      <c r="A721" t="inlineStr">
        <is>
          <t>SIMULATED Food Waste Remote Study</t>
        </is>
      </c>
      <c r="B721" t="inlineStr">
        <is>
          <t>RESP0095</t>
        </is>
      </c>
      <c r="C721" t="inlineStr">
        <is>
          <t>Stimulus</t>
        </is>
      </c>
      <c r="D721" t="inlineStr">
        <is>
          <t>foodwaste_visual</t>
        </is>
      </c>
      <c r="E721" t="n">
        <v>62</v>
      </c>
      <c r="F721" t="inlineStr">
        <is>
          <t>Negative Valence</t>
        </is>
      </c>
      <c r="G721" t="n">
        <v>-50</v>
      </c>
      <c r="H721" t="n">
        <v>2.53</v>
      </c>
      <c r="I721" t="n">
        <v>2</v>
      </c>
      <c r="J721" t="inlineStr">
        <is>
          <t>NA</t>
        </is>
      </c>
      <c r="K721" t="n">
        <v>92.90000000000001</v>
      </c>
    </row>
    <row r="722">
      <c r="A722" t="inlineStr">
        <is>
          <t>SIMULATED Food Waste Remote Study</t>
        </is>
      </c>
      <c r="B722" t="inlineStr">
        <is>
          <t>RESP0096</t>
        </is>
      </c>
      <c r="C722" t="inlineStr">
        <is>
          <t>Stimulus</t>
        </is>
      </c>
      <c r="D722" t="inlineStr">
        <is>
          <t>foodwaste_narrative</t>
        </is>
      </c>
      <c r="E722" t="n">
        <v>60</v>
      </c>
      <c r="F722" t="inlineStr">
        <is>
          <t>Engagement</t>
        </is>
      </c>
      <c r="G722" t="n">
        <v>50</v>
      </c>
      <c r="H722" t="n">
        <v>14.78</v>
      </c>
      <c r="I722" t="n">
        <v>3</v>
      </c>
      <c r="J722" t="inlineStr">
        <is>
          <t>NA</t>
        </is>
      </c>
      <c r="K722" t="n">
        <v>89.09999999999999</v>
      </c>
    </row>
    <row r="723">
      <c r="A723" t="inlineStr">
        <is>
          <t>SIMULATED Food Waste Remote Study</t>
        </is>
      </c>
      <c r="B723" t="inlineStr">
        <is>
          <t>RESP0096</t>
        </is>
      </c>
      <c r="C723" t="inlineStr">
        <is>
          <t>Stimulus</t>
        </is>
      </c>
      <c r="D723" t="inlineStr">
        <is>
          <t>foodwaste_narrative</t>
        </is>
      </c>
      <c r="E723" t="n">
        <v>60</v>
      </c>
      <c r="F723" t="inlineStr">
        <is>
          <t>Joy</t>
        </is>
      </c>
      <c r="G723" t="n">
        <v>50</v>
      </c>
      <c r="H723" t="n">
        <v>7.33</v>
      </c>
      <c r="I723" t="n">
        <v>3</v>
      </c>
      <c r="J723" t="inlineStr">
        <is>
          <t>NA</t>
        </is>
      </c>
      <c r="K723" t="n">
        <v>89.09999999999999</v>
      </c>
    </row>
    <row r="724">
      <c r="A724" t="inlineStr">
        <is>
          <t>SIMULATED Food Waste Remote Study</t>
        </is>
      </c>
      <c r="B724" t="inlineStr">
        <is>
          <t>RESP0096</t>
        </is>
      </c>
      <c r="C724" t="inlineStr">
        <is>
          <t>Stimulus</t>
        </is>
      </c>
      <c r="D724" t="inlineStr">
        <is>
          <t>foodwaste_narrative</t>
        </is>
      </c>
      <c r="E724" t="n">
        <v>60</v>
      </c>
      <c r="F724" t="inlineStr">
        <is>
          <t>Brow Furrow</t>
        </is>
      </c>
      <c r="G724" t="n">
        <v>50</v>
      </c>
      <c r="H724" t="n">
        <v>2.83</v>
      </c>
      <c r="I724" t="n">
        <v>2</v>
      </c>
      <c r="J724" t="inlineStr">
        <is>
          <t>NA</t>
        </is>
      </c>
      <c r="K724" t="n">
        <v>89.09999999999999</v>
      </c>
    </row>
    <row r="725">
      <c r="A725" t="inlineStr">
        <is>
          <t>SIMULATED Food Waste Remote Study</t>
        </is>
      </c>
      <c r="B725" t="inlineStr">
        <is>
          <t>RESP0096</t>
        </is>
      </c>
      <c r="C725" t="inlineStr">
        <is>
          <t>Stimulus</t>
        </is>
      </c>
      <c r="D725" t="inlineStr">
        <is>
          <t>foodwaste_narrative</t>
        </is>
      </c>
      <c r="E725" t="n">
        <v>60</v>
      </c>
      <c r="F725" t="inlineStr">
        <is>
          <t>Positive Valence</t>
        </is>
      </c>
      <c r="G725" t="n">
        <v>50</v>
      </c>
      <c r="H725" t="n">
        <v>4.39</v>
      </c>
      <c r="I725" t="n">
        <v>2</v>
      </c>
      <c r="J725" t="inlineStr">
        <is>
          <t>NA</t>
        </is>
      </c>
      <c r="K725" t="n">
        <v>89.09999999999999</v>
      </c>
    </row>
    <row r="726">
      <c r="A726" t="inlineStr">
        <is>
          <t>SIMULATED Food Waste Remote Study</t>
        </is>
      </c>
      <c r="B726" t="inlineStr">
        <is>
          <t>RESP0096</t>
        </is>
      </c>
      <c r="C726" t="inlineStr">
        <is>
          <t>Stimulus</t>
        </is>
      </c>
      <c r="D726" t="inlineStr">
        <is>
          <t>foodwaste_narrative</t>
        </is>
      </c>
      <c r="E726" t="n">
        <v>60</v>
      </c>
      <c r="F726" t="inlineStr">
        <is>
          <t>Negative Valence</t>
        </is>
      </c>
      <c r="G726" t="n">
        <v>-50</v>
      </c>
      <c r="H726" t="n">
        <v>0</v>
      </c>
      <c r="I726" t="n">
        <v>0</v>
      </c>
      <c r="J726" t="inlineStr">
        <is>
          <t>NA</t>
        </is>
      </c>
      <c r="K726" t="n">
        <v>89.09999999999999</v>
      </c>
    </row>
    <row r="727">
      <c r="A727" t="inlineStr">
        <is>
          <t>SIMULATED Food Waste Remote Study</t>
        </is>
      </c>
      <c r="B727" t="inlineStr">
        <is>
          <t>RESP0096</t>
        </is>
      </c>
      <c r="C727" t="inlineStr">
        <is>
          <t>Stimulus</t>
        </is>
      </c>
      <c r="D727" t="inlineStr">
        <is>
          <t>foodwaste_visual</t>
        </is>
      </c>
      <c r="E727" t="n">
        <v>62</v>
      </c>
      <c r="F727" t="inlineStr">
        <is>
          <t>Engagement</t>
        </is>
      </c>
      <c r="G727" t="n">
        <v>50</v>
      </c>
      <c r="H727" t="n">
        <v>27.04</v>
      </c>
      <c r="I727" t="n">
        <v>1</v>
      </c>
      <c r="J727" t="inlineStr">
        <is>
          <t>NA</t>
        </is>
      </c>
      <c r="K727" t="n">
        <v>96.8</v>
      </c>
    </row>
    <row r="728">
      <c r="A728" t="inlineStr">
        <is>
          <t>SIMULATED Food Waste Remote Study</t>
        </is>
      </c>
      <c r="B728" t="inlineStr">
        <is>
          <t>RESP0096</t>
        </is>
      </c>
      <c r="C728" t="inlineStr">
        <is>
          <t>Stimulus</t>
        </is>
      </c>
      <c r="D728" t="inlineStr">
        <is>
          <t>foodwaste_visual</t>
        </is>
      </c>
      <c r="E728" t="n">
        <v>62</v>
      </c>
      <c r="F728" t="inlineStr">
        <is>
          <t>Joy</t>
        </is>
      </c>
      <c r="G728" t="n">
        <v>50</v>
      </c>
      <c r="H728" t="n">
        <v>3.39</v>
      </c>
      <c r="I728" t="n">
        <v>2</v>
      </c>
      <c r="J728" t="inlineStr">
        <is>
          <t>NA</t>
        </is>
      </c>
      <c r="K728" t="n">
        <v>96.8</v>
      </c>
    </row>
    <row r="729">
      <c r="A729" t="inlineStr">
        <is>
          <t>SIMULATED Food Waste Remote Study</t>
        </is>
      </c>
      <c r="B729" t="inlineStr">
        <is>
          <t>RESP0096</t>
        </is>
      </c>
      <c r="C729" t="inlineStr">
        <is>
          <t>Stimulus</t>
        </is>
      </c>
      <c r="D729" t="inlineStr">
        <is>
          <t>foodwaste_visual</t>
        </is>
      </c>
      <c r="E729" t="n">
        <v>62</v>
      </c>
      <c r="F729" t="inlineStr">
        <is>
          <t>Brow Furrow</t>
        </is>
      </c>
      <c r="G729" t="n">
        <v>50</v>
      </c>
      <c r="H729" t="n">
        <v>0</v>
      </c>
      <c r="I729" t="n">
        <v>0</v>
      </c>
      <c r="J729" t="inlineStr">
        <is>
          <t>NA</t>
        </is>
      </c>
      <c r="K729" t="n">
        <v>96.8</v>
      </c>
    </row>
    <row r="730">
      <c r="A730" t="inlineStr">
        <is>
          <t>SIMULATED Food Waste Remote Study</t>
        </is>
      </c>
      <c r="B730" t="inlineStr">
        <is>
          <t>RESP0096</t>
        </is>
      </c>
      <c r="C730" t="inlineStr">
        <is>
          <t>Stimulus</t>
        </is>
      </c>
      <c r="D730" t="inlineStr">
        <is>
          <t>foodwaste_visual</t>
        </is>
      </c>
      <c r="E730" t="n">
        <v>62</v>
      </c>
      <c r="F730" t="inlineStr">
        <is>
          <t>Positive Valence</t>
        </is>
      </c>
      <c r="G730" t="n">
        <v>50</v>
      </c>
      <c r="H730" t="n">
        <v>5.22</v>
      </c>
      <c r="I730" t="n">
        <v>2</v>
      </c>
      <c r="J730" t="inlineStr">
        <is>
          <t>NA</t>
        </is>
      </c>
      <c r="K730" t="n">
        <v>96.8</v>
      </c>
    </row>
    <row r="731">
      <c r="A731" t="inlineStr">
        <is>
          <t>SIMULATED Food Waste Remote Study</t>
        </is>
      </c>
      <c r="B731" t="inlineStr">
        <is>
          <t>RESP0096</t>
        </is>
      </c>
      <c r="C731" t="inlineStr">
        <is>
          <t>Stimulus</t>
        </is>
      </c>
      <c r="D731" t="inlineStr">
        <is>
          <t>foodwaste_visual</t>
        </is>
      </c>
      <c r="E731" t="n">
        <v>62</v>
      </c>
      <c r="F731" t="inlineStr">
        <is>
          <t>Negative Valence</t>
        </is>
      </c>
      <c r="G731" t="n">
        <v>-50</v>
      </c>
      <c r="H731" t="n">
        <v>3.87</v>
      </c>
      <c r="I731" t="n">
        <v>1</v>
      </c>
      <c r="J731" t="inlineStr">
        <is>
          <t>NA</t>
        </is>
      </c>
      <c r="K731" t="n">
        <v>96.8</v>
      </c>
    </row>
    <row r="732">
      <c r="A732" t="inlineStr">
        <is>
          <t>SIMULATED Food Waste Remote Study</t>
        </is>
      </c>
      <c r="B732" t="inlineStr">
        <is>
          <t>RESP0098</t>
        </is>
      </c>
      <c r="C732" t="inlineStr">
        <is>
          <t>Stimulus</t>
        </is>
      </c>
      <c r="D732" t="inlineStr">
        <is>
          <t>foodwaste_narrative</t>
        </is>
      </c>
      <c r="E732" t="n">
        <v>60</v>
      </c>
      <c r="F732" t="inlineStr">
        <is>
          <t>Engagement</t>
        </is>
      </c>
      <c r="G732" t="n">
        <v>50</v>
      </c>
      <c r="H732" t="n">
        <v>1.06</v>
      </c>
      <c r="I732" t="n">
        <v>1</v>
      </c>
      <c r="J732" t="inlineStr">
        <is>
          <t>NA</t>
        </is>
      </c>
      <c r="K732" t="n">
        <v>88.8</v>
      </c>
    </row>
    <row r="733">
      <c r="A733" t="inlineStr">
        <is>
          <t>SIMULATED Food Waste Remote Study</t>
        </is>
      </c>
      <c r="B733" t="inlineStr">
        <is>
          <t>RESP0098</t>
        </is>
      </c>
      <c r="C733" t="inlineStr">
        <is>
          <t>Stimulus</t>
        </is>
      </c>
      <c r="D733" t="inlineStr">
        <is>
          <t>foodwaste_narrative</t>
        </is>
      </c>
      <c r="E733" t="n">
        <v>60</v>
      </c>
      <c r="F733" t="inlineStr">
        <is>
          <t>Joy</t>
        </is>
      </c>
      <c r="G733" t="n">
        <v>50</v>
      </c>
      <c r="H733" t="n">
        <v>22.83</v>
      </c>
      <c r="I733" t="n">
        <v>6</v>
      </c>
      <c r="J733" t="inlineStr">
        <is>
          <t>NA</t>
        </is>
      </c>
      <c r="K733" t="n">
        <v>88.8</v>
      </c>
    </row>
    <row r="734">
      <c r="A734" t="inlineStr">
        <is>
          <t>SIMULATED Food Waste Remote Study</t>
        </is>
      </c>
      <c r="B734" t="inlineStr">
        <is>
          <t>RESP0098</t>
        </is>
      </c>
      <c r="C734" t="inlineStr">
        <is>
          <t>Stimulus</t>
        </is>
      </c>
      <c r="D734" t="inlineStr">
        <is>
          <t>foodwaste_narrative</t>
        </is>
      </c>
      <c r="E734" t="n">
        <v>60</v>
      </c>
      <c r="F734" t="inlineStr">
        <is>
          <t>Brow Furrow</t>
        </is>
      </c>
      <c r="G734" t="n">
        <v>50</v>
      </c>
      <c r="H734" t="n">
        <v>5.06</v>
      </c>
      <c r="I734" t="n">
        <v>2</v>
      </c>
      <c r="J734" t="inlineStr">
        <is>
          <t>NA</t>
        </is>
      </c>
      <c r="K734" t="n">
        <v>88.8</v>
      </c>
    </row>
    <row r="735">
      <c r="A735" t="inlineStr">
        <is>
          <t>SIMULATED Food Waste Remote Study</t>
        </is>
      </c>
      <c r="B735" t="inlineStr">
        <is>
          <t>RESP0098</t>
        </is>
      </c>
      <c r="C735" t="inlineStr">
        <is>
          <t>Stimulus</t>
        </is>
      </c>
      <c r="D735" t="inlineStr">
        <is>
          <t>foodwaste_narrative</t>
        </is>
      </c>
      <c r="E735" t="n">
        <v>60</v>
      </c>
      <c r="F735" t="inlineStr">
        <is>
          <t>Positive Valence</t>
        </is>
      </c>
      <c r="G735" t="n">
        <v>50</v>
      </c>
      <c r="H735" t="n">
        <v>4.44</v>
      </c>
      <c r="I735" t="n">
        <v>3</v>
      </c>
      <c r="J735" t="inlineStr">
        <is>
          <t>NA</t>
        </is>
      </c>
      <c r="K735" t="n">
        <v>88.8</v>
      </c>
    </row>
    <row r="736">
      <c r="A736" t="inlineStr">
        <is>
          <t>SIMULATED Food Waste Remote Study</t>
        </is>
      </c>
      <c r="B736" t="inlineStr">
        <is>
          <t>RESP0098</t>
        </is>
      </c>
      <c r="C736" t="inlineStr">
        <is>
          <t>Stimulus</t>
        </is>
      </c>
      <c r="D736" t="inlineStr">
        <is>
          <t>foodwaste_narrative</t>
        </is>
      </c>
      <c r="E736" t="n">
        <v>60</v>
      </c>
      <c r="F736" t="inlineStr">
        <is>
          <t>Negative Valence</t>
        </is>
      </c>
      <c r="G736" t="n">
        <v>-50</v>
      </c>
      <c r="H736" t="n">
        <v>0</v>
      </c>
      <c r="I736" t="n">
        <v>0</v>
      </c>
      <c r="J736" t="inlineStr">
        <is>
          <t>NA</t>
        </is>
      </c>
      <c r="K736" t="n">
        <v>88.8</v>
      </c>
    </row>
    <row r="737">
      <c r="A737" t="inlineStr">
        <is>
          <t>SIMULATED Food Waste Remote Study</t>
        </is>
      </c>
      <c r="B737" t="inlineStr">
        <is>
          <t>RESP0098</t>
        </is>
      </c>
      <c r="C737" t="inlineStr">
        <is>
          <t>Stimulus</t>
        </is>
      </c>
      <c r="D737" t="inlineStr">
        <is>
          <t>foodwaste_visual</t>
        </is>
      </c>
      <c r="E737" t="n">
        <v>62</v>
      </c>
      <c r="F737" t="inlineStr">
        <is>
          <t>Engagement</t>
        </is>
      </c>
      <c r="G737" t="n">
        <v>50</v>
      </c>
      <c r="H737" t="n">
        <v>52.31</v>
      </c>
      <c r="I737" t="n">
        <v>21</v>
      </c>
      <c r="J737" t="inlineStr">
        <is>
          <t>NA</t>
        </is>
      </c>
      <c r="K737" t="n">
        <v>95.40000000000001</v>
      </c>
    </row>
    <row r="738">
      <c r="A738" t="inlineStr">
        <is>
          <t>SIMULATED Food Waste Remote Study</t>
        </is>
      </c>
      <c r="B738" t="inlineStr">
        <is>
          <t>RESP0098</t>
        </is>
      </c>
      <c r="C738" t="inlineStr">
        <is>
          <t>Stimulus</t>
        </is>
      </c>
      <c r="D738" t="inlineStr">
        <is>
          <t>foodwaste_visual</t>
        </is>
      </c>
      <c r="E738" t="n">
        <v>62</v>
      </c>
      <c r="F738" t="inlineStr">
        <is>
          <t>Joy</t>
        </is>
      </c>
      <c r="G738" t="n">
        <v>50</v>
      </c>
      <c r="H738" t="n">
        <v>24.57</v>
      </c>
      <c r="I738" t="n">
        <v>8</v>
      </c>
      <c r="J738" t="inlineStr">
        <is>
          <t>NA</t>
        </is>
      </c>
      <c r="K738" t="n">
        <v>95.40000000000001</v>
      </c>
    </row>
    <row r="739">
      <c r="A739" t="inlineStr">
        <is>
          <t>SIMULATED Food Waste Remote Study</t>
        </is>
      </c>
      <c r="B739" t="inlineStr">
        <is>
          <t>RESP0098</t>
        </is>
      </c>
      <c r="C739" t="inlineStr">
        <is>
          <t>Stimulus</t>
        </is>
      </c>
      <c r="D739" t="inlineStr">
        <is>
          <t>foodwaste_visual</t>
        </is>
      </c>
      <c r="E739" t="n">
        <v>62</v>
      </c>
      <c r="F739" t="inlineStr">
        <is>
          <t>Brow Furrow</t>
        </is>
      </c>
      <c r="G739" t="n">
        <v>50</v>
      </c>
      <c r="H739" t="n">
        <v>0</v>
      </c>
      <c r="I739" t="n">
        <v>0</v>
      </c>
      <c r="J739" t="inlineStr">
        <is>
          <t>NA</t>
        </is>
      </c>
      <c r="K739" t="n">
        <v>95.40000000000001</v>
      </c>
    </row>
    <row r="740">
      <c r="A740" t="inlineStr">
        <is>
          <t>SIMULATED Food Waste Remote Study</t>
        </is>
      </c>
      <c r="B740" t="inlineStr">
        <is>
          <t>RESP0098</t>
        </is>
      </c>
      <c r="C740" t="inlineStr">
        <is>
          <t>Stimulus</t>
        </is>
      </c>
      <c r="D740" t="inlineStr">
        <is>
          <t>foodwaste_visual</t>
        </is>
      </c>
      <c r="E740" t="n">
        <v>62</v>
      </c>
      <c r="F740" t="inlineStr">
        <is>
          <t>Positive Valence</t>
        </is>
      </c>
      <c r="G740" t="n">
        <v>50</v>
      </c>
      <c r="H740" t="n">
        <v>70.91</v>
      </c>
      <c r="I740" t="n">
        <v>19</v>
      </c>
      <c r="J740" t="inlineStr">
        <is>
          <t>NA</t>
        </is>
      </c>
      <c r="K740" t="n">
        <v>95.40000000000001</v>
      </c>
    </row>
    <row r="741">
      <c r="A741" t="inlineStr">
        <is>
          <t>SIMULATED Food Waste Remote Study</t>
        </is>
      </c>
      <c r="B741" t="inlineStr">
        <is>
          <t>RESP0098</t>
        </is>
      </c>
      <c r="C741" t="inlineStr">
        <is>
          <t>Stimulus</t>
        </is>
      </c>
      <c r="D741" t="inlineStr">
        <is>
          <t>foodwaste_visual</t>
        </is>
      </c>
      <c r="E741" t="n">
        <v>62</v>
      </c>
      <c r="F741" t="inlineStr">
        <is>
          <t>Negative Valence</t>
        </is>
      </c>
      <c r="G741" t="n">
        <v>-50</v>
      </c>
      <c r="H741" t="n">
        <v>5.11</v>
      </c>
      <c r="I741" t="n">
        <v>1</v>
      </c>
      <c r="J741" t="inlineStr">
        <is>
          <t>NA</t>
        </is>
      </c>
      <c r="K741" t="n">
        <v>95.40000000000001</v>
      </c>
    </row>
    <row r="742">
      <c r="A742" t="inlineStr">
        <is>
          <t>SIMULATED Food Waste Remote Study</t>
        </is>
      </c>
      <c r="B742" t="inlineStr">
        <is>
          <t>RESP0099</t>
        </is>
      </c>
      <c r="C742" t="inlineStr">
        <is>
          <t>Stimulus</t>
        </is>
      </c>
      <c r="D742" t="inlineStr">
        <is>
          <t>foodwaste_narrative</t>
        </is>
      </c>
      <c r="E742" t="n">
        <v>60</v>
      </c>
      <c r="F742" t="inlineStr">
        <is>
          <t>Engagement</t>
        </is>
      </c>
      <c r="G742" t="n">
        <v>50</v>
      </c>
      <c r="H742" t="n">
        <v>12.78</v>
      </c>
      <c r="I742" t="n">
        <v>2</v>
      </c>
      <c r="J742" t="inlineStr">
        <is>
          <t>NA</t>
        </is>
      </c>
      <c r="K742" t="n">
        <v>95.7</v>
      </c>
    </row>
    <row r="743">
      <c r="A743" t="inlineStr">
        <is>
          <t>SIMULATED Food Waste Remote Study</t>
        </is>
      </c>
      <c r="B743" t="inlineStr">
        <is>
          <t>RESP0099</t>
        </is>
      </c>
      <c r="C743" t="inlineStr">
        <is>
          <t>Stimulus</t>
        </is>
      </c>
      <c r="D743" t="inlineStr">
        <is>
          <t>foodwaste_narrative</t>
        </is>
      </c>
      <c r="E743" t="n">
        <v>60</v>
      </c>
      <c r="F743" t="inlineStr">
        <is>
          <t>Joy</t>
        </is>
      </c>
      <c r="G743" t="n">
        <v>50</v>
      </c>
      <c r="H743" t="n">
        <v>3.56</v>
      </c>
      <c r="I743" t="n">
        <v>3</v>
      </c>
      <c r="J743" t="inlineStr">
        <is>
          <t>NA</t>
        </is>
      </c>
      <c r="K743" t="n">
        <v>95.7</v>
      </c>
    </row>
    <row r="744">
      <c r="A744" t="inlineStr">
        <is>
          <t>SIMULATED Food Waste Remote Study</t>
        </is>
      </c>
      <c r="B744" t="inlineStr">
        <is>
          <t>RESP0099</t>
        </is>
      </c>
      <c r="C744" t="inlineStr">
        <is>
          <t>Stimulus</t>
        </is>
      </c>
      <c r="D744" t="inlineStr">
        <is>
          <t>foodwaste_narrative</t>
        </is>
      </c>
      <c r="E744" t="n">
        <v>60</v>
      </c>
      <c r="F744" t="inlineStr">
        <is>
          <t>Brow Furrow</t>
        </is>
      </c>
      <c r="G744" t="n">
        <v>50</v>
      </c>
      <c r="H744" t="n">
        <v>0</v>
      </c>
      <c r="I744" t="n">
        <v>0</v>
      </c>
      <c r="J744" t="inlineStr">
        <is>
          <t>NA</t>
        </is>
      </c>
      <c r="K744" t="n">
        <v>95.7</v>
      </c>
    </row>
    <row r="745">
      <c r="A745" t="inlineStr">
        <is>
          <t>SIMULATED Food Waste Remote Study</t>
        </is>
      </c>
      <c r="B745" t="inlineStr">
        <is>
          <t>RESP0099</t>
        </is>
      </c>
      <c r="C745" t="inlineStr">
        <is>
          <t>Stimulus</t>
        </is>
      </c>
      <c r="D745" t="inlineStr">
        <is>
          <t>foodwaste_narrative</t>
        </is>
      </c>
      <c r="E745" t="n">
        <v>60</v>
      </c>
      <c r="F745" t="inlineStr">
        <is>
          <t>Positive Valence</t>
        </is>
      </c>
      <c r="G745" t="n">
        <v>50</v>
      </c>
      <c r="H745" t="n">
        <v>18.83</v>
      </c>
      <c r="I745" t="n">
        <v>9</v>
      </c>
      <c r="J745" t="inlineStr">
        <is>
          <t>NA</t>
        </is>
      </c>
      <c r="K745" t="n">
        <v>95.7</v>
      </c>
    </row>
    <row r="746">
      <c r="A746" t="inlineStr">
        <is>
          <t>SIMULATED Food Waste Remote Study</t>
        </is>
      </c>
      <c r="B746" t="inlineStr">
        <is>
          <t>RESP0099</t>
        </is>
      </c>
      <c r="C746" t="inlineStr">
        <is>
          <t>Stimulus</t>
        </is>
      </c>
      <c r="D746" t="inlineStr">
        <is>
          <t>foodwaste_narrative</t>
        </is>
      </c>
      <c r="E746" t="n">
        <v>60</v>
      </c>
      <c r="F746" t="inlineStr">
        <is>
          <t>Negative Valence</t>
        </is>
      </c>
      <c r="G746" t="n">
        <v>-50</v>
      </c>
      <c r="H746" t="n">
        <v>7.56</v>
      </c>
      <c r="I746" t="n">
        <v>5</v>
      </c>
      <c r="J746" t="inlineStr">
        <is>
          <t>NA</t>
        </is>
      </c>
      <c r="K746" t="n">
        <v>95.7</v>
      </c>
    </row>
    <row r="747">
      <c r="A747" t="inlineStr">
        <is>
          <t>SIMULATED Food Waste Remote Study</t>
        </is>
      </c>
      <c r="B747" t="inlineStr">
        <is>
          <t>RESP0099</t>
        </is>
      </c>
      <c r="C747" t="inlineStr">
        <is>
          <t>Stimulus</t>
        </is>
      </c>
      <c r="D747" t="inlineStr">
        <is>
          <t>foodwaste_visual</t>
        </is>
      </c>
      <c r="E747" t="n">
        <v>62</v>
      </c>
      <c r="F747" t="inlineStr">
        <is>
          <t>Engagement</t>
        </is>
      </c>
      <c r="G747" t="n">
        <v>50</v>
      </c>
      <c r="H747" t="n">
        <v>55.48</v>
      </c>
      <c r="I747" t="n">
        <v>8</v>
      </c>
      <c r="J747" t="inlineStr">
        <is>
          <t>NA</t>
        </is>
      </c>
      <c r="K747" t="n">
        <v>96</v>
      </c>
    </row>
    <row r="748">
      <c r="A748" t="inlineStr">
        <is>
          <t>SIMULATED Food Waste Remote Study</t>
        </is>
      </c>
      <c r="B748" t="inlineStr">
        <is>
          <t>RESP0099</t>
        </is>
      </c>
      <c r="C748" t="inlineStr">
        <is>
          <t>Stimulus</t>
        </is>
      </c>
      <c r="D748" t="inlineStr">
        <is>
          <t>foodwaste_visual</t>
        </is>
      </c>
      <c r="E748" t="n">
        <v>62</v>
      </c>
      <c r="F748" t="inlineStr">
        <is>
          <t>Joy</t>
        </is>
      </c>
      <c r="G748" t="n">
        <v>50</v>
      </c>
      <c r="H748" t="n">
        <v>0</v>
      </c>
      <c r="I748" t="n">
        <v>0</v>
      </c>
      <c r="J748" t="inlineStr">
        <is>
          <t>NA</t>
        </is>
      </c>
      <c r="K748" t="n">
        <v>96</v>
      </c>
    </row>
    <row r="749">
      <c r="A749" t="inlineStr">
        <is>
          <t>SIMULATED Food Waste Remote Study</t>
        </is>
      </c>
      <c r="B749" t="inlineStr">
        <is>
          <t>RESP0099</t>
        </is>
      </c>
      <c r="C749" t="inlineStr">
        <is>
          <t>Stimulus</t>
        </is>
      </c>
      <c r="D749" t="inlineStr">
        <is>
          <t>foodwaste_visual</t>
        </is>
      </c>
      <c r="E749" t="n">
        <v>62</v>
      </c>
      <c r="F749" t="inlineStr">
        <is>
          <t>Brow Furrow</t>
        </is>
      </c>
      <c r="G749" t="n">
        <v>50</v>
      </c>
      <c r="H749" t="n">
        <v>1.67</v>
      </c>
      <c r="I749" t="n">
        <v>1</v>
      </c>
      <c r="J749" t="inlineStr">
        <is>
          <t>NA</t>
        </is>
      </c>
      <c r="K749" t="n">
        <v>96</v>
      </c>
    </row>
    <row r="750">
      <c r="A750" t="inlineStr">
        <is>
          <t>SIMULATED Food Waste Remote Study</t>
        </is>
      </c>
      <c r="B750" t="inlineStr">
        <is>
          <t>RESP0099</t>
        </is>
      </c>
      <c r="C750" t="inlineStr">
        <is>
          <t>Stimulus</t>
        </is>
      </c>
      <c r="D750" t="inlineStr">
        <is>
          <t>foodwaste_visual</t>
        </is>
      </c>
      <c r="E750" t="n">
        <v>62</v>
      </c>
      <c r="F750" t="inlineStr">
        <is>
          <t>Positive Valence</t>
        </is>
      </c>
      <c r="G750" t="n">
        <v>50</v>
      </c>
      <c r="H750" t="n">
        <v>25.05</v>
      </c>
      <c r="I750" t="n">
        <v>9</v>
      </c>
      <c r="J750" t="inlineStr">
        <is>
          <t>NA</t>
        </is>
      </c>
      <c r="K750" t="n">
        <v>96</v>
      </c>
    </row>
    <row r="751">
      <c r="A751" t="inlineStr">
        <is>
          <t>SIMULATED Food Waste Remote Study</t>
        </is>
      </c>
      <c r="B751" t="inlineStr">
        <is>
          <t>RESP0099</t>
        </is>
      </c>
      <c r="C751" t="inlineStr">
        <is>
          <t>Stimulus</t>
        </is>
      </c>
      <c r="D751" t="inlineStr">
        <is>
          <t>foodwaste_visual</t>
        </is>
      </c>
      <c r="E751" t="n">
        <v>62</v>
      </c>
      <c r="F751" t="inlineStr">
        <is>
          <t>Negative Valence</t>
        </is>
      </c>
      <c r="G751" t="n">
        <v>-50</v>
      </c>
      <c r="H751" t="n">
        <v>3.23</v>
      </c>
      <c r="I751" t="n">
        <v>1</v>
      </c>
      <c r="J751" t="inlineStr">
        <is>
          <t>NA</t>
        </is>
      </c>
      <c r="K751" t="n">
        <v>96</v>
      </c>
    </row>
    <row r="752">
      <c r="A752" t="inlineStr">
        <is>
          <t>SIMULATED Food Waste Remote Study</t>
        </is>
      </c>
      <c r="B752" t="inlineStr">
        <is>
          <t>RESP0102</t>
        </is>
      </c>
      <c r="C752" t="inlineStr">
        <is>
          <t>Stimulus</t>
        </is>
      </c>
      <c r="D752" t="inlineStr">
        <is>
          <t>foodwaste_narrative</t>
        </is>
      </c>
      <c r="E752" t="n">
        <v>60</v>
      </c>
      <c r="F752" t="inlineStr">
        <is>
          <t>Engagement</t>
        </is>
      </c>
      <c r="G752" t="n">
        <v>50</v>
      </c>
      <c r="H752" t="n">
        <v>0</v>
      </c>
      <c r="I752" t="n">
        <v>0</v>
      </c>
      <c r="J752" t="inlineStr">
        <is>
          <t>NA</t>
        </is>
      </c>
      <c r="K752" t="n">
        <v>99.09999999999999</v>
      </c>
    </row>
    <row r="753">
      <c r="A753" t="inlineStr">
        <is>
          <t>SIMULATED Food Waste Remote Study</t>
        </is>
      </c>
      <c r="B753" t="inlineStr">
        <is>
          <t>RESP0102</t>
        </is>
      </c>
      <c r="C753" t="inlineStr">
        <is>
          <t>Stimulus</t>
        </is>
      </c>
      <c r="D753" t="inlineStr">
        <is>
          <t>foodwaste_narrative</t>
        </is>
      </c>
      <c r="E753" t="n">
        <v>60</v>
      </c>
      <c r="F753" t="inlineStr">
        <is>
          <t>Joy</t>
        </is>
      </c>
      <c r="G753" t="n">
        <v>50</v>
      </c>
      <c r="H753" t="n">
        <v>0</v>
      </c>
      <c r="I753" t="n">
        <v>0</v>
      </c>
      <c r="J753" t="inlineStr">
        <is>
          <t>NA</t>
        </is>
      </c>
      <c r="K753" t="n">
        <v>99.09999999999999</v>
      </c>
    </row>
    <row r="754">
      <c r="A754" t="inlineStr">
        <is>
          <t>SIMULATED Food Waste Remote Study</t>
        </is>
      </c>
      <c r="B754" t="inlineStr">
        <is>
          <t>RESP0102</t>
        </is>
      </c>
      <c r="C754" t="inlineStr">
        <is>
          <t>Stimulus</t>
        </is>
      </c>
      <c r="D754" t="inlineStr">
        <is>
          <t>foodwaste_narrative</t>
        </is>
      </c>
      <c r="E754" t="n">
        <v>60</v>
      </c>
      <c r="F754" t="inlineStr">
        <is>
          <t>Brow Furrow</t>
        </is>
      </c>
      <c r="G754" t="n">
        <v>50</v>
      </c>
      <c r="H754" t="n">
        <v>0</v>
      </c>
      <c r="I754" t="n">
        <v>0</v>
      </c>
      <c r="J754" t="inlineStr">
        <is>
          <t>NA</t>
        </is>
      </c>
      <c r="K754" t="n">
        <v>99.09999999999999</v>
      </c>
    </row>
    <row r="755">
      <c r="A755" t="inlineStr">
        <is>
          <t>SIMULATED Food Waste Remote Study</t>
        </is>
      </c>
      <c r="B755" t="inlineStr">
        <is>
          <t>RESP0102</t>
        </is>
      </c>
      <c r="C755" t="inlineStr">
        <is>
          <t>Stimulus</t>
        </is>
      </c>
      <c r="D755" t="inlineStr">
        <is>
          <t>foodwaste_narrative</t>
        </is>
      </c>
      <c r="E755" t="n">
        <v>60</v>
      </c>
      <c r="F755" t="inlineStr">
        <is>
          <t>Positive Valence</t>
        </is>
      </c>
      <c r="G755" t="n">
        <v>50</v>
      </c>
      <c r="H755" t="n">
        <v>0</v>
      </c>
      <c r="I755" t="n">
        <v>0</v>
      </c>
      <c r="J755" t="inlineStr">
        <is>
          <t>NA</t>
        </is>
      </c>
      <c r="K755" t="n">
        <v>99.09999999999999</v>
      </c>
    </row>
    <row r="756">
      <c r="A756" t="inlineStr">
        <is>
          <t>SIMULATED Food Waste Remote Study</t>
        </is>
      </c>
      <c r="B756" t="inlineStr">
        <is>
          <t>RESP0102</t>
        </is>
      </c>
      <c r="C756" t="inlineStr">
        <is>
          <t>Stimulus</t>
        </is>
      </c>
      <c r="D756" t="inlineStr">
        <is>
          <t>foodwaste_narrative</t>
        </is>
      </c>
      <c r="E756" t="n">
        <v>60</v>
      </c>
      <c r="F756" t="inlineStr">
        <is>
          <t>Negative Valence</t>
        </is>
      </c>
      <c r="G756" t="n">
        <v>-50</v>
      </c>
      <c r="H756" t="n">
        <v>4.56</v>
      </c>
      <c r="I756" t="n">
        <v>2</v>
      </c>
      <c r="J756" t="inlineStr">
        <is>
          <t>NA</t>
        </is>
      </c>
      <c r="K756" t="n">
        <v>99.09999999999999</v>
      </c>
    </row>
    <row r="757">
      <c r="A757" t="inlineStr">
        <is>
          <t>SIMULATED Food Waste Remote Study</t>
        </is>
      </c>
      <c r="B757" t="inlineStr">
        <is>
          <t>RESP0102</t>
        </is>
      </c>
      <c r="C757" t="inlineStr">
        <is>
          <t>Stimulus</t>
        </is>
      </c>
      <c r="D757" t="inlineStr">
        <is>
          <t>foodwaste_visual</t>
        </is>
      </c>
      <c r="E757" t="n">
        <v>62</v>
      </c>
      <c r="F757" t="inlineStr">
        <is>
          <t>Engagement</t>
        </is>
      </c>
      <c r="G757" t="n">
        <v>50</v>
      </c>
      <c r="H757" t="n">
        <v>39.78</v>
      </c>
      <c r="I757" t="n">
        <v>12</v>
      </c>
      <c r="J757" t="inlineStr">
        <is>
          <t>NA</t>
        </is>
      </c>
      <c r="K757" t="n">
        <v>98.90000000000001</v>
      </c>
    </row>
    <row r="758">
      <c r="A758" t="inlineStr">
        <is>
          <t>SIMULATED Food Waste Remote Study</t>
        </is>
      </c>
      <c r="B758" t="inlineStr">
        <is>
          <t>RESP0102</t>
        </is>
      </c>
      <c r="C758" t="inlineStr">
        <is>
          <t>Stimulus</t>
        </is>
      </c>
      <c r="D758" t="inlineStr">
        <is>
          <t>foodwaste_visual</t>
        </is>
      </c>
      <c r="E758" t="n">
        <v>62</v>
      </c>
      <c r="F758" t="inlineStr">
        <is>
          <t>Joy</t>
        </is>
      </c>
      <c r="G758" t="n">
        <v>50</v>
      </c>
      <c r="H758" t="n">
        <v>0</v>
      </c>
      <c r="I758" t="n">
        <v>0</v>
      </c>
      <c r="J758" t="inlineStr">
        <is>
          <t>NA</t>
        </is>
      </c>
      <c r="K758" t="n">
        <v>98.90000000000001</v>
      </c>
    </row>
    <row r="759">
      <c r="A759" t="inlineStr">
        <is>
          <t>SIMULATED Food Waste Remote Study</t>
        </is>
      </c>
      <c r="B759" t="inlineStr">
        <is>
          <t>RESP0102</t>
        </is>
      </c>
      <c r="C759" t="inlineStr">
        <is>
          <t>Stimulus</t>
        </is>
      </c>
      <c r="D759" t="inlineStr">
        <is>
          <t>foodwaste_visual</t>
        </is>
      </c>
      <c r="E759" t="n">
        <v>62</v>
      </c>
      <c r="F759" t="inlineStr">
        <is>
          <t>Brow Furrow</t>
        </is>
      </c>
      <c r="G759" t="n">
        <v>50</v>
      </c>
      <c r="H759" t="n">
        <v>2.26</v>
      </c>
      <c r="I759" t="n">
        <v>2</v>
      </c>
      <c r="J759" t="inlineStr">
        <is>
          <t>NA</t>
        </is>
      </c>
      <c r="K759" t="n">
        <v>98.90000000000001</v>
      </c>
    </row>
    <row r="760">
      <c r="A760" t="inlineStr">
        <is>
          <t>SIMULATED Food Waste Remote Study</t>
        </is>
      </c>
      <c r="B760" t="inlineStr">
        <is>
          <t>RESP0102</t>
        </is>
      </c>
      <c r="C760" t="inlineStr">
        <is>
          <t>Stimulus</t>
        </is>
      </c>
      <c r="D760" t="inlineStr">
        <is>
          <t>foodwaste_visual</t>
        </is>
      </c>
      <c r="E760" t="n">
        <v>62</v>
      </c>
      <c r="F760" t="inlineStr">
        <is>
          <t>Positive Valence</t>
        </is>
      </c>
      <c r="G760" t="n">
        <v>50</v>
      </c>
      <c r="H760" t="n">
        <v>13.39</v>
      </c>
      <c r="I760" t="n">
        <v>3</v>
      </c>
      <c r="J760" t="inlineStr">
        <is>
          <t>NA</t>
        </is>
      </c>
      <c r="K760" t="n">
        <v>98.90000000000001</v>
      </c>
    </row>
    <row r="761">
      <c r="A761" t="inlineStr">
        <is>
          <t>SIMULATED Food Waste Remote Study</t>
        </is>
      </c>
      <c r="B761" t="inlineStr">
        <is>
          <t>RESP0102</t>
        </is>
      </c>
      <c r="C761" t="inlineStr">
        <is>
          <t>Stimulus</t>
        </is>
      </c>
      <c r="D761" t="inlineStr">
        <is>
          <t>foodwaste_visual</t>
        </is>
      </c>
      <c r="E761" t="n">
        <v>62</v>
      </c>
      <c r="F761" t="inlineStr">
        <is>
          <t>Negative Valence</t>
        </is>
      </c>
      <c r="G761" t="n">
        <v>-50</v>
      </c>
      <c r="H761" t="n">
        <v>5.75</v>
      </c>
      <c r="I761" t="n">
        <v>2</v>
      </c>
      <c r="J761" t="inlineStr">
        <is>
          <t>NA</t>
        </is>
      </c>
      <c r="K761" t="n">
        <v>98.90000000000001</v>
      </c>
    </row>
    <row r="762">
      <c r="A762" t="inlineStr">
        <is>
          <t>SIMULATED Food Waste Remote Study</t>
        </is>
      </c>
      <c r="B762" t="inlineStr">
        <is>
          <t>RESP0108</t>
        </is>
      </c>
      <c r="C762" t="inlineStr">
        <is>
          <t>Stimulus</t>
        </is>
      </c>
      <c r="D762" t="inlineStr">
        <is>
          <t>foodwaste_narrative</t>
        </is>
      </c>
      <c r="E762" t="n">
        <v>60</v>
      </c>
      <c r="F762" t="inlineStr">
        <is>
          <t>Engagement</t>
        </is>
      </c>
      <c r="G762" t="n">
        <v>50</v>
      </c>
      <c r="H762" t="n">
        <v>0</v>
      </c>
      <c r="I762" t="n">
        <v>0</v>
      </c>
      <c r="J762" t="inlineStr">
        <is>
          <t>NA</t>
        </is>
      </c>
      <c r="K762" t="n">
        <v>96.59999999999999</v>
      </c>
    </row>
    <row r="763">
      <c r="A763" t="inlineStr">
        <is>
          <t>SIMULATED Food Waste Remote Study</t>
        </is>
      </c>
      <c r="B763" t="inlineStr">
        <is>
          <t>RESP0108</t>
        </is>
      </c>
      <c r="C763" t="inlineStr">
        <is>
          <t>Stimulus</t>
        </is>
      </c>
      <c r="D763" t="inlineStr">
        <is>
          <t>foodwaste_narrative</t>
        </is>
      </c>
      <c r="E763" t="n">
        <v>60</v>
      </c>
      <c r="F763" t="inlineStr">
        <is>
          <t>Joy</t>
        </is>
      </c>
      <c r="G763" t="n">
        <v>50</v>
      </c>
      <c r="H763" t="n">
        <v>1.83</v>
      </c>
      <c r="I763" t="n">
        <v>1</v>
      </c>
      <c r="J763" t="inlineStr">
        <is>
          <t>NA</t>
        </is>
      </c>
      <c r="K763" t="n">
        <v>96.59999999999999</v>
      </c>
    </row>
    <row r="764">
      <c r="A764" t="inlineStr">
        <is>
          <t>SIMULATED Food Waste Remote Study</t>
        </is>
      </c>
      <c r="B764" t="inlineStr">
        <is>
          <t>RESP0108</t>
        </is>
      </c>
      <c r="C764" t="inlineStr">
        <is>
          <t>Stimulus</t>
        </is>
      </c>
      <c r="D764" t="inlineStr">
        <is>
          <t>foodwaste_narrative</t>
        </is>
      </c>
      <c r="E764" t="n">
        <v>60</v>
      </c>
      <c r="F764" t="inlineStr">
        <is>
          <t>Brow Furrow</t>
        </is>
      </c>
      <c r="G764" t="n">
        <v>50</v>
      </c>
      <c r="H764" t="n">
        <v>0</v>
      </c>
      <c r="I764" t="n">
        <v>0</v>
      </c>
      <c r="J764" t="inlineStr">
        <is>
          <t>NA</t>
        </is>
      </c>
      <c r="K764" t="n">
        <v>96.59999999999999</v>
      </c>
    </row>
    <row r="765">
      <c r="A765" t="inlineStr">
        <is>
          <t>SIMULATED Food Waste Remote Study</t>
        </is>
      </c>
      <c r="B765" t="inlineStr">
        <is>
          <t>RESP0108</t>
        </is>
      </c>
      <c r="C765" t="inlineStr">
        <is>
          <t>Stimulus</t>
        </is>
      </c>
      <c r="D765" t="inlineStr">
        <is>
          <t>foodwaste_narrative</t>
        </is>
      </c>
      <c r="E765" t="n">
        <v>60</v>
      </c>
      <c r="F765" t="inlineStr">
        <is>
          <t>Positive Valence</t>
        </is>
      </c>
      <c r="G765" t="n">
        <v>50</v>
      </c>
      <c r="H765" t="n">
        <v>0</v>
      </c>
      <c r="I765" t="n">
        <v>0</v>
      </c>
      <c r="J765" t="inlineStr">
        <is>
          <t>NA</t>
        </is>
      </c>
      <c r="K765" t="n">
        <v>96.59999999999999</v>
      </c>
    </row>
    <row r="766">
      <c r="A766" t="inlineStr">
        <is>
          <t>SIMULATED Food Waste Remote Study</t>
        </is>
      </c>
      <c r="B766" t="inlineStr">
        <is>
          <t>RESP0108</t>
        </is>
      </c>
      <c r="C766" t="inlineStr">
        <is>
          <t>Stimulus</t>
        </is>
      </c>
      <c r="D766" t="inlineStr">
        <is>
          <t>foodwaste_narrative</t>
        </is>
      </c>
      <c r="E766" t="n">
        <v>60</v>
      </c>
      <c r="F766" t="inlineStr">
        <is>
          <t>Negative Valence</t>
        </is>
      </c>
      <c r="G766" t="n">
        <v>-50</v>
      </c>
      <c r="H766" t="n">
        <v>2.06</v>
      </c>
      <c r="I766" t="n">
        <v>1</v>
      </c>
      <c r="J766" t="inlineStr">
        <is>
          <t>NA</t>
        </is>
      </c>
      <c r="K766" t="n">
        <v>96.59999999999999</v>
      </c>
    </row>
    <row r="767">
      <c r="A767" t="inlineStr">
        <is>
          <t>SIMULATED Food Waste Remote Study</t>
        </is>
      </c>
      <c r="B767" t="inlineStr">
        <is>
          <t>RESP0108</t>
        </is>
      </c>
      <c r="C767" t="inlineStr">
        <is>
          <t>Stimulus</t>
        </is>
      </c>
      <c r="D767" t="inlineStr">
        <is>
          <t>foodwaste_visual</t>
        </is>
      </c>
      <c r="E767" t="n">
        <v>62</v>
      </c>
      <c r="F767" t="inlineStr">
        <is>
          <t>Engagement</t>
        </is>
      </c>
      <c r="G767" t="n">
        <v>50</v>
      </c>
      <c r="H767" t="n">
        <v>30.32</v>
      </c>
      <c r="I767" t="n">
        <v>7</v>
      </c>
      <c r="J767" t="inlineStr">
        <is>
          <t>NA</t>
        </is>
      </c>
      <c r="K767" t="n">
        <v>96.8</v>
      </c>
    </row>
    <row r="768">
      <c r="A768" t="inlineStr">
        <is>
          <t>SIMULATED Food Waste Remote Study</t>
        </is>
      </c>
      <c r="B768" t="inlineStr">
        <is>
          <t>RESP0108</t>
        </is>
      </c>
      <c r="C768" t="inlineStr">
        <is>
          <t>Stimulus</t>
        </is>
      </c>
      <c r="D768" t="inlineStr">
        <is>
          <t>foodwaste_visual</t>
        </is>
      </c>
      <c r="E768" t="n">
        <v>62</v>
      </c>
      <c r="F768" t="inlineStr">
        <is>
          <t>Joy</t>
        </is>
      </c>
      <c r="G768" t="n">
        <v>50</v>
      </c>
      <c r="H768" t="n">
        <v>5.38</v>
      </c>
      <c r="I768" t="n">
        <v>1</v>
      </c>
      <c r="J768" t="inlineStr">
        <is>
          <t>NA</t>
        </is>
      </c>
      <c r="K768" t="n">
        <v>96.8</v>
      </c>
    </row>
    <row r="769">
      <c r="A769" t="inlineStr">
        <is>
          <t>SIMULATED Food Waste Remote Study</t>
        </is>
      </c>
      <c r="B769" t="inlineStr">
        <is>
          <t>RESP0108</t>
        </is>
      </c>
      <c r="C769" t="inlineStr">
        <is>
          <t>Stimulus</t>
        </is>
      </c>
      <c r="D769" t="inlineStr">
        <is>
          <t>foodwaste_visual</t>
        </is>
      </c>
      <c r="E769" t="n">
        <v>62</v>
      </c>
      <c r="F769" t="inlineStr">
        <is>
          <t>Brow Furrow</t>
        </is>
      </c>
      <c r="G769" t="n">
        <v>50</v>
      </c>
      <c r="H769" t="n">
        <v>0</v>
      </c>
      <c r="I769" t="n">
        <v>0</v>
      </c>
      <c r="J769" t="inlineStr">
        <is>
          <t>NA</t>
        </is>
      </c>
      <c r="K769" t="n">
        <v>96.8</v>
      </c>
    </row>
    <row r="770">
      <c r="A770" t="inlineStr">
        <is>
          <t>SIMULATED Food Waste Remote Study</t>
        </is>
      </c>
      <c r="B770" t="inlineStr">
        <is>
          <t>RESP0108</t>
        </is>
      </c>
      <c r="C770" t="inlineStr">
        <is>
          <t>Stimulus</t>
        </is>
      </c>
      <c r="D770" t="inlineStr">
        <is>
          <t>foodwaste_visual</t>
        </is>
      </c>
      <c r="E770" t="n">
        <v>62</v>
      </c>
      <c r="F770" t="inlineStr">
        <is>
          <t>Positive Valence</t>
        </is>
      </c>
      <c r="G770" t="n">
        <v>50</v>
      </c>
      <c r="H770" t="n">
        <v>10.7</v>
      </c>
      <c r="I770" t="n">
        <v>6</v>
      </c>
      <c r="J770" t="inlineStr">
        <is>
          <t>NA</t>
        </is>
      </c>
      <c r="K770" t="n">
        <v>96.8</v>
      </c>
    </row>
    <row r="771">
      <c r="A771" t="inlineStr">
        <is>
          <t>SIMULATED Food Waste Remote Study</t>
        </is>
      </c>
      <c r="B771" t="inlineStr">
        <is>
          <t>RESP0108</t>
        </is>
      </c>
      <c r="C771" t="inlineStr">
        <is>
          <t>Stimulus</t>
        </is>
      </c>
      <c r="D771" t="inlineStr">
        <is>
          <t>foodwaste_visual</t>
        </is>
      </c>
      <c r="E771" t="n">
        <v>62</v>
      </c>
      <c r="F771" t="inlineStr">
        <is>
          <t>Negative Valence</t>
        </is>
      </c>
      <c r="G771" t="n">
        <v>-50</v>
      </c>
      <c r="H771" t="n">
        <v>0</v>
      </c>
      <c r="I771" t="n">
        <v>0</v>
      </c>
      <c r="J771" t="inlineStr">
        <is>
          <t>NA</t>
        </is>
      </c>
      <c r="K771" t="n">
        <v>96.8</v>
      </c>
    </row>
    <row r="772">
      <c r="A772" t="inlineStr">
        <is>
          <t>SIMULATED Food Waste Remote Study</t>
        </is>
      </c>
      <c r="B772" t="inlineStr">
        <is>
          <t>RESP0109</t>
        </is>
      </c>
      <c r="C772" t="inlineStr">
        <is>
          <t>Stimulus</t>
        </is>
      </c>
      <c r="D772" t="inlineStr">
        <is>
          <t>foodwaste_narrative</t>
        </is>
      </c>
      <c r="E772" t="n">
        <v>60</v>
      </c>
      <c r="F772" t="inlineStr">
        <is>
          <t>Engagement</t>
        </is>
      </c>
      <c r="G772" t="n">
        <v>50</v>
      </c>
      <c r="H772" t="n">
        <v>57.89</v>
      </c>
      <c r="I772" t="n">
        <v>10</v>
      </c>
      <c r="J772" t="inlineStr">
        <is>
          <t>NA</t>
        </is>
      </c>
      <c r="K772" t="n">
        <v>99.3</v>
      </c>
    </row>
    <row r="773">
      <c r="A773" t="inlineStr">
        <is>
          <t>SIMULATED Food Waste Remote Study</t>
        </is>
      </c>
      <c r="B773" t="inlineStr">
        <is>
          <t>RESP0109</t>
        </is>
      </c>
      <c r="C773" t="inlineStr">
        <is>
          <t>Stimulus</t>
        </is>
      </c>
      <c r="D773" t="inlineStr">
        <is>
          <t>foodwaste_narrative</t>
        </is>
      </c>
      <c r="E773" t="n">
        <v>60</v>
      </c>
      <c r="F773" t="inlineStr">
        <is>
          <t>Joy</t>
        </is>
      </c>
      <c r="G773" t="n">
        <v>50</v>
      </c>
      <c r="H773" t="n">
        <v>16.89</v>
      </c>
      <c r="I773" t="n">
        <v>4</v>
      </c>
      <c r="J773" t="inlineStr">
        <is>
          <t>NA</t>
        </is>
      </c>
      <c r="K773" t="n">
        <v>99.3</v>
      </c>
    </row>
    <row r="774">
      <c r="A774" t="inlineStr">
        <is>
          <t>SIMULATED Food Waste Remote Study</t>
        </is>
      </c>
      <c r="B774" t="inlineStr">
        <is>
          <t>RESP0109</t>
        </is>
      </c>
      <c r="C774" t="inlineStr">
        <is>
          <t>Stimulus</t>
        </is>
      </c>
      <c r="D774" t="inlineStr">
        <is>
          <t>foodwaste_narrative</t>
        </is>
      </c>
      <c r="E774" t="n">
        <v>60</v>
      </c>
      <c r="F774" t="inlineStr">
        <is>
          <t>Brow Furrow</t>
        </is>
      </c>
      <c r="G774" t="n">
        <v>50</v>
      </c>
      <c r="H774" t="n">
        <v>0</v>
      </c>
      <c r="I774" t="n">
        <v>0</v>
      </c>
      <c r="J774" t="inlineStr">
        <is>
          <t>NA</t>
        </is>
      </c>
      <c r="K774" t="n">
        <v>99.3</v>
      </c>
    </row>
    <row r="775">
      <c r="A775" t="inlineStr">
        <is>
          <t>SIMULATED Food Waste Remote Study</t>
        </is>
      </c>
      <c r="B775" t="inlineStr">
        <is>
          <t>RESP0109</t>
        </is>
      </c>
      <c r="C775" t="inlineStr">
        <is>
          <t>Stimulus</t>
        </is>
      </c>
      <c r="D775" t="inlineStr">
        <is>
          <t>foodwaste_narrative</t>
        </is>
      </c>
      <c r="E775" t="n">
        <v>60</v>
      </c>
      <c r="F775" t="inlineStr">
        <is>
          <t>Positive Valence</t>
        </is>
      </c>
      <c r="G775" t="n">
        <v>50</v>
      </c>
      <c r="H775" t="n">
        <v>0</v>
      </c>
      <c r="I775" t="n">
        <v>0</v>
      </c>
      <c r="J775" t="inlineStr">
        <is>
          <t>NA</t>
        </is>
      </c>
      <c r="K775" t="n">
        <v>99.3</v>
      </c>
    </row>
    <row r="776">
      <c r="A776" t="inlineStr">
        <is>
          <t>SIMULATED Food Waste Remote Study</t>
        </is>
      </c>
      <c r="B776" t="inlineStr">
        <is>
          <t>RESP0109</t>
        </is>
      </c>
      <c r="C776" t="inlineStr">
        <is>
          <t>Stimulus</t>
        </is>
      </c>
      <c r="D776" t="inlineStr">
        <is>
          <t>foodwaste_narrative</t>
        </is>
      </c>
      <c r="E776" t="n">
        <v>60</v>
      </c>
      <c r="F776" t="inlineStr">
        <is>
          <t>Negative Valence</t>
        </is>
      </c>
      <c r="G776" t="n">
        <v>-50</v>
      </c>
      <c r="H776" t="n">
        <v>0</v>
      </c>
      <c r="I776" t="n">
        <v>0</v>
      </c>
      <c r="J776" t="inlineStr">
        <is>
          <t>NA</t>
        </is>
      </c>
      <c r="K776" t="n">
        <v>99.3</v>
      </c>
    </row>
    <row r="777">
      <c r="A777" t="inlineStr">
        <is>
          <t>SIMULATED Food Waste Remote Study</t>
        </is>
      </c>
      <c r="B777" t="inlineStr">
        <is>
          <t>RESP0109</t>
        </is>
      </c>
      <c r="C777" t="inlineStr">
        <is>
          <t>Stimulus</t>
        </is>
      </c>
      <c r="D777" t="inlineStr">
        <is>
          <t>foodwaste_visual</t>
        </is>
      </c>
      <c r="E777" t="n">
        <v>62</v>
      </c>
      <c r="F777" t="inlineStr">
        <is>
          <t>Engagement</t>
        </is>
      </c>
      <c r="G777" t="n">
        <v>50</v>
      </c>
      <c r="H777" t="n">
        <v>34.35</v>
      </c>
      <c r="I777" t="n">
        <v>10</v>
      </c>
      <c r="J777" t="inlineStr">
        <is>
          <t>NA</t>
        </is>
      </c>
      <c r="K777" t="n">
        <v>99</v>
      </c>
    </row>
    <row r="778">
      <c r="A778" t="inlineStr">
        <is>
          <t>SIMULATED Food Waste Remote Study</t>
        </is>
      </c>
      <c r="B778" t="inlineStr">
        <is>
          <t>RESP0109</t>
        </is>
      </c>
      <c r="C778" t="inlineStr">
        <is>
          <t>Stimulus</t>
        </is>
      </c>
      <c r="D778" t="inlineStr">
        <is>
          <t>foodwaste_visual</t>
        </is>
      </c>
      <c r="E778" t="n">
        <v>62</v>
      </c>
      <c r="F778" t="inlineStr">
        <is>
          <t>Joy</t>
        </is>
      </c>
      <c r="G778" t="n">
        <v>50</v>
      </c>
      <c r="H778" t="n">
        <v>10.97</v>
      </c>
      <c r="I778" t="n">
        <v>2</v>
      </c>
      <c r="J778" t="inlineStr">
        <is>
          <t>NA</t>
        </is>
      </c>
      <c r="K778" t="n">
        <v>99</v>
      </c>
    </row>
    <row r="779">
      <c r="A779" t="inlineStr">
        <is>
          <t>SIMULATED Food Waste Remote Study</t>
        </is>
      </c>
      <c r="B779" t="inlineStr">
        <is>
          <t>RESP0109</t>
        </is>
      </c>
      <c r="C779" t="inlineStr">
        <is>
          <t>Stimulus</t>
        </is>
      </c>
      <c r="D779" t="inlineStr">
        <is>
          <t>foodwaste_visual</t>
        </is>
      </c>
      <c r="E779" t="n">
        <v>62</v>
      </c>
      <c r="F779" t="inlineStr">
        <is>
          <t>Brow Furrow</t>
        </is>
      </c>
      <c r="G779" t="n">
        <v>50</v>
      </c>
      <c r="H779" t="n">
        <v>14.03</v>
      </c>
      <c r="I779" t="n">
        <v>3</v>
      </c>
      <c r="J779" t="inlineStr">
        <is>
          <t>NA</t>
        </is>
      </c>
      <c r="K779" t="n">
        <v>99</v>
      </c>
    </row>
    <row r="780">
      <c r="A780" t="inlineStr">
        <is>
          <t>SIMULATED Food Waste Remote Study</t>
        </is>
      </c>
      <c r="B780" t="inlineStr">
        <is>
          <t>RESP0109</t>
        </is>
      </c>
      <c r="C780" t="inlineStr">
        <is>
          <t>Stimulus</t>
        </is>
      </c>
      <c r="D780" t="inlineStr">
        <is>
          <t>foodwaste_visual</t>
        </is>
      </c>
      <c r="E780" t="n">
        <v>62</v>
      </c>
      <c r="F780" t="inlineStr">
        <is>
          <t>Positive Valence</t>
        </is>
      </c>
      <c r="G780" t="n">
        <v>50</v>
      </c>
      <c r="H780" t="n">
        <v>1.02</v>
      </c>
      <c r="I780" t="n">
        <v>1</v>
      </c>
      <c r="J780" t="inlineStr">
        <is>
          <t>NA</t>
        </is>
      </c>
      <c r="K780" t="n">
        <v>99</v>
      </c>
    </row>
    <row r="781">
      <c r="A781" t="inlineStr">
        <is>
          <t>SIMULATED Food Waste Remote Study</t>
        </is>
      </c>
      <c r="B781" t="inlineStr">
        <is>
          <t>RESP0109</t>
        </is>
      </c>
      <c r="C781" t="inlineStr">
        <is>
          <t>Stimulus</t>
        </is>
      </c>
      <c r="D781" t="inlineStr">
        <is>
          <t>foodwaste_visual</t>
        </is>
      </c>
      <c r="E781" t="n">
        <v>62</v>
      </c>
      <c r="F781" t="inlineStr">
        <is>
          <t>Negative Valence</t>
        </is>
      </c>
      <c r="G781" t="n">
        <v>-50</v>
      </c>
      <c r="H781" t="n">
        <v>4.03</v>
      </c>
      <c r="I781" t="n">
        <v>2</v>
      </c>
      <c r="J781" t="inlineStr">
        <is>
          <t>NA</t>
        </is>
      </c>
      <c r="K781" t="n">
        <v>99</v>
      </c>
    </row>
    <row r="782">
      <c r="A782" t="inlineStr">
        <is>
          <t>SIMULATED Food Waste Remote Study</t>
        </is>
      </c>
      <c r="B782" t="inlineStr">
        <is>
          <t>RESP0111</t>
        </is>
      </c>
      <c r="C782" t="inlineStr">
        <is>
          <t>Stimulus</t>
        </is>
      </c>
      <c r="D782" t="inlineStr">
        <is>
          <t>foodwaste_narrative</t>
        </is>
      </c>
      <c r="E782" t="n">
        <v>60</v>
      </c>
      <c r="F782" t="inlineStr">
        <is>
          <t>Engagement</t>
        </is>
      </c>
      <c r="G782" t="n">
        <v>50</v>
      </c>
      <c r="H782" t="n">
        <v>0.17</v>
      </c>
      <c r="I782" t="n">
        <v>1</v>
      </c>
      <c r="J782" t="inlineStr">
        <is>
          <t>NA</t>
        </is>
      </c>
      <c r="K782" t="n">
        <v>88.2</v>
      </c>
    </row>
    <row r="783">
      <c r="A783" t="inlineStr">
        <is>
          <t>SIMULATED Food Waste Remote Study</t>
        </is>
      </c>
      <c r="B783" t="inlineStr">
        <is>
          <t>RESP0111</t>
        </is>
      </c>
      <c r="C783" t="inlineStr">
        <is>
          <t>Stimulus</t>
        </is>
      </c>
      <c r="D783" t="inlineStr">
        <is>
          <t>foodwaste_narrative</t>
        </is>
      </c>
      <c r="E783" t="n">
        <v>60</v>
      </c>
      <c r="F783" t="inlineStr">
        <is>
          <t>Joy</t>
        </is>
      </c>
      <c r="G783" t="n">
        <v>50</v>
      </c>
      <c r="H783" t="n">
        <v>20.17</v>
      </c>
      <c r="I783" t="n">
        <v>6</v>
      </c>
      <c r="J783" t="inlineStr">
        <is>
          <t>NA</t>
        </is>
      </c>
      <c r="K783" t="n">
        <v>88.2</v>
      </c>
    </row>
    <row r="784">
      <c r="A784" t="inlineStr">
        <is>
          <t>SIMULATED Food Waste Remote Study</t>
        </is>
      </c>
      <c r="B784" t="inlineStr">
        <is>
          <t>RESP0111</t>
        </is>
      </c>
      <c r="C784" t="inlineStr">
        <is>
          <t>Stimulus</t>
        </is>
      </c>
      <c r="D784" t="inlineStr">
        <is>
          <t>foodwaste_narrative</t>
        </is>
      </c>
      <c r="E784" t="n">
        <v>60</v>
      </c>
      <c r="F784" t="inlineStr">
        <is>
          <t>Brow Furrow</t>
        </is>
      </c>
      <c r="G784" t="n">
        <v>50</v>
      </c>
      <c r="H784" t="n">
        <v>1.11</v>
      </c>
      <c r="I784" t="n">
        <v>1</v>
      </c>
      <c r="J784" t="inlineStr">
        <is>
          <t>NA</t>
        </is>
      </c>
      <c r="K784" t="n">
        <v>88.2</v>
      </c>
    </row>
    <row r="785">
      <c r="A785" t="inlineStr">
        <is>
          <t>SIMULATED Food Waste Remote Study</t>
        </is>
      </c>
      <c r="B785" t="inlineStr">
        <is>
          <t>RESP0111</t>
        </is>
      </c>
      <c r="C785" t="inlineStr">
        <is>
          <t>Stimulus</t>
        </is>
      </c>
      <c r="D785" t="inlineStr">
        <is>
          <t>foodwaste_narrative</t>
        </is>
      </c>
      <c r="E785" t="n">
        <v>60</v>
      </c>
      <c r="F785" t="inlineStr">
        <is>
          <t>Positive Valence</t>
        </is>
      </c>
      <c r="G785" t="n">
        <v>50</v>
      </c>
      <c r="H785" t="n">
        <v>8.279999999999999</v>
      </c>
      <c r="I785" t="n">
        <v>3</v>
      </c>
      <c r="J785" t="inlineStr">
        <is>
          <t>NA</t>
        </is>
      </c>
      <c r="K785" t="n">
        <v>88.2</v>
      </c>
    </row>
    <row r="786">
      <c r="A786" t="inlineStr">
        <is>
          <t>SIMULATED Food Waste Remote Study</t>
        </is>
      </c>
      <c r="B786" t="inlineStr">
        <is>
          <t>RESP0111</t>
        </is>
      </c>
      <c r="C786" t="inlineStr">
        <is>
          <t>Stimulus</t>
        </is>
      </c>
      <c r="D786" t="inlineStr">
        <is>
          <t>foodwaste_narrative</t>
        </is>
      </c>
      <c r="E786" t="n">
        <v>60</v>
      </c>
      <c r="F786" t="inlineStr">
        <is>
          <t>Negative Valence</t>
        </is>
      </c>
      <c r="G786" t="n">
        <v>-50</v>
      </c>
      <c r="H786" t="n">
        <v>3.67</v>
      </c>
      <c r="I786" t="n">
        <v>4</v>
      </c>
      <c r="J786" t="inlineStr">
        <is>
          <t>NA</t>
        </is>
      </c>
      <c r="K786" t="n">
        <v>88.2</v>
      </c>
    </row>
    <row r="787">
      <c r="A787" t="inlineStr">
        <is>
          <t>SIMULATED Food Waste Remote Study</t>
        </is>
      </c>
      <c r="B787" t="inlineStr">
        <is>
          <t>RESP0111</t>
        </is>
      </c>
      <c r="C787" t="inlineStr">
        <is>
          <t>Stimulus</t>
        </is>
      </c>
      <c r="D787" t="inlineStr">
        <is>
          <t>foodwaste_visual</t>
        </is>
      </c>
      <c r="E787" t="n">
        <v>62</v>
      </c>
      <c r="F787" t="inlineStr">
        <is>
          <t>Engagement</t>
        </is>
      </c>
      <c r="G787" t="n">
        <v>50</v>
      </c>
      <c r="H787" t="n">
        <v>70.81</v>
      </c>
      <c r="I787" t="n">
        <v>16</v>
      </c>
      <c r="J787" t="inlineStr">
        <is>
          <t>NA</t>
        </is>
      </c>
      <c r="K787" t="n">
        <v>88</v>
      </c>
    </row>
    <row r="788">
      <c r="A788" t="inlineStr">
        <is>
          <t>SIMULATED Food Waste Remote Study</t>
        </is>
      </c>
      <c r="B788" t="inlineStr">
        <is>
          <t>RESP0111</t>
        </is>
      </c>
      <c r="C788" t="inlineStr">
        <is>
          <t>Stimulus</t>
        </is>
      </c>
      <c r="D788" t="inlineStr">
        <is>
          <t>foodwaste_visual</t>
        </is>
      </c>
      <c r="E788" t="n">
        <v>62</v>
      </c>
      <c r="F788" t="inlineStr">
        <is>
          <t>Joy</t>
        </is>
      </c>
      <c r="G788" t="n">
        <v>50</v>
      </c>
      <c r="H788" t="n">
        <v>14.78</v>
      </c>
      <c r="I788" t="n">
        <v>1</v>
      </c>
      <c r="J788" t="inlineStr">
        <is>
          <t>NA</t>
        </is>
      </c>
      <c r="K788" t="n">
        <v>88</v>
      </c>
    </row>
    <row r="789">
      <c r="A789" t="inlineStr">
        <is>
          <t>SIMULATED Food Waste Remote Study</t>
        </is>
      </c>
      <c r="B789" t="inlineStr">
        <is>
          <t>RESP0111</t>
        </is>
      </c>
      <c r="C789" t="inlineStr">
        <is>
          <t>Stimulus</t>
        </is>
      </c>
      <c r="D789" t="inlineStr">
        <is>
          <t>foodwaste_visual</t>
        </is>
      </c>
      <c r="E789" t="n">
        <v>62</v>
      </c>
      <c r="F789" t="inlineStr">
        <is>
          <t>Brow Furrow</t>
        </is>
      </c>
      <c r="G789" t="n">
        <v>50</v>
      </c>
      <c r="H789" t="n">
        <v>25.32</v>
      </c>
      <c r="I789" t="n">
        <v>7</v>
      </c>
      <c r="J789" t="inlineStr">
        <is>
          <t>NA</t>
        </is>
      </c>
      <c r="K789" t="n">
        <v>88</v>
      </c>
    </row>
    <row r="790">
      <c r="A790" t="inlineStr">
        <is>
          <t>SIMULATED Food Waste Remote Study</t>
        </is>
      </c>
      <c r="B790" t="inlineStr">
        <is>
          <t>RESP0111</t>
        </is>
      </c>
      <c r="C790" t="inlineStr">
        <is>
          <t>Stimulus</t>
        </is>
      </c>
      <c r="D790" t="inlineStr">
        <is>
          <t>foodwaste_visual</t>
        </is>
      </c>
      <c r="E790" t="n">
        <v>62</v>
      </c>
      <c r="F790" t="inlineStr">
        <is>
          <t>Positive Valence</t>
        </is>
      </c>
      <c r="G790" t="n">
        <v>50</v>
      </c>
      <c r="H790" t="n">
        <v>0</v>
      </c>
      <c r="I790" t="n">
        <v>0</v>
      </c>
      <c r="J790" t="inlineStr">
        <is>
          <t>NA</t>
        </is>
      </c>
      <c r="K790" t="n">
        <v>88</v>
      </c>
    </row>
    <row r="791">
      <c r="A791" t="inlineStr">
        <is>
          <t>SIMULATED Food Waste Remote Study</t>
        </is>
      </c>
      <c r="B791" t="inlineStr">
        <is>
          <t>RESP0111</t>
        </is>
      </c>
      <c r="C791" t="inlineStr">
        <is>
          <t>Stimulus</t>
        </is>
      </c>
      <c r="D791" t="inlineStr">
        <is>
          <t>foodwaste_visual</t>
        </is>
      </c>
      <c r="E791" t="n">
        <v>62</v>
      </c>
      <c r="F791" t="inlineStr">
        <is>
          <t>Negative Valence</t>
        </is>
      </c>
      <c r="G791" t="n">
        <v>-50</v>
      </c>
      <c r="H791" t="n">
        <v>4.25</v>
      </c>
      <c r="I791" t="n">
        <v>3</v>
      </c>
      <c r="J791" t="inlineStr">
        <is>
          <t>NA</t>
        </is>
      </c>
      <c r="K791" t="n">
        <v>88</v>
      </c>
    </row>
    <row r="792">
      <c r="A792" t="inlineStr">
        <is>
          <t>SIMULATED Food Waste Remote Study</t>
        </is>
      </c>
      <c r="B792" t="inlineStr">
        <is>
          <t>RESP0112</t>
        </is>
      </c>
      <c r="C792" t="inlineStr">
        <is>
          <t>Stimulus</t>
        </is>
      </c>
      <c r="D792" t="inlineStr">
        <is>
          <t>foodwaste_narrative</t>
        </is>
      </c>
      <c r="E792" t="n">
        <v>60</v>
      </c>
      <c r="F792" t="inlineStr">
        <is>
          <t>Engagement</t>
        </is>
      </c>
      <c r="G792" t="n">
        <v>50</v>
      </c>
      <c r="H792" t="n">
        <v>20.39</v>
      </c>
      <c r="I792" t="n">
        <v>3</v>
      </c>
      <c r="J792" t="inlineStr">
        <is>
          <t>NA</t>
        </is>
      </c>
      <c r="K792" t="n">
        <v>99</v>
      </c>
    </row>
    <row r="793">
      <c r="A793" t="inlineStr">
        <is>
          <t>SIMULATED Food Waste Remote Study</t>
        </is>
      </c>
      <c r="B793" t="inlineStr">
        <is>
          <t>RESP0112</t>
        </is>
      </c>
      <c r="C793" t="inlineStr">
        <is>
          <t>Stimulus</t>
        </is>
      </c>
      <c r="D793" t="inlineStr">
        <is>
          <t>foodwaste_narrative</t>
        </is>
      </c>
      <c r="E793" t="n">
        <v>60</v>
      </c>
      <c r="F793" t="inlineStr">
        <is>
          <t>Joy</t>
        </is>
      </c>
      <c r="G793" t="n">
        <v>50</v>
      </c>
      <c r="H793" t="n">
        <v>1.56</v>
      </c>
      <c r="I793" t="n">
        <v>1</v>
      </c>
      <c r="J793" t="inlineStr">
        <is>
          <t>NA</t>
        </is>
      </c>
      <c r="K793" t="n">
        <v>99</v>
      </c>
    </row>
    <row r="794">
      <c r="A794" t="inlineStr">
        <is>
          <t>SIMULATED Food Waste Remote Study</t>
        </is>
      </c>
      <c r="B794" t="inlineStr">
        <is>
          <t>RESP0112</t>
        </is>
      </c>
      <c r="C794" t="inlineStr">
        <is>
          <t>Stimulus</t>
        </is>
      </c>
      <c r="D794" t="inlineStr">
        <is>
          <t>foodwaste_narrative</t>
        </is>
      </c>
      <c r="E794" t="n">
        <v>60</v>
      </c>
      <c r="F794" t="inlineStr">
        <is>
          <t>Brow Furrow</t>
        </is>
      </c>
      <c r="G794" t="n">
        <v>50</v>
      </c>
      <c r="H794" t="n">
        <v>0</v>
      </c>
      <c r="I794" t="n">
        <v>0</v>
      </c>
      <c r="J794" t="inlineStr">
        <is>
          <t>NA</t>
        </is>
      </c>
      <c r="K794" t="n">
        <v>99</v>
      </c>
    </row>
    <row r="795">
      <c r="A795" t="inlineStr">
        <is>
          <t>SIMULATED Food Waste Remote Study</t>
        </is>
      </c>
      <c r="B795" t="inlineStr">
        <is>
          <t>RESP0112</t>
        </is>
      </c>
      <c r="C795" t="inlineStr">
        <is>
          <t>Stimulus</t>
        </is>
      </c>
      <c r="D795" t="inlineStr">
        <is>
          <t>foodwaste_narrative</t>
        </is>
      </c>
      <c r="E795" t="n">
        <v>60</v>
      </c>
      <c r="F795" t="inlineStr">
        <is>
          <t>Positive Valence</t>
        </is>
      </c>
      <c r="G795" t="n">
        <v>50</v>
      </c>
      <c r="H795" t="n">
        <v>4.83</v>
      </c>
      <c r="I795" t="n">
        <v>1</v>
      </c>
      <c r="J795" t="inlineStr">
        <is>
          <t>NA</t>
        </is>
      </c>
      <c r="K795" t="n">
        <v>99</v>
      </c>
    </row>
    <row r="796">
      <c r="A796" t="inlineStr">
        <is>
          <t>SIMULATED Food Waste Remote Study</t>
        </is>
      </c>
      <c r="B796" t="inlineStr">
        <is>
          <t>RESP0112</t>
        </is>
      </c>
      <c r="C796" t="inlineStr">
        <is>
          <t>Stimulus</t>
        </is>
      </c>
      <c r="D796" t="inlineStr">
        <is>
          <t>foodwaste_narrative</t>
        </is>
      </c>
      <c r="E796" t="n">
        <v>60</v>
      </c>
      <c r="F796" t="inlineStr">
        <is>
          <t>Negative Valence</t>
        </is>
      </c>
      <c r="G796" t="n">
        <v>-50</v>
      </c>
      <c r="H796" t="n">
        <v>1.44</v>
      </c>
      <c r="I796" t="n">
        <v>1</v>
      </c>
      <c r="J796" t="inlineStr">
        <is>
          <t>NA</t>
        </is>
      </c>
      <c r="K796" t="n">
        <v>99</v>
      </c>
    </row>
    <row r="797">
      <c r="A797" t="inlineStr">
        <is>
          <t>SIMULATED Food Waste Remote Study</t>
        </is>
      </c>
      <c r="B797" t="inlineStr">
        <is>
          <t>RESP0112</t>
        </is>
      </c>
      <c r="C797" t="inlineStr">
        <is>
          <t>Stimulus</t>
        </is>
      </c>
      <c r="D797" t="inlineStr">
        <is>
          <t>foodwaste_visual</t>
        </is>
      </c>
      <c r="E797" t="n">
        <v>62</v>
      </c>
      <c r="F797" t="inlineStr">
        <is>
          <t>Engagement</t>
        </is>
      </c>
      <c r="G797" t="n">
        <v>50</v>
      </c>
      <c r="H797" t="n">
        <v>44.57</v>
      </c>
      <c r="I797" t="n">
        <v>11</v>
      </c>
      <c r="J797" t="inlineStr">
        <is>
          <t>NA</t>
        </is>
      </c>
      <c r="K797" t="n">
        <v>98.8</v>
      </c>
    </row>
    <row r="798">
      <c r="A798" t="inlineStr">
        <is>
          <t>SIMULATED Food Waste Remote Study</t>
        </is>
      </c>
      <c r="B798" t="inlineStr">
        <is>
          <t>RESP0112</t>
        </is>
      </c>
      <c r="C798" t="inlineStr">
        <is>
          <t>Stimulus</t>
        </is>
      </c>
      <c r="D798" t="inlineStr">
        <is>
          <t>foodwaste_visual</t>
        </is>
      </c>
      <c r="E798" t="n">
        <v>62</v>
      </c>
      <c r="F798" t="inlineStr">
        <is>
          <t>Joy</t>
        </is>
      </c>
      <c r="G798" t="n">
        <v>50</v>
      </c>
      <c r="H798" t="n">
        <v>0.7</v>
      </c>
      <c r="I798" t="n">
        <v>1</v>
      </c>
      <c r="J798" t="inlineStr">
        <is>
          <t>NA</t>
        </is>
      </c>
      <c r="K798" t="n">
        <v>98.8</v>
      </c>
    </row>
    <row r="799">
      <c r="A799" t="inlineStr">
        <is>
          <t>SIMULATED Food Waste Remote Study</t>
        </is>
      </c>
      <c r="B799" t="inlineStr">
        <is>
          <t>RESP0112</t>
        </is>
      </c>
      <c r="C799" t="inlineStr">
        <is>
          <t>Stimulus</t>
        </is>
      </c>
      <c r="D799" t="inlineStr">
        <is>
          <t>foodwaste_visual</t>
        </is>
      </c>
      <c r="E799" t="n">
        <v>62</v>
      </c>
      <c r="F799" t="inlineStr">
        <is>
          <t>Brow Furrow</t>
        </is>
      </c>
      <c r="G799" t="n">
        <v>50</v>
      </c>
      <c r="H799" t="n">
        <v>1.94</v>
      </c>
      <c r="I799" t="n">
        <v>1</v>
      </c>
      <c r="J799" t="inlineStr">
        <is>
          <t>NA</t>
        </is>
      </c>
      <c r="K799" t="n">
        <v>98.8</v>
      </c>
    </row>
    <row r="800">
      <c r="A800" t="inlineStr">
        <is>
          <t>SIMULATED Food Waste Remote Study</t>
        </is>
      </c>
      <c r="B800" t="inlineStr">
        <is>
          <t>RESP0112</t>
        </is>
      </c>
      <c r="C800" t="inlineStr">
        <is>
          <t>Stimulus</t>
        </is>
      </c>
      <c r="D800" t="inlineStr">
        <is>
          <t>foodwaste_visual</t>
        </is>
      </c>
      <c r="E800" t="n">
        <v>62</v>
      </c>
      <c r="F800" t="inlineStr">
        <is>
          <t>Positive Valence</t>
        </is>
      </c>
      <c r="G800" t="n">
        <v>50</v>
      </c>
      <c r="H800" t="n">
        <v>4.14</v>
      </c>
      <c r="I800" t="n">
        <v>1</v>
      </c>
      <c r="J800" t="inlineStr">
        <is>
          <t>NA</t>
        </is>
      </c>
      <c r="K800" t="n">
        <v>98.8</v>
      </c>
    </row>
    <row r="801">
      <c r="A801" t="inlineStr">
        <is>
          <t>SIMULATED Food Waste Remote Study</t>
        </is>
      </c>
      <c r="B801" t="inlineStr">
        <is>
          <t>RESP0112</t>
        </is>
      </c>
      <c r="C801" t="inlineStr">
        <is>
          <t>Stimulus</t>
        </is>
      </c>
      <c r="D801" t="inlineStr">
        <is>
          <t>foodwaste_visual</t>
        </is>
      </c>
      <c r="E801" t="n">
        <v>62</v>
      </c>
      <c r="F801" t="inlineStr">
        <is>
          <t>Negative Valence</t>
        </is>
      </c>
      <c r="G801" t="n">
        <v>-50</v>
      </c>
      <c r="H801" t="n">
        <v>0.75</v>
      </c>
      <c r="I801" t="n">
        <v>2</v>
      </c>
      <c r="J801" t="inlineStr">
        <is>
          <t>NA</t>
        </is>
      </c>
      <c r="K801" t="n">
        <v>98.8</v>
      </c>
    </row>
    <row r="802">
      <c r="A802" t="inlineStr">
        <is>
          <t>SIMULATED Food Waste Remote Study</t>
        </is>
      </c>
      <c r="B802" t="inlineStr">
        <is>
          <t>RESP0113</t>
        </is>
      </c>
      <c r="C802" t="inlineStr">
        <is>
          <t>Stimulus</t>
        </is>
      </c>
      <c r="D802" t="inlineStr">
        <is>
          <t>foodwaste_narrative</t>
        </is>
      </c>
      <c r="E802" t="n">
        <v>60</v>
      </c>
      <c r="F802" t="inlineStr">
        <is>
          <t>Engagement</t>
        </is>
      </c>
      <c r="G802" t="n">
        <v>50</v>
      </c>
      <c r="H802" t="n">
        <v>4.5</v>
      </c>
      <c r="I802" t="n">
        <v>2</v>
      </c>
      <c r="J802" t="inlineStr">
        <is>
          <t>NA</t>
        </is>
      </c>
      <c r="K802" t="n">
        <v>99.2</v>
      </c>
    </row>
    <row r="803">
      <c r="A803" t="inlineStr">
        <is>
          <t>SIMULATED Food Waste Remote Study</t>
        </is>
      </c>
      <c r="B803" t="inlineStr">
        <is>
          <t>RESP0113</t>
        </is>
      </c>
      <c r="C803" t="inlineStr">
        <is>
          <t>Stimulus</t>
        </is>
      </c>
      <c r="D803" t="inlineStr">
        <is>
          <t>foodwaste_narrative</t>
        </is>
      </c>
      <c r="E803" t="n">
        <v>60</v>
      </c>
      <c r="F803" t="inlineStr">
        <is>
          <t>Joy</t>
        </is>
      </c>
      <c r="G803" t="n">
        <v>50</v>
      </c>
      <c r="H803" t="n">
        <v>4.44</v>
      </c>
      <c r="I803" t="n">
        <v>3</v>
      </c>
      <c r="J803" t="inlineStr">
        <is>
          <t>NA</t>
        </is>
      </c>
      <c r="K803" t="n">
        <v>99.2</v>
      </c>
    </row>
    <row r="804">
      <c r="A804" t="inlineStr">
        <is>
          <t>SIMULATED Food Waste Remote Study</t>
        </is>
      </c>
      <c r="B804" t="inlineStr">
        <is>
          <t>RESP0113</t>
        </is>
      </c>
      <c r="C804" t="inlineStr">
        <is>
          <t>Stimulus</t>
        </is>
      </c>
      <c r="D804" t="inlineStr">
        <is>
          <t>foodwaste_narrative</t>
        </is>
      </c>
      <c r="E804" t="n">
        <v>60</v>
      </c>
      <c r="F804" t="inlineStr">
        <is>
          <t>Brow Furrow</t>
        </is>
      </c>
      <c r="G804" t="n">
        <v>50</v>
      </c>
      <c r="H804" t="n">
        <v>0</v>
      </c>
      <c r="I804" t="n">
        <v>0</v>
      </c>
      <c r="J804" t="inlineStr">
        <is>
          <t>NA</t>
        </is>
      </c>
      <c r="K804" t="n">
        <v>99.2</v>
      </c>
    </row>
    <row r="805">
      <c r="A805" t="inlineStr">
        <is>
          <t>SIMULATED Food Waste Remote Study</t>
        </is>
      </c>
      <c r="B805" t="inlineStr">
        <is>
          <t>RESP0113</t>
        </is>
      </c>
      <c r="C805" t="inlineStr">
        <is>
          <t>Stimulus</t>
        </is>
      </c>
      <c r="D805" t="inlineStr">
        <is>
          <t>foodwaste_narrative</t>
        </is>
      </c>
      <c r="E805" t="n">
        <v>60</v>
      </c>
      <c r="F805" t="inlineStr">
        <is>
          <t>Positive Valence</t>
        </is>
      </c>
      <c r="G805" t="n">
        <v>50</v>
      </c>
      <c r="H805" t="n">
        <v>0</v>
      </c>
      <c r="I805" t="n">
        <v>0</v>
      </c>
      <c r="J805" t="inlineStr">
        <is>
          <t>NA</t>
        </is>
      </c>
      <c r="K805" t="n">
        <v>99.2</v>
      </c>
    </row>
    <row r="806">
      <c r="A806" t="inlineStr">
        <is>
          <t>SIMULATED Food Waste Remote Study</t>
        </is>
      </c>
      <c r="B806" t="inlineStr">
        <is>
          <t>RESP0113</t>
        </is>
      </c>
      <c r="C806" t="inlineStr">
        <is>
          <t>Stimulus</t>
        </is>
      </c>
      <c r="D806" t="inlineStr">
        <is>
          <t>foodwaste_narrative</t>
        </is>
      </c>
      <c r="E806" t="n">
        <v>60</v>
      </c>
      <c r="F806" t="inlineStr">
        <is>
          <t>Negative Valence</t>
        </is>
      </c>
      <c r="G806" t="n">
        <v>-50</v>
      </c>
      <c r="H806" t="n">
        <v>0</v>
      </c>
      <c r="I806" t="n">
        <v>0</v>
      </c>
      <c r="J806" t="inlineStr">
        <is>
          <t>NA</t>
        </is>
      </c>
      <c r="K806" t="n">
        <v>99.2</v>
      </c>
    </row>
    <row r="807">
      <c r="A807" t="inlineStr">
        <is>
          <t>SIMULATED Food Waste Remote Study</t>
        </is>
      </c>
      <c r="B807" t="inlineStr">
        <is>
          <t>RESP0113</t>
        </is>
      </c>
      <c r="C807" t="inlineStr">
        <is>
          <t>Stimulus</t>
        </is>
      </c>
      <c r="D807" t="inlineStr">
        <is>
          <t>foodwaste_visual</t>
        </is>
      </c>
      <c r="E807" t="n">
        <v>62</v>
      </c>
      <c r="F807" t="inlineStr">
        <is>
          <t>Engagement</t>
        </is>
      </c>
      <c r="G807" t="n">
        <v>50</v>
      </c>
      <c r="H807" t="n">
        <v>21.56</v>
      </c>
      <c r="I807" t="n">
        <v>7</v>
      </c>
      <c r="J807" t="inlineStr">
        <is>
          <t>NA</t>
        </is>
      </c>
      <c r="K807" t="n">
        <v>98.7</v>
      </c>
    </row>
    <row r="808">
      <c r="A808" t="inlineStr">
        <is>
          <t>SIMULATED Food Waste Remote Study</t>
        </is>
      </c>
      <c r="B808" t="inlineStr">
        <is>
          <t>RESP0113</t>
        </is>
      </c>
      <c r="C808" t="inlineStr">
        <is>
          <t>Stimulus</t>
        </is>
      </c>
      <c r="D808" t="inlineStr">
        <is>
          <t>foodwaste_visual</t>
        </is>
      </c>
      <c r="E808" t="n">
        <v>62</v>
      </c>
      <c r="F808" t="inlineStr">
        <is>
          <t>Joy</t>
        </is>
      </c>
      <c r="G808" t="n">
        <v>50</v>
      </c>
      <c r="H808" t="n">
        <v>0</v>
      </c>
      <c r="I808" t="n">
        <v>0</v>
      </c>
      <c r="J808" t="inlineStr">
        <is>
          <t>NA</t>
        </is>
      </c>
      <c r="K808" t="n">
        <v>98.7</v>
      </c>
    </row>
    <row r="809">
      <c r="A809" t="inlineStr">
        <is>
          <t>SIMULATED Food Waste Remote Study</t>
        </is>
      </c>
      <c r="B809" t="inlineStr">
        <is>
          <t>RESP0113</t>
        </is>
      </c>
      <c r="C809" t="inlineStr">
        <is>
          <t>Stimulus</t>
        </is>
      </c>
      <c r="D809" t="inlineStr">
        <is>
          <t>foodwaste_visual</t>
        </is>
      </c>
      <c r="E809" t="n">
        <v>62</v>
      </c>
      <c r="F809" t="inlineStr">
        <is>
          <t>Brow Furrow</t>
        </is>
      </c>
      <c r="G809" t="n">
        <v>50</v>
      </c>
      <c r="H809" t="n">
        <v>0</v>
      </c>
      <c r="I809" t="n">
        <v>0</v>
      </c>
      <c r="J809" t="inlineStr">
        <is>
          <t>NA</t>
        </is>
      </c>
      <c r="K809" t="n">
        <v>98.7</v>
      </c>
    </row>
    <row r="810">
      <c r="A810" t="inlineStr">
        <is>
          <t>SIMULATED Food Waste Remote Study</t>
        </is>
      </c>
      <c r="B810" t="inlineStr">
        <is>
          <t>RESP0113</t>
        </is>
      </c>
      <c r="C810" t="inlineStr">
        <is>
          <t>Stimulus</t>
        </is>
      </c>
      <c r="D810" t="inlineStr">
        <is>
          <t>foodwaste_visual</t>
        </is>
      </c>
      <c r="E810" t="n">
        <v>62</v>
      </c>
      <c r="F810" t="inlineStr">
        <is>
          <t>Positive Valence</t>
        </is>
      </c>
      <c r="G810" t="n">
        <v>50</v>
      </c>
      <c r="H810" t="n">
        <v>2.42</v>
      </c>
      <c r="I810" t="n">
        <v>2</v>
      </c>
      <c r="J810" t="inlineStr">
        <is>
          <t>NA</t>
        </is>
      </c>
      <c r="K810" t="n">
        <v>98.7</v>
      </c>
    </row>
    <row r="811">
      <c r="A811" t="inlineStr">
        <is>
          <t>SIMULATED Food Waste Remote Study</t>
        </is>
      </c>
      <c r="B811" t="inlineStr">
        <is>
          <t>RESP0113</t>
        </is>
      </c>
      <c r="C811" t="inlineStr">
        <is>
          <t>Stimulus</t>
        </is>
      </c>
      <c r="D811" t="inlineStr">
        <is>
          <t>foodwaste_visual</t>
        </is>
      </c>
      <c r="E811" t="n">
        <v>62</v>
      </c>
      <c r="F811" t="inlineStr">
        <is>
          <t>Negative Valence</t>
        </is>
      </c>
      <c r="G811" t="n">
        <v>-50</v>
      </c>
      <c r="H811" t="n">
        <v>4.68</v>
      </c>
      <c r="I811" t="n">
        <v>2</v>
      </c>
      <c r="J811" t="inlineStr">
        <is>
          <t>NA</t>
        </is>
      </c>
      <c r="K811" t="n">
        <v>98.7</v>
      </c>
    </row>
    <row r="812">
      <c r="A812" t="inlineStr">
        <is>
          <t>SIMULATED Food Waste Remote Study</t>
        </is>
      </c>
      <c r="B812" t="inlineStr">
        <is>
          <t>RESP0114</t>
        </is>
      </c>
      <c r="C812" t="inlineStr">
        <is>
          <t>Stimulus</t>
        </is>
      </c>
      <c r="D812" t="inlineStr">
        <is>
          <t>foodwaste_narrative</t>
        </is>
      </c>
      <c r="E812" t="n">
        <v>60</v>
      </c>
      <c r="F812" t="inlineStr">
        <is>
          <t>Engagement</t>
        </is>
      </c>
      <c r="G812" t="n">
        <v>50</v>
      </c>
      <c r="H812" t="n">
        <v>2.83</v>
      </c>
      <c r="I812" t="n">
        <v>1</v>
      </c>
      <c r="J812" t="inlineStr">
        <is>
          <t>NA</t>
        </is>
      </c>
      <c r="K812" t="n">
        <v>98.3</v>
      </c>
    </row>
    <row r="813">
      <c r="A813" t="inlineStr">
        <is>
          <t>SIMULATED Food Waste Remote Study</t>
        </is>
      </c>
      <c r="B813" t="inlineStr">
        <is>
          <t>RESP0114</t>
        </is>
      </c>
      <c r="C813" t="inlineStr">
        <is>
          <t>Stimulus</t>
        </is>
      </c>
      <c r="D813" t="inlineStr">
        <is>
          <t>foodwaste_narrative</t>
        </is>
      </c>
      <c r="E813" t="n">
        <v>60</v>
      </c>
      <c r="F813" t="inlineStr">
        <is>
          <t>Joy</t>
        </is>
      </c>
      <c r="G813" t="n">
        <v>50</v>
      </c>
      <c r="H813" t="n">
        <v>6</v>
      </c>
      <c r="I813" t="n">
        <v>1</v>
      </c>
      <c r="J813" t="inlineStr">
        <is>
          <t>NA</t>
        </is>
      </c>
      <c r="K813" t="n">
        <v>98.3</v>
      </c>
    </row>
    <row r="814">
      <c r="A814" t="inlineStr">
        <is>
          <t>SIMULATED Food Waste Remote Study</t>
        </is>
      </c>
      <c r="B814" t="inlineStr">
        <is>
          <t>RESP0114</t>
        </is>
      </c>
      <c r="C814" t="inlineStr">
        <is>
          <t>Stimulus</t>
        </is>
      </c>
      <c r="D814" t="inlineStr">
        <is>
          <t>foodwaste_narrative</t>
        </is>
      </c>
      <c r="E814" t="n">
        <v>60</v>
      </c>
      <c r="F814" t="inlineStr">
        <is>
          <t>Brow Furrow</t>
        </is>
      </c>
      <c r="G814" t="n">
        <v>50</v>
      </c>
      <c r="H814" t="n">
        <v>1.78</v>
      </c>
      <c r="I814" t="n">
        <v>1</v>
      </c>
      <c r="J814" t="inlineStr">
        <is>
          <t>NA</t>
        </is>
      </c>
      <c r="K814" t="n">
        <v>98.3</v>
      </c>
    </row>
    <row r="815">
      <c r="A815" t="inlineStr">
        <is>
          <t>SIMULATED Food Waste Remote Study</t>
        </is>
      </c>
      <c r="B815" t="inlineStr">
        <is>
          <t>RESP0114</t>
        </is>
      </c>
      <c r="C815" t="inlineStr">
        <is>
          <t>Stimulus</t>
        </is>
      </c>
      <c r="D815" t="inlineStr">
        <is>
          <t>foodwaste_narrative</t>
        </is>
      </c>
      <c r="E815" t="n">
        <v>60</v>
      </c>
      <c r="F815" t="inlineStr">
        <is>
          <t>Positive Valence</t>
        </is>
      </c>
      <c r="G815" t="n">
        <v>50</v>
      </c>
      <c r="H815" t="n">
        <v>0</v>
      </c>
      <c r="I815" t="n">
        <v>0</v>
      </c>
      <c r="J815" t="inlineStr">
        <is>
          <t>NA</t>
        </is>
      </c>
      <c r="K815" t="n">
        <v>98.3</v>
      </c>
    </row>
    <row r="816">
      <c r="A816" t="inlineStr">
        <is>
          <t>SIMULATED Food Waste Remote Study</t>
        </is>
      </c>
      <c r="B816" t="inlineStr">
        <is>
          <t>RESP0114</t>
        </is>
      </c>
      <c r="C816" t="inlineStr">
        <is>
          <t>Stimulus</t>
        </is>
      </c>
      <c r="D816" t="inlineStr">
        <is>
          <t>foodwaste_narrative</t>
        </is>
      </c>
      <c r="E816" t="n">
        <v>60</v>
      </c>
      <c r="F816" t="inlineStr">
        <is>
          <t>Negative Valence</t>
        </is>
      </c>
      <c r="G816" t="n">
        <v>-50</v>
      </c>
      <c r="H816" t="n">
        <v>0</v>
      </c>
      <c r="I816" t="n">
        <v>0</v>
      </c>
      <c r="J816" t="inlineStr">
        <is>
          <t>NA</t>
        </is>
      </c>
      <c r="K816" t="n">
        <v>98.3</v>
      </c>
    </row>
    <row r="817">
      <c r="A817" t="inlineStr">
        <is>
          <t>SIMULATED Food Waste Remote Study</t>
        </is>
      </c>
      <c r="B817" t="inlineStr">
        <is>
          <t>RESP0114</t>
        </is>
      </c>
      <c r="C817" t="inlineStr">
        <is>
          <t>Stimulus</t>
        </is>
      </c>
      <c r="D817" t="inlineStr">
        <is>
          <t>foodwaste_visual</t>
        </is>
      </c>
      <c r="E817" t="n">
        <v>62</v>
      </c>
      <c r="F817" t="inlineStr">
        <is>
          <t>Engagement</t>
        </is>
      </c>
      <c r="G817" t="n">
        <v>50</v>
      </c>
      <c r="H817" t="n">
        <v>83.92</v>
      </c>
      <c r="I817" t="n">
        <v>19</v>
      </c>
      <c r="J817" t="inlineStr">
        <is>
          <t>NA</t>
        </is>
      </c>
      <c r="K817" t="n">
        <v>99.40000000000001</v>
      </c>
    </row>
    <row r="818">
      <c r="A818" t="inlineStr">
        <is>
          <t>SIMULATED Food Waste Remote Study</t>
        </is>
      </c>
      <c r="B818" t="inlineStr">
        <is>
          <t>RESP0114</t>
        </is>
      </c>
      <c r="C818" t="inlineStr">
        <is>
          <t>Stimulus</t>
        </is>
      </c>
      <c r="D818" t="inlineStr">
        <is>
          <t>foodwaste_visual</t>
        </is>
      </c>
      <c r="E818" t="n">
        <v>62</v>
      </c>
      <c r="F818" t="inlineStr">
        <is>
          <t>Joy</t>
        </is>
      </c>
      <c r="G818" t="n">
        <v>50</v>
      </c>
      <c r="H818" t="n">
        <v>20.59</v>
      </c>
      <c r="I818" t="n">
        <v>7</v>
      </c>
      <c r="J818" t="inlineStr">
        <is>
          <t>NA</t>
        </is>
      </c>
      <c r="K818" t="n">
        <v>99.40000000000001</v>
      </c>
    </row>
    <row r="819">
      <c r="A819" t="inlineStr">
        <is>
          <t>SIMULATED Food Waste Remote Study</t>
        </is>
      </c>
      <c r="B819" t="inlineStr">
        <is>
          <t>RESP0114</t>
        </is>
      </c>
      <c r="C819" t="inlineStr">
        <is>
          <t>Stimulus</t>
        </is>
      </c>
      <c r="D819" t="inlineStr">
        <is>
          <t>foodwaste_visual</t>
        </is>
      </c>
      <c r="E819" t="n">
        <v>62</v>
      </c>
      <c r="F819" t="inlineStr">
        <is>
          <t>Brow Furrow</t>
        </is>
      </c>
      <c r="G819" t="n">
        <v>50</v>
      </c>
      <c r="H819" t="n">
        <v>0.75</v>
      </c>
      <c r="I819" t="n">
        <v>1</v>
      </c>
      <c r="J819" t="inlineStr">
        <is>
          <t>NA</t>
        </is>
      </c>
      <c r="K819" t="n">
        <v>99.40000000000001</v>
      </c>
    </row>
    <row r="820">
      <c r="A820" t="inlineStr">
        <is>
          <t>SIMULATED Food Waste Remote Study</t>
        </is>
      </c>
      <c r="B820" t="inlineStr">
        <is>
          <t>RESP0114</t>
        </is>
      </c>
      <c r="C820" t="inlineStr">
        <is>
          <t>Stimulus</t>
        </is>
      </c>
      <c r="D820" t="inlineStr">
        <is>
          <t>foodwaste_visual</t>
        </is>
      </c>
      <c r="E820" t="n">
        <v>62</v>
      </c>
      <c r="F820" t="inlineStr">
        <is>
          <t>Positive Valence</t>
        </is>
      </c>
      <c r="G820" t="n">
        <v>50</v>
      </c>
      <c r="H820" t="n">
        <v>7.31</v>
      </c>
      <c r="I820" t="n">
        <v>3</v>
      </c>
      <c r="J820" t="inlineStr">
        <is>
          <t>NA</t>
        </is>
      </c>
      <c r="K820" t="n">
        <v>99.40000000000001</v>
      </c>
    </row>
    <row r="821">
      <c r="A821" t="inlineStr">
        <is>
          <t>SIMULATED Food Waste Remote Study</t>
        </is>
      </c>
      <c r="B821" t="inlineStr">
        <is>
          <t>RESP0114</t>
        </is>
      </c>
      <c r="C821" t="inlineStr">
        <is>
          <t>Stimulus</t>
        </is>
      </c>
      <c r="D821" t="inlineStr">
        <is>
          <t>foodwaste_visual</t>
        </is>
      </c>
      <c r="E821" t="n">
        <v>62</v>
      </c>
      <c r="F821" t="inlineStr">
        <is>
          <t>Negative Valence</t>
        </is>
      </c>
      <c r="G821" t="n">
        <v>-50</v>
      </c>
      <c r="H821" t="n">
        <v>2.69</v>
      </c>
      <c r="I821" t="n">
        <v>3</v>
      </c>
      <c r="J821" t="inlineStr">
        <is>
          <t>NA</t>
        </is>
      </c>
      <c r="K821" t="n">
        <v>99.40000000000001</v>
      </c>
    </row>
    <row r="822">
      <c r="A822" t="inlineStr">
        <is>
          <t>SIMULATED Food Waste Remote Study</t>
        </is>
      </c>
      <c r="B822" t="inlineStr">
        <is>
          <t>RESP0115</t>
        </is>
      </c>
      <c r="C822" t="inlineStr">
        <is>
          <t>Stimulus</t>
        </is>
      </c>
      <c r="D822" t="inlineStr">
        <is>
          <t>foodwaste_narrative</t>
        </is>
      </c>
      <c r="E822" t="n">
        <v>60</v>
      </c>
      <c r="F822" t="inlineStr">
        <is>
          <t>Engagement</t>
        </is>
      </c>
      <c r="G822" t="n">
        <v>50</v>
      </c>
      <c r="H822" t="n">
        <v>8.890000000000001</v>
      </c>
      <c r="I822" t="n">
        <v>4</v>
      </c>
      <c r="J822" t="inlineStr">
        <is>
          <t>NA</t>
        </is>
      </c>
      <c r="K822" t="n">
        <v>99.59999999999999</v>
      </c>
    </row>
    <row r="823">
      <c r="A823" t="inlineStr">
        <is>
          <t>SIMULATED Food Waste Remote Study</t>
        </is>
      </c>
      <c r="B823" t="inlineStr">
        <is>
          <t>RESP0115</t>
        </is>
      </c>
      <c r="C823" t="inlineStr">
        <is>
          <t>Stimulus</t>
        </is>
      </c>
      <c r="D823" t="inlineStr">
        <is>
          <t>foodwaste_narrative</t>
        </is>
      </c>
      <c r="E823" t="n">
        <v>60</v>
      </c>
      <c r="F823" t="inlineStr">
        <is>
          <t>Joy</t>
        </is>
      </c>
      <c r="G823" t="n">
        <v>50</v>
      </c>
      <c r="H823" t="n">
        <v>18.94</v>
      </c>
      <c r="I823" t="n">
        <v>3</v>
      </c>
      <c r="J823" t="inlineStr">
        <is>
          <t>NA</t>
        </is>
      </c>
      <c r="K823" t="n">
        <v>99.59999999999999</v>
      </c>
    </row>
    <row r="824">
      <c r="A824" t="inlineStr">
        <is>
          <t>SIMULATED Food Waste Remote Study</t>
        </is>
      </c>
      <c r="B824" t="inlineStr">
        <is>
          <t>RESP0115</t>
        </is>
      </c>
      <c r="C824" t="inlineStr">
        <is>
          <t>Stimulus</t>
        </is>
      </c>
      <c r="D824" t="inlineStr">
        <is>
          <t>foodwaste_narrative</t>
        </is>
      </c>
      <c r="E824" t="n">
        <v>60</v>
      </c>
      <c r="F824" t="inlineStr">
        <is>
          <t>Brow Furrow</t>
        </is>
      </c>
      <c r="G824" t="n">
        <v>50</v>
      </c>
      <c r="H824" t="n">
        <v>6.5</v>
      </c>
      <c r="I824" t="n">
        <v>2</v>
      </c>
      <c r="J824" t="inlineStr">
        <is>
          <t>NA</t>
        </is>
      </c>
      <c r="K824" t="n">
        <v>99.59999999999999</v>
      </c>
    </row>
    <row r="825">
      <c r="A825" t="inlineStr">
        <is>
          <t>SIMULATED Food Waste Remote Study</t>
        </is>
      </c>
      <c r="B825" t="inlineStr">
        <is>
          <t>RESP0115</t>
        </is>
      </c>
      <c r="C825" t="inlineStr">
        <is>
          <t>Stimulus</t>
        </is>
      </c>
      <c r="D825" t="inlineStr">
        <is>
          <t>foodwaste_narrative</t>
        </is>
      </c>
      <c r="E825" t="n">
        <v>60</v>
      </c>
      <c r="F825" t="inlineStr">
        <is>
          <t>Positive Valence</t>
        </is>
      </c>
      <c r="G825" t="n">
        <v>50</v>
      </c>
      <c r="H825" t="n">
        <v>0</v>
      </c>
      <c r="I825" t="n">
        <v>0</v>
      </c>
      <c r="J825" t="inlineStr">
        <is>
          <t>NA</t>
        </is>
      </c>
      <c r="K825" t="n">
        <v>99.59999999999999</v>
      </c>
    </row>
    <row r="826">
      <c r="A826" t="inlineStr">
        <is>
          <t>SIMULATED Food Waste Remote Study</t>
        </is>
      </c>
      <c r="B826" t="inlineStr">
        <is>
          <t>RESP0115</t>
        </is>
      </c>
      <c r="C826" t="inlineStr">
        <is>
          <t>Stimulus</t>
        </is>
      </c>
      <c r="D826" t="inlineStr">
        <is>
          <t>foodwaste_narrative</t>
        </is>
      </c>
      <c r="E826" t="n">
        <v>60</v>
      </c>
      <c r="F826" t="inlineStr">
        <is>
          <t>Negative Valence</t>
        </is>
      </c>
      <c r="G826" t="n">
        <v>-50</v>
      </c>
      <c r="H826" t="n">
        <v>0</v>
      </c>
      <c r="I826" t="n">
        <v>0</v>
      </c>
      <c r="J826" t="inlineStr">
        <is>
          <t>NA</t>
        </is>
      </c>
      <c r="K826" t="n">
        <v>99.59999999999999</v>
      </c>
    </row>
    <row r="827">
      <c r="A827" t="inlineStr">
        <is>
          <t>SIMULATED Food Waste Remote Study</t>
        </is>
      </c>
      <c r="B827" t="inlineStr">
        <is>
          <t>RESP0115</t>
        </is>
      </c>
      <c r="C827" t="inlineStr">
        <is>
          <t>Stimulus</t>
        </is>
      </c>
      <c r="D827" t="inlineStr">
        <is>
          <t>foodwaste_visual</t>
        </is>
      </c>
      <c r="E827" t="n">
        <v>62</v>
      </c>
      <c r="F827" t="inlineStr">
        <is>
          <t>Engagement</t>
        </is>
      </c>
      <c r="G827" t="n">
        <v>50</v>
      </c>
      <c r="H827" t="n">
        <v>31.83</v>
      </c>
      <c r="I827" t="n">
        <v>6</v>
      </c>
      <c r="J827" t="inlineStr">
        <is>
          <t>NA</t>
        </is>
      </c>
      <c r="K827" t="n">
        <v>99.59999999999999</v>
      </c>
    </row>
    <row r="828">
      <c r="A828" t="inlineStr">
        <is>
          <t>SIMULATED Food Waste Remote Study</t>
        </is>
      </c>
      <c r="B828" t="inlineStr">
        <is>
          <t>RESP0115</t>
        </is>
      </c>
      <c r="C828" t="inlineStr">
        <is>
          <t>Stimulus</t>
        </is>
      </c>
      <c r="D828" t="inlineStr">
        <is>
          <t>foodwaste_visual</t>
        </is>
      </c>
      <c r="E828" t="n">
        <v>62</v>
      </c>
      <c r="F828" t="inlineStr">
        <is>
          <t>Joy</t>
        </is>
      </c>
      <c r="G828" t="n">
        <v>50</v>
      </c>
      <c r="H828" t="n">
        <v>2.53</v>
      </c>
      <c r="I828" t="n">
        <v>1</v>
      </c>
      <c r="J828" t="inlineStr">
        <is>
          <t>NA</t>
        </is>
      </c>
      <c r="K828" t="n">
        <v>99.59999999999999</v>
      </c>
    </row>
    <row r="829">
      <c r="A829" t="inlineStr">
        <is>
          <t>SIMULATED Food Waste Remote Study</t>
        </is>
      </c>
      <c r="B829" t="inlineStr">
        <is>
          <t>RESP0115</t>
        </is>
      </c>
      <c r="C829" t="inlineStr">
        <is>
          <t>Stimulus</t>
        </is>
      </c>
      <c r="D829" t="inlineStr">
        <is>
          <t>foodwaste_visual</t>
        </is>
      </c>
      <c r="E829" t="n">
        <v>62</v>
      </c>
      <c r="F829" t="inlineStr">
        <is>
          <t>Brow Furrow</t>
        </is>
      </c>
      <c r="G829" t="n">
        <v>50</v>
      </c>
      <c r="H829" t="n">
        <v>0</v>
      </c>
      <c r="I829" t="n">
        <v>0</v>
      </c>
      <c r="J829" t="inlineStr">
        <is>
          <t>NA</t>
        </is>
      </c>
      <c r="K829" t="n">
        <v>99.59999999999999</v>
      </c>
    </row>
    <row r="830">
      <c r="A830" t="inlineStr">
        <is>
          <t>SIMULATED Food Waste Remote Study</t>
        </is>
      </c>
      <c r="B830" t="inlineStr">
        <is>
          <t>RESP0115</t>
        </is>
      </c>
      <c r="C830" t="inlineStr">
        <is>
          <t>Stimulus</t>
        </is>
      </c>
      <c r="D830" t="inlineStr">
        <is>
          <t>foodwaste_visual</t>
        </is>
      </c>
      <c r="E830" t="n">
        <v>62</v>
      </c>
      <c r="F830" t="inlineStr">
        <is>
          <t>Positive Valence</t>
        </is>
      </c>
      <c r="G830" t="n">
        <v>50</v>
      </c>
      <c r="H830" t="n">
        <v>7.96</v>
      </c>
      <c r="I830" t="n">
        <v>2</v>
      </c>
      <c r="J830" t="inlineStr">
        <is>
          <t>NA</t>
        </is>
      </c>
      <c r="K830" t="n">
        <v>99.59999999999999</v>
      </c>
    </row>
    <row r="831">
      <c r="A831" t="inlineStr">
        <is>
          <t>SIMULATED Food Waste Remote Study</t>
        </is>
      </c>
      <c r="B831" t="inlineStr">
        <is>
          <t>RESP0115</t>
        </is>
      </c>
      <c r="C831" t="inlineStr">
        <is>
          <t>Stimulus</t>
        </is>
      </c>
      <c r="D831" t="inlineStr">
        <is>
          <t>foodwaste_visual</t>
        </is>
      </c>
      <c r="E831" t="n">
        <v>62</v>
      </c>
      <c r="F831" t="inlineStr">
        <is>
          <t>Negative Valence</t>
        </is>
      </c>
      <c r="G831" t="n">
        <v>-50</v>
      </c>
      <c r="H831" t="n">
        <v>7.69</v>
      </c>
      <c r="I831" t="n">
        <v>3</v>
      </c>
      <c r="J831" t="inlineStr">
        <is>
          <t>NA</t>
        </is>
      </c>
      <c r="K831" t="n">
        <v>99.59999999999999</v>
      </c>
    </row>
    <row r="832">
      <c r="A832" t="inlineStr">
        <is>
          <t>SIMULATED Food Waste Remote Study</t>
        </is>
      </c>
      <c r="B832" t="inlineStr">
        <is>
          <t>RESP0117</t>
        </is>
      </c>
      <c r="C832" t="inlineStr">
        <is>
          <t>Stimulus</t>
        </is>
      </c>
      <c r="D832" t="inlineStr">
        <is>
          <t>foodwaste_narrative</t>
        </is>
      </c>
      <c r="E832" t="n">
        <v>60</v>
      </c>
      <c r="F832" t="inlineStr">
        <is>
          <t>Engagement</t>
        </is>
      </c>
      <c r="G832" t="n">
        <v>50</v>
      </c>
      <c r="H832" t="n">
        <v>0</v>
      </c>
      <c r="I832" t="n">
        <v>0</v>
      </c>
      <c r="J832" t="inlineStr">
        <is>
          <t>NA</t>
        </is>
      </c>
      <c r="K832" t="n">
        <v>99.09999999999999</v>
      </c>
    </row>
    <row r="833">
      <c r="A833" t="inlineStr">
        <is>
          <t>SIMULATED Food Waste Remote Study</t>
        </is>
      </c>
      <c r="B833" t="inlineStr">
        <is>
          <t>RESP0117</t>
        </is>
      </c>
      <c r="C833" t="inlineStr">
        <is>
          <t>Stimulus</t>
        </is>
      </c>
      <c r="D833" t="inlineStr">
        <is>
          <t>foodwaste_narrative</t>
        </is>
      </c>
      <c r="E833" t="n">
        <v>60</v>
      </c>
      <c r="F833" t="inlineStr">
        <is>
          <t>Joy</t>
        </is>
      </c>
      <c r="G833" t="n">
        <v>50</v>
      </c>
      <c r="H833" t="n">
        <v>0.61</v>
      </c>
      <c r="I833" t="n">
        <v>1</v>
      </c>
      <c r="J833" t="inlineStr">
        <is>
          <t>NA</t>
        </is>
      </c>
      <c r="K833" t="n">
        <v>99.09999999999999</v>
      </c>
    </row>
    <row r="834">
      <c r="A834" t="inlineStr">
        <is>
          <t>SIMULATED Food Waste Remote Study</t>
        </is>
      </c>
      <c r="B834" t="inlineStr">
        <is>
          <t>RESP0117</t>
        </is>
      </c>
      <c r="C834" t="inlineStr">
        <is>
          <t>Stimulus</t>
        </is>
      </c>
      <c r="D834" t="inlineStr">
        <is>
          <t>foodwaste_narrative</t>
        </is>
      </c>
      <c r="E834" t="n">
        <v>60</v>
      </c>
      <c r="F834" t="inlineStr">
        <is>
          <t>Brow Furrow</t>
        </is>
      </c>
      <c r="G834" t="n">
        <v>50</v>
      </c>
      <c r="H834" t="n">
        <v>0</v>
      </c>
      <c r="I834" t="n">
        <v>0</v>
      </c>
      <c r="J834" t="inlineStr">
        <is>
          <t>NA</t>
        </is>
      </c>
      <c r="K834" t="n">
        <v>99.09999999999999</v>
      </c>
    </row>
    <row r="835">
      <c r="A835" t="inlineStr">
        <is>
          <t>SIMULATED Food Waste Remote Study</t>
        </is>
      </c>
      <c r="B835" t="inlineStr">
        <is>
          <t>RESP0117</t>
        </is>
      </c>
      <c r="C835" t="inlineStr">
        <is>
          <t>Stimulus</t>
        </is>
      </c>
      <c r="D835" t="inlineStr">
        <is>
          <t>foodwaste_narrative</t>
        </is>
      </c>
      <c r="E835" t="n">
        <v>60</v>
      </c>
      <c r="F835" t="inlineStr">
        <is>
          <t>Positive Valence</t>
        </is>
      </c>
      <c r="G835" t="n">
        <v>50</v>
      </c>
      <c r="H835" t="n">
        <v>5.83</v>
      </c>
      <c r="I835" t="n">
        <v>2</v>
      </c>
      <c r="J835" t="inlineStr">
        <is>
          <t>NA</t>
        </is>
      </c>
      <c r="K835" t="n">
        <v>99.09999999999999</v>
      </c>
    </row>
    <row r="836">
      <c r="A836" t="inlineStr">
        <is>
          <t>SIMULATED Food Waste Remote Study</t>
        </is>
      </c>
      <c r="B836" t="inlineStr">
        <is>
          <t>RESP0117</t>
        </is>
      </c>
      <c r="C836" t="inlineStr">
        <is>
          <t>Stimulus</t>
        </is>
      </c>
      <c r="D836" t="inlineStr">
        <is>
          <t>foodwaste_narrative</t>
        </is>
      </c>
      <c r="E836" t="n">
        <v>60</v>
      </c>
      <c r="F836" t="inlineStr">
        <is>
          <t>Negative Valence</t>
        </is>
      </c>
      <c r="G836" t="n">
        <v>-50</v>
      </c>
      <c r="H836" t="n">
        <v>0</v>
      </c>
      <c r="I836" t="n">
        <v>0</v>
      </c>
      <c r="J836" t="inlineStr">
        <is>
          <t>NA</t>
        </is>
      </c>
      <c r="K836" t="n">
        <v>99.09999999999999</v>
      </c>
    </row>
    <row r="837">
      <c r="A837" t="inlineStr">
        <is>
          <t>SIMULATED Food Waste Remote Study</t>
        </is>
      </c>
      <c r="B837" t="inlineStr">
        <is>
          <t>RESP0117</t>
        </is>
      </c>
      <c r="C837" t="inlineStr">
        <is>
          <t>Stimulus</t>
        </is>
      </c>
      <c r="D837" t="inlineStr">
        <is>
          <t>foodwaste_visual</t>
        </is>
      </c>
      <c r="E837" t="n">
        <v>62</v>
      </c>
      <c r="F837" t="inlineStr">
        <is>
          <t>Engagement</t>
        </is>
      </c>
      <c r="G837" t="n">
        <v>50</v>
      </c>
      <c r="H837" t="n">
        <v>0</v>
      </c>
      <c r="I837" t="n">
        <v>0</v>
      </c>
      <c r="J837" t="inlineStr">
        <is>
          <t>NA</t>
        </is>
      </c>
      <c r="K837" t="n">
        <v>99.40000000000001</v>
      </c>
    </row>
    <row r="838">
      <c r="A838" t="inlineStr">
        <is>
          <t>SIMULATED Food Waste Remote Study</t>
        </is>
      </c>
      <c r="B838" t="inlineStr">
        <is>
          <t>RESP0117</t>
        </is>
      </c>
      <c r="C838" t="inlineStr">
        <is>
          <t>Stimulus</t>
        </is>
      </c>
      <c r="D838" t="inlineStr">
        <is>
          <t>foodwaste_visual</t>
        </is>
      </c>
      <c r="E838" t="n">
        <v>62</v>
      </c>
      <c r="F838" t="inlineStr">
        <is>
          <t>Joy</t>
        </is>
      </c>
      <c r="G838" t="n">
        <v>50</v>
      </c>
      <c r="H838" t="n">
        <v>0.43</v>
      </c>
      <c r="I838" t="n">
        <v>1</v>
      </c>
      <c r="J838" t="inlineStr">
        <is>
          <t>NA</t>
        </is>
      </c>
      <c r="K838" t="n">
        <v>99.40000000000001</v>
      </c>
    </row>
    <row r="839">
      <c r="A839" t="inlineStr">
        <is>
          <t>SIMULATED Food Waste Remote Study</t>
        </is>
      </c>
      <c r="B839" t="inlineStr">
        <is>
          <t>RESP0117</t>
        </is>
      </c>
      <c r="C839" t="inlineStr">
        <is>
          <t>Stimulus</t>
        </is>
      </c>
      <c r="D839" t="inlineStr">
        <is>
          <t>foodwaste_visual</t>
        </is>
      </c>
      <c r="E839" t="n">
        <v>62</v>
      </c>
      <c r="F839" t="inlineStr">
        <is>
          <t>Brow Furrow</t>
        </is>
      </c>
      <c r="G839" t="n">
        <v>50</v>
      </c>
      <c r="H839" t="n">
        <v>5.11</v>
      </c>
      <c r="I839" t="n">
        <v>1</v>
      </c>
      <c r="J839" t="inlineStr">
        <is>
          <t>NA</t>
        </is>
      </c>
      <c r="K839" t="n">
        <v>99.40000000000001</v>
      </c>
    </row>
    <row r="840">
      <c r="A840" t="inlineStr">
        <is>
          <t>SIMULATED Food Waste Remote Study</t>
        </is>
      </c>
      <c r="B840" t="inlineStr">
        <is>
          <t>RESP0117</t>
        </is>
      </c>
      <c r="C840" t="inlineStr">
        <is>
          <t>Stimulus</t>
        </is>
      </c>
      <c r="D840" t="inlineStr">
        <is>
          <t>foodwaste_visual</t>
        </is>
      </c>
      <c r="E840" t="n">
        <v>62</v>
      </c>
      <c r="F840" t="inlineStr">
        <is>
          <t>Positive Valence</t>
        </is>
      </c>
      <c r="G840" t="n">
        <v>50</v>
      </c>
      <c r="H840" t="n">
        <v>10.22</v>
      </c>
      <c r="I840" t="n">
        <v>1</v>
      </c>
      <c r="J840" t="inlineStr">
        <is>
          <t>NA</t>
        </is>
      </c>
      <c r="K840" t="n">
        <v>99.40000000000001</v>
      </c>
    </row>
    <row r="841">
      <c r="A841" t="inlineStr">
        <is>
          <t>SIMULATED Food Waste Remote Study</t>
        </is>
      </c>
      <c r="B841" t="inlineStr">
        <is>
          <t>RESP0117</t>
        </is>
      </c>
      <c r="C841" t="inlineStr">
        <is>
          <t>Stimulus</t>
        </is>
      </c>
      <c r="D841" t="inlineStr">
        <is>
          <t>foodwaste_visual</t>
        </is>
      </c>
      <c r="E841" t="n">
        <v>62</v>
      </c>
      <c r="F841" t="inlineStr">
        <is>
          <t>Negative Valence</t>
        </is>
      </c>
      <c r="G841" t="n">
        <v>-50</v>
      </c>
      <c r="H841" t="n">
        <v>0</v>
      </c>
      <c r="I841" t="n">
        <v>0</v>
      </c>
      <c r="J841" t="inlineStr">
        <is>
          <t>NA</t>
        </is>
      </c>
      <c r="K841" t="n">
        <v>99.40000000000001</v>
      </c>
    </row>
    <row r="842">
      <c r="A842" t="inlineStr">
        <is>
          <t>SIMULATED Food Waste Remote Study</t>
        </is>
      </c>
      <c r="B842" t="inlineStr">
        <is>
          <t>RESP0118</t>
        </is>
      </c>
      <c r="C842" t="inlineStr">
        <is>
          <t>Stimulus</t>
        </is>
      </c>
      <c r="D842" t="inlineStr">
        <is>
          <t>foodwaste_narrative</t>
        </is>
      </c>
      <c r="E842" t="n">
        <v>60</v>
      </c>
      <c r="F842" t="inlineStr">
        <is>
          <t>Engagement</t>
        </is>
      </c>
      <c r="G842" t="n">
        <v>50</v>
      </c>
      <c r="H842" t="n">
        <v>24.56</v>
      </c>
      <c r="I842" t="n">
        <v>5</v>
      </c>
      <c r="J842" t="inlineStr">
        <is>
          <t>NA</t>
        </is>
      </c>
      <c r="K842" t="n">
        <v>98.09999999999999</v>
      </c>
    </row>
    <row r="843">
      <c r="A843" t="inlineStr">
        <is>
          <t>SIMULATED Food Waste Remote Study</t>
        </is>
      </c>
      <c r="B843" t="inlineStr">
        <is>
          <t>RESP0118</t>
        </is>
      </c>
      <c r="C843" t="inlineStr">
        <is>
          <t>Stimulus</t>
        </is>
      </c>
      <c r="D843" t="inlineStr">
        <is>
          <t>foodwaste_narrative</t>
        </is>
      </c>
      <c r="E843" t="n">
        <v>60</v>
      </c>
      <c r="F843" t="inlineStr">
        <is>
          <t>Joy</t>
        </is>
      </c>
      <c r="G843" t="n">
        <v>50</v>
      </c>
      <c r="H843" t="n">
        <v>1.72</v>
      </c>
      <c r="I843" t="n">
        <v>2</v>
      </c>
      <c r="J843" t="inlineStr">
        <is>
          <t>NA</t>
        </is>
      </c>
      <c r="K843" t="n">
        <v>98.09999999999999</v>
      </c>
    </row>
    <row r="844">
      <c r="A844" t="inlineStr">
        <is>
          <t>SIMULATED Food Waste Remote Study</t>
        </is>
      </c>
      <c r="B844" t="inlineStr">
        <is>
          <t>RESP0118</t>
        </is>
      </c>
      <c r="C844" t="inlineStr">
        <is>
          <t>Stimulus</t>
        </is>
      </c>
      <c r="D844" t="inlineStr">
        <is>
          <t>foodwaste_narrative</t>
        </is>
      </c>
      <c r="E844" t="n">
        <v>60</v>
      </c>
      <c r="F844" t="inlineStr">
        <is>
          <t>Brow Furrow</t>
        </is>
      </c>
      <c r="G844" t="n">
        <v>50</v>
      </c>
      <c r="H844" t="n">
        <v>0</v>
      </c>
      <c r="I844" t="n">
        <v>0</v>
      </c>
      <c r="J844" t="inlineStr">
        <is>
          <t>NA</t>
        </is>
      </c>
      <c r="K844" t="n">
        <v>98.09999999999999</v>
      </c>
    </row>
    <row r="845">
      <c r="A845" t="inlineStr">
        <is>
          <t>SIMULATED Food Waste Remote Study</t>
        </is>
      </c>
      <c r="B845" t="inlineStr">
        <is>
          <t>RESP0118</t>
        </is>
      </c>
      <c r="C845" t="inlineStr">
        <is>
          <t>Stimulus</t>
        </is>
      </c>
      <c r="D845" t="inlineStr">
        <is>
          <t>foodwaste_narrative</t>
        </is>
      </c>
      <c r="E845" t="n">
        <v>60</v>
      </c>
      <c r="F845" t="inlineStr">
        <is>
          <t>Positive Valence</t>
        </is>
      </c>
      <c r="G845" t="n">
        <v>50</v>
      </c>
      <c r="H845" t="n">
        <v>0</v>
      </c>
      <c r="I845" t="n">
        <v>0</v>
      </c>
      <c r="J845" t="inlineStr">
        <is>
          <t>NA</t>
        </is>
      </c>
      <c r="K845" t="n">
        <v>98.09999999999999</v>
      </c>
    </row>
    <row r="846">
      <c r="A846" t="inlineStr">
        <is>
          <t>SIMULATED Food Waste Remote Study</t>
        </is>
      </c>
      <c r="B846" t="inlineStr">
        <is>
          <t>RESP0118</t>
        </is>
      </c>
      <c r="C846" t="inlineStr">
        <is>
          <t>Stimulus</t>
        </is>
      </c>
      <c r="D846" t="inlineStr">
        <is>
          <t>foodwaste_narrative</t>
        </is>
      </c>
      <c r="E846" t="n">
        <v>60</v>
      </c>
      <c r="F846" t="inlineStr">
        <is>
          <t>Negative Valence</t>
        </is>
      </c>
      <c r="G846" t="n">
        <v>-50</v>
      </c>
      <c r="H846" t="n">
        <v>1.28</v>
      </c>
      <c r="I846" t="n">
        <v>2</v>
      </c>
      <c r="J846" t="inlineStr">
        <is>
          <t>NA</t>
        </is>
      </c>
      <c r="K846" t="n">
        <v>98.09999999999999</v>
      </c>
    </row>
    <row r="847">
      <c r="A847" t="inlineStr">
        <is>
          <t>SIMULATED Food Waste Remote Study</t>
        </is>
      </c>
      <c r="B847" t="inlineStr">
        <is>
          <t>RESP0118</t>
        </is>
      </c>
      <c r="C847" t="inlineStr">
        <is>
          <t>Stimulus</t>
        </is>
      </c>
      <c r="D847" t="inlineStr">
        <is>
          <t>foodwaste_visual</t>
        </is>
      </c>
      <c r="E847" t="n">
        <v>62</v>
      </c>
      <c r="F847" t="inlineStr">
        <is>
          <t>Engagement</t>
        </is>
      </c>
      <c r="G847" t="n">
        <v>50</v>
      </c>
      <c r="H847" t="n">
        <v>68.70999999999999</v>
      </c>
      <c r="I847" t="n">
        <v>19</v>
      </c>
      <c r="J847" t="inlineStr">
        <is>
          <t>NA</t>
        </is>
      </c>
      <c r="K847" t="n">
        <v>99.2</v>
      </c>
    </row>
    <row r="848">
      <c r="A848" t="inlineStr">
        <is>
          <t>SIMULATED Food Waste Remote Study</t>
        </is>
      </c>
      <c r="B848" t="inlineStr">
        <is>
          <t>RESP0118</t>
        </is>
      </c>
      <c r="C848" t="inlineStr">
        <is>
          <t>Stimulus</t>
        </is>
      </c>
      <c r="D848" t="inlineStr">
        <is>
          <t>foodwaste_visual</t>
        </is>
      </c>
      <c r="E848" t="n">
        <v>62</v>
      </c>
      <c r="F848" t="inlineStr">
        <is>
          <t>Joy</t>
        </is>
      </c>
      <c r="G848" t="n">
        <v>50</v>
      </c>
      <c r="H848" t="n">
        <v>43.87</v>
      </c>
      <c r="I848" t="n">
        <v>18</v>
      </c>
      <c r="J848" t="inlineStr">
        <is>
          <t>NA</t>
        </is>
      </c>
      <c r="K848" t="n">
        <v>99.2</v>
      </c>
    </row>
    <row r="849">
      <c r="A849" t="inlineStr">
        <is>
          <t>SIMULATED Food Waste Remote Study</t>
        </is>
      </c>
      <c r="B849" t="inlineStr">
        <is>
          <t>RESP0118</t>
        </is>
      </c>
      <c r="C849" t="inlineStr">
        <is>
          <t>Stimulus</t>
        </is>
      </c>
      <c r="D849" t="inlineStr">
        <is>
          <t>foodwaste_visual</t>
        </is>
      </c>
      <c r="E849" t="n">
        <v>62</v>
      </c>
      <c r="F849" t="inlineStr">
        <is>
          <t>Brow Furrow</t>
        </is>
      </c>
      <c r="G849" t="n">
        <v>50</v>
      </c>
      <c r="H849" t="n">
        <v>6.34</v>
      </c>
      <c r="I849" t="n">
        <v>1</v>
      </c>
      <c r="J849" t="inlineStr">
        <is>
          <t>NA</t>
        </is>
      </c>
      <c r="K849" t="n">
        <v>99.2</v>
      </c>
    </row>
    <row r="850">
      <c r="A850" t="inlineStr">
        <is>
          <t>SIMULATED Food Waste Remote Study</t>
        </is>
      </c>
      <c r="B850" t="inlineStr">
        <is>
          <t>RESP0118</t>
        </is>
      </c>
      <c r="C850" t="inlineStr">
        <is>
          <t>Stimulus</t>
        </is>
      </c>
      <c r="D850" t="inlineStr">
        <is>
          <t>foodwaste_visual</t>
        </is>
      </c>
      <c r="E850" t="n">
        <v>62</v>
      </c>
      <c r="F850" t="inlineStr">
        <is>
          <t>Positive Valence</t>
        </is>
      </c>
      <c r="G850" t="n">
        <v>50</v>
      </c>
      <c r="H850" t="n">
        <v>26.56</v>
      </c>
      <c r="I850" t="n">
        <v>11</v>
      </c>
      <c r="J850" t="inlineStr">
        <is>
          <t>NA</t>
        </is>
      </c>
      <c r="K850" t="n">
        <v>99.2</v>
      </c>
    </row>
    <row r="851">
      <c r="A851" t="inlineStr">
        <is>
          <t>SIMULATED Food Waste Remote Study</t>
        </is>
      </c>
      <c r="B851" t="inlineStr">
        <is>
          <t>RESP0118</t>
        </is>
      </c>
      <c r="C851" t="inlineStr">
        <is>
          <t>Stimulus</t>
        </is>
      </c>
      <c r="D851" t="inlineStr">
        <is>
          <t>foodwaste_visual</t>
        </is>
      </c>
      <c r="E851" t="n">
        <v>62</v>
      </c>
      <c r="F851" t="inlineStr">
        <is>
          <t>Negative Valence</t>
        </is>
      </c>
      <c r="G851" t="n">
        <v>-50</v>
      </c>
      <c r="H851" t="n">
        <v>16.88</v>
      </c>
      <c r="I851" t="n">
        <v>7</v>
      </c>
      <c r="J851" t="inlineStr">
        <is>
          <t>NA</t>
        </is>
      </c>
      <c r="K851" t="n">
        <v>99.2</v>
      </c>
    </row>
    <row r="852">
      <c r="A852" t="inlineStr">
        <is>
          <t>SIMULATED Food Waste Remote Study</t>
        </is>
      </c>
      <c r="B852" t="inlineStr">
        <is>
          <t>RESP0120</t>
        </is>
      </c>
      <c r="C852" t="inlineStr">
        <is>
          <t>Stimulus</t>
        </is>
      </c>
      <c r="D852" t="inlineStr">
        <is>
          <t>foodwaste_narrative</t>
        </is>
      </c>
      <c r="E852" t="n">
        <v>60</v>
      </c>
      <c r="F852" t="inlineStr">
        <is>
          <t>Engagement</t>
        </is>
      </c>
      <c r="G852" t="n">
        <v>50</v>
      </c>
      <c r="H852" t="n">
        <v>33.67</v>
      </c>
      <c r="I852" t="n">
        <v>1</v>
      </c>
      <c r="J852" t="inlineStr">
        <is>
          <t>NA</t>
        </is>
      </c>
      <c r="K852" t="n">
        <v>94.3</v>
      </c>
    </row>
    <row r="853">
      <c r="A853" t="inlineStr">
        <is>
          <t>SIMULATED Food Waste Remote Study</t>
        </is>
      </c>
      <c r="B853" t="inlineStr">
        <is>
          <t>RESP0120</t>
        </is>
      </c>
      <c r="C853" t="inlineStr">
        <is>
          <t>Stimulus</t>
        </is>
      </c>
      <c r="D853" t="inlineStr">
        <is>
          <t>foodwaste_narrative</t>
        </is>
      </c>
      <c r="E853" t="n">
        <v>60</v>
      </c>
      <c r="F853" t="inlineStr">
        <is>
          <t>Joy</t>
        </is>
      </c>
      <c r="G853" t="n">
        <v>50</v>
      </c>
      <c r="H853" t="n">
        <v>0</v>
      </c>
      <c r="I853" t="n">
        <v>0</v>
      </c>
      <c r="J853" t="inlineStr">
        <is>
          <t>NA</t>
        </is>
      </c>
      <c r="K853" t="n">
        <v>94.3</v>
      </c>
    </row>
    <row r="854">
      <c r="A854" t="inlineStr">
        <is>
          <t>SIMULATED Food Waste Remote Study</t>
        </is>
      </c>
      <c r="B854" t="inlineStr">
        <is>
          <t>RESP0120</t>
        </is>
      </c>
      <c r="C854" t="inlineStr">
        <is>
          <t>Stimulus</t>
        </is>
      </c>
      <c r="D854" t="inlineStr">
        <is>
          <t>foodwaste_narrative</t>
        </is>
      </c>
      <c r="E854" t="n">
        <v>60</v>
      </c>
      <c r="F854" t="inlineStr">
        <is>
          <t>Brow Furrow</t>
        </is>
      </c>
      <c r="G854" t="n">
        <v>50</v>
      </c>
      <c r="H854" t="n">
        <v>4.28</v>
      </c>
      <c r="I854" t="n">
        <v>1</v>
      </c>
      <c r="J854" t="inlineStr">
        <is>
          <t>NA</t>
        </is>
      </c>
      <c r="K854" t="n">
        <v>94.3</v>
      </c>
    </row>
    <row r="855">
      <c r="A855" t="inlineStr">
        <is>
          <t>SIMULATED Food Waste Remote Study</t>
        </is>
      </c>
      <c r="B855" t="inlineStr">
        <is>
          <t>RESP0120</t>
        </is>
      </c>
      <c r="C855" t="inlineStr">
        <is>
          <t>Stimulus</t>
        </is>
      </c>
      <c r="D855" t="inlineStr">
        <is>
          <t>foodwaste_narrative</t>
        </is>
      </c>
      <c r="E855" t="n">
        <v>60</v>
      </c>
      <c r="F855" t="inlineStr">
        <is>
          <t>Positive Valence</t>
        </is>
      </c>
      <c r="G855" t="n">
        <v>50</v>
      </c>
      <c r="H855" t="n">
        <v>9.56</v>
      </c>
      <c r="I855" t="n">
        <v>2</v>
      </c>
      <c r="J855" t="inlineStr">
        <is>
          <t>NA</t>
        </is>
      </c>
      <c r="K855" t="n">
        <v>94.3</v>
      </c>
    </row>
    <row r="856">
      <c r="A856" t="inlineStr">
        <is>
          <t>SIMULATED Food Waste Remote Study</t>
        </is>
      </c>
      <c r="B856" t="inlineStr">
        <is>
          <t>RESP0120</t>
        </is>
      </c>
      <c r="C856" t="inlineStr">
        <is>
          <t>Stimulus</t>
        </is>
      </c>
      <c r="D856" t="inlineStr">
        <is>
          <t>foodwaste_narrative</t>
        </is>
      </c>
      <c r="E856" t="n">
        <v>60</v>
      </c>
      <c r="F856" t="inlineStr">
        <is>
          <t>Negative Valence</t>
        </is>
      </c>
      <c r="G856" t="n">
        <v>-50</v>
      </c>
      <c r="H856" t="n">
        <v>0</v>
      </c>
      <c r="I856" t="n">
        <v>0</v>
      </c>
      <c r="J856" t="inlineStr">
        <is>
          <t>NA</t>
        </is>
      </c>
      <c r="K856" t="n">
        <v>94.3</v>
      </c>
    </row>
    <row r="857">
      <c r="A857" t="inlineStr">
        <is>
          <t>SIMULATED Food Waste Remote Study</t>
        </is>
      </c>
      <c r="B857" t="inlineStr">
        <is>
          <t>RESP0120</t>
        </is>
      </c>
      <c r="C857" t="inlineStr">
        <is>
          <t>Stimulus</t>
        </is>
      </c>
      <c r="D857" t="inlineStr">
        <is>
          <t>foodwaste_visual</t>
        </is>
      </c>
      <c r="E857" t="n">
        <v>62</v>
      </c>
      <c r="F857" t="inlineStr">
        <is>
          <t>Engagement</t>
        </is>
      </c>
      <c r="G857" t="n">
        <v>50</v>
      </c>
      <c r="H857" t="n">
        <v>27.1</v>
      </c>
      <c r="I857" t="n">
        <v>6</v>
      </c>
      <c r="J857" t="inlineStr">
        <is>
          <t>NA</t>
        </is>
      </c>
      <c r="K857" t="n">
        <v>90.90000000000001</v>
      </c>
    </row>
    <row r="858">
      <c r="A858" t="inlineStr">
        <is>
          <t>SIMULATED Food Waste Remote Study</t>
        </is>
      </c>
      <c r="B858" t="inlineStr">
        <is>
          <t>RESP0120</t>
        </is>
      </c>
      <c r="C858" t="inlineStr">
        <is>
          <t>Stimulus</t>
        </is>
      </c>
      <c r="D858" t="inlineStr">
        <is>
          <t>foodwaste_visual</t>
        </is>
      </c>
      <c r="E858" t="n">
        <v>62</v>
      </c>
      <c r="F858" t="inlineStr">
        <is>
          <t>Joy</t>
        </is>
      </c>
      <c r="G858" t="n">
        <v>50</v>
      </c>
      <c r="H858" t="n">
        <v>0</v>
      </c>
      <c r="I858" t="n">
        <v>0</v>
      </c>
      <c r="J858" t="inlineStr">
        <is>
          <t>NA</t>
        </is>
      </c>
      <c r="K858" t="n">
        <v>90.90000000000001</v>
      </c>
    </row>
    <row r="859">
      <c r="A859" t="inlineStr">
        <is>
          <t>SIMULATED Food Waste Remote Study</t>
        </is>
      </c>
      <c r="B859" t="inlineStr">
        <is>
          <t>RESP0120</t>
        </is>
      </c>
      <c r="C859" t="inlineStr">
        <is>
          <t>Stimulus</t>
        </is>
      </c>
      <c r="D859" t="inlineStr">
        <is>
          <t>foodwaste_visual</t>
        </is>
      </c>
      <c r="E859" t="n">
        <v>62</v>
      </c>
      <c r="F859" t="inlineStr">
        <is>
          <t>Brow Furrow</t>
        </is>
      </c>
      <c r="G859" t="n">
        <v>50</v>
      </c>
      <c r="H859" t="n">
        <v>13.87</v>
      </c>
      <c r="I859" t="n">
        <v>4</v>
      </c>
      <c r="J859" t="inlineStr">
        <is>
          <t>NA</t>
        </is>
      </c>
      <c r="K859" t="n">
        <v>90.90000000000001</v>
      </c>
    </row>
    <row r="860">
      <c r="A860" t="inlineStr">
        <is>
          <t>SIMULATED Food Waste Remote Study</t>
        </is>
      </c>
      <c r="B860" t="inlineStr">
        <is>
          <t>RESP0120</t>
        </is>
      </c>
      <c r="C860" t="inlineStr">
        <is>
          <t>Stimulus</t>
        </is>
      </c>
      <c r="D860" t="inlineStr">
        <is>
          <t>foodwaste_visual</t>
        </is>
      </c>
      <c r="E860" t="n">
        <v>62</v>
      </c>
      <c r="F860" t="inlineStr">
        <is>
          <t>Positive Valence</t>
        </is>
      </c>
      <c r="G860" t="n">
        <v>50</v>
      </c>
      <c r="H860" t="n">
        <v>0</v>
      </c>
      <c r="I860" t="n">
        <v>0</v>
      </c>
      <c r="J860" t="inlineStr">
        <is>
          <t>NA</t>
        </is>
      </c>
      <c r="K860" t="n">
        <v>90.90000000000001</v>
      </c>
    </row>
    <row r="861">
      <c r="A861" t="inlineStr">
        <is>
          <t>SIMULATED Food Waste Remote Study</t>
        </is>
      </c>
      <c r="B861" t="inlineStr">
        <is>
          <t>RESP0120</t>
        </is>
      </c>
      <c r="C861" t="inlineStr">
        <is>
          <t>Stimulus</t>
        </is>
      </c>
      <c r="D861" t="inlineStr">
        <is>
          <t>foodwaste_visual</t>
        </is>
      </c>
      <c r="E861" t="n">
        <v>62</v>
      </c>
      <c r="F861" t="inlineStr">
        <is>
          <t>Negative Valence</t>
        </is>
      </c>
      <c r="G861" t="n">
        <v>-50</v>
      </c>
      <c r="H861" t="n">
        <v>4.73</v>
      </c>
      <c r="I861" t="n">
        <v>4</v>
      </c>
      <c r="J861" t="inlineStr">
        <is>
          <t>NA</t>
        </is>
      </c>
      <c r="K861" t="n">
        <v>90.90000000000001</v>
      </c>
    </row>
    <row r="862">
      <c r="A862" t="inlineStr">
        <is>
          <t>SIMULATED Food Waste Remote Study</t>
        </is>
      </c>
      <c r="B862" t="inlineStr">
        <is>
          <t>RESP0122</t>
        </is>
      </c>
      <c r="C862" t="inlineStr">
        <is>
          <t>Stimulus</t>
        </is>
      </c>
      <c r="D862" t="inlineStr">
        <is>
          <t>foodwaste_narrative</t>
        </is>
      </c>
      <c r="E862" t="n">
        <v>60</v>
      </c>
      <c r="F862" t="inlineStr">
        <is>
          <t>Engagement</t>
        </is>
      </c>
      <c r="G862" t="n">
        <v>50</v>
      </c>
      <c r="H862" t="n">
        <v>20.06</v>
      </c>
      <c r="I862" t="n">
        <v>5</v>
      </c>
      <c r="J862" t="inlineStr">
        <is>
          <t>NA</t>
        </is>
      </c>
      <c r="K862" t="n">
        <v>98.3</v>
      </c>
    </row>
    <row r="863">
      <c r="A863" t="inlineStr">
        <is>
          <t>SIMULATED Food Waste Remote Study</t>
        </is>
      </c>
      <c r="B863" t="inlineStr">
        <is>
          <t>RESP0122</t>
        </is>
      </c>
      <c r="C863" t="inlineStr">
        <is>
          <t>Stimulus</t>
        </is>
      </c>
      <c r="D863" t="inlineStr">
        <is>
          <t>foodwaste_narrative</t>
        </is>
      </c>
      <c r="E863" t="n">
        <v>60</v>
      </c>
      <c r="F863" t="inlineStr">
        <is>
          <t>Joy</t>
        </is>
      </c>
      <c r="G863" t="n">
        <v>50</v>
      </c>
      <c r="H863" t="n">
        <v>0</v>
      </c>
      <c r="I863" t="n">
        <v>0</v>
      </c>
      <c r="J863" t="inlineStr">
        <is>
          <t>NA</t>
        </is>
      </c>
      <c r="K863" t="n">
        <v>98.3</v>
      </c>
    </row>
    <row r="864">
      <c r="A864" t="inlineStr">
        <is>
          <t>SIMULATED Food Waste Remote Study</t>
        </is>
      </c>
      <c r="B864" t="inlineStr">
        <is>
          <t>RESP0122</t>
        </is>
      </c>
      <c r="C864" t="inlineStr">
        <is>
          <t>Stimulus</t>
        </is>
      </c>
      <c r="D864" t="inlineStr">
        <is>
          <t>foodwaste_narrative</t>
        </is>
      </c>
      <c r="E864" t="n">
        <v>60</v>
      </c>
      <c r="F864" t="inlineStr">
        <is>
          <t>Brow Furrow</t>
        </is>
      </c>
      <c r="G864" t="n">
        <v>50</v>
      </c>
      <c r="H864" t="n">
        <v>0</v>
      </c>
      <c r="I864" t="n">
        <v>0</v>
      </c>
      <c r="J864" t="inlineStr">
        <is>
          <t>NA</t>
        </is>
      </c>
      <c r="K864" t="n">
        <v>98.3</v>
      </c>
    </row>
    <row r="865">
      <c r="A865" t="inlineStr">
        <is>
          <t>SIMULATED Food Waste Remote Study</t>
        </is>
      </c>
      <c r="B865" t="inlineStr">
        <is>
          <t>RESP0122</t>
        </is>
      </c>
      <c r="C865" t="inlineStr">
        <is>
          <t>Stimulus</t>
        </is>
      </c>
      <c r="D865" t="inlineStr">
        <is>
          <t>foodwaste_narrative</t>
        </is>
      </c>
      <c r="E865" t="n">
        <v>60</v>
      </c>
      <c r="F865" t="inlineStr">
        <is>
          <t>Positive Valence</t>
        </is>
      </c>
      <c r="G865" t="n">
        <v>50</v>
      </c>
      <c r="H865" t="n">
        <v>0</v>
      </c>
      <c r="I865" t="n">
        <v>0</v>
      </c>
      <c r="J865" t="inlineStr">
        <is>
          <t>NA</t>
        </is>
      </c>
      <c r="K865" t="n">
        <v>98.3</v>
      </c>
    </row>
    <row r="866">
      <c r="A866" t="inlineStr">
        <is>
          <t>SIMULATED Food Waste Remote Study</t>
        </is>
      </c>
      <c r="B866" t="inlineStr">
        <is>
          <t>RESP0122</t>
        </is>
      </c>
      <c r="C866" t="inlineStr">
        <is>
          <t>Stimulus</t>
        </is>
      </c>
      <c r="D866" t="inlineStr">
        <is>
          <t>foodwaste_narrative</t>
        </is>
      </c>
      <c r="E866" t="n">
        <v>60</v>
      </c>
      <c r="F866" t="inlineStr">
        <is>
          <t>Negative Valence</t>
        </is>
      </c>
      <c r="G866" t="n">
        <v>-50</v>
      </c>
      <c r="H866" t="n">
        <v>0</v>
      </c>
      <c r="I866" t="n">
        <v>0</v>
      </c>
      <c r="J866" t="inlineStr">
        <is>
          <t>NA</t>
        </is>
      </c>
      <c r="K866" t="n">
        <v>98.3</v>
      </c>
    </row>
    <row r="867">
      <c r="A867" t="inlineStr">
        <is>
          <t>SIMULATED Food Waste Remote Study</t>
        </is>
      </c>
      <c r="B867" t="inlineStr">
        <is>
          <t>RESP0122</t>
        </is>
      </c>
      <c r="C867" t="inlineStr">
        <is>
          <t>Stimulus</t>
        </is>
      </c>
      <c r="D867" t="inlineStr">
        <is>
          <t>foodwaste_visual</t>
        </is>
      </c>
      <c r="E867" t="n">
        <v>62</v>
      </c>
      <c r="F867" t="inlineStr">
        <is>
          <t>Engagement</t>
        </is>
      </c>
      <c r="G867" t="n">
        <v>50</v>
      </c>
      <c r="H867" t="n">
        <v>38.17</v>
      </c>
      <c r="I867" t="n">
        <v>14</v>
      </c>
      <c r="J867" t="inlineStr">
        <is>
          <t>NA</t>
        </is>
      </c>
      <c r="K867" t="n">
        <v>96.59999999999999</v>
      </c>
    </row>
    <row r="868">
      <c r="A868" t="inlineStr">
        <is>
          <t>SIMULATED Food Waste Remote Study</t>
        </is>
      </c>
      <c r="B868" t="inlineStr">
        <is>
          <t>RESP0122</t>
        </is>
      </c>
      <c r="C868" t="inlineStr">
        <is>
          <t>Stimulus</t>
        </is>
      </c>
      <c r="D868" t="inlineStr">
        <is>
          <t>foodwaste_visual</t>
        </is>
      </c>
      <c r="E868" t="n">
        <v>62</v>
      </c>
      <c r="F868" t="inlineStr">
        <is>
          <t>Joy</t>
        </is>
      </c>
      <c r="G868" t="n">
        <v>50</v>
      </c>
      <c r="H868" t="n">
        <v>0.86</v>
      </c>
      <c r="I868" t="n">
        <v>1</v>
      </c>
      <c r="J868" t="inlineStr">
        <is>
          <t>NA</t>
        </is>
      </c>
      <c r="K868" t="n">
        <v>96.59999999999999</v>
      </c>
    </row>
    <row r="869">
      <c r="A869" t="inlineStr">
        <is>
          <t>SIMULATED Food Waste Remote Study</t>
        </is>
      </c>
      <c r="B869" t="inlineStr">
        <is>
          <t>RESP0122</t>
        </is>
      </c>
      <c r="C869" t="inlineStr">
        <is>
          <t>Stimulus</t>
        </is>
      </c>
      <c r="D869" t="inlineStr">
        <is>
          <t>foodwaste_visual</t>
        </is>
      </c>
      <c r="E869" t="n">
        <v>62</v>
      </c>
      <c r="F869" t="inlineStr">
        <is>
          <t>Brow Furrow</t>
        </is>
      </c>
      <c r="G869" t="n">
        <v>50</v>
      </c>
      <c r="H869" t="n">
        <v>0</v>
      </c>
      <c r="I869" t="n">
        <v>0</v>
      </c>
      <c r="J869" t="inlineStr">
        <is>
          <t>NA</t>
        </is>
      </c>
      <c r="K869" t="n">
        <v>96.59999999999999</v>
      </c>
    </row>
    <row r="870">
      <c r="A870" t="inlineStr">
        <is>
          <t>SIMULATED Food Waste Remote Study</t>
        </is>
      </c>
      <c r="B870" t="inlineStr">
        <is>
          <t>RESP0122</t>
        </is>
      </c>
      <c r="C870" t="inlineStr">
        <is>
          <t>Stimulus</t>
        </is>
      </c>
      <c r="D870" t="inlineStr">
        <is>
          <t>foodwaste_visual</t>
        </is>
      </c>
      <c r="E870" t="n">
        <v>62</v>
      </c>
      <c r="F870" t="inlineStr">
        <is>
          <t>Positive Valence</t>
        </is>
      </c>
      <c r="G870" t="n">
        <v>50</v>
      </c>
      <c r="H870" t="n">
        <v>1.29</v>
      </c>
      <c r="I870" t="n">
        <v>1</v>
      </c>
      <c r="J870" t="inlineStr">
        <is>
          <t>NA</t>
        </is>
      </c>
      <c r="K870" t="n">
        <v>96.59999999999999</v>
      </c>
    </row>
    <row r="871">
      <c r="A871" t="inlineStr">
        <is>
          <t>SIMULATED Food Waste Remote Study</t>
        </is>
      </c>
      <c r="B871" t="inlineStr">
        <is>
          <t>RESP0122</t>
        </is>
      </c>
      <c r="C871" t="inlineStr">
        <is>
          <t>Stimulus</t>
        </is>
      </c>
      <c r="D871" t="inlineStr">
        <is>
          <t>foodwaste_visual</t>
        </is>
      </c>
      <c r="E871" t="n">
        <v>62</v>
      </c>
      <c r="F871" t="inlineStr">
        <is>
          <t>Negative Valence</t>
        </is>
      </c>
      <c r="G871" t="n">
        <v>-50</v>
      </c>
      <c r="H871" t="n">
        <v>5.16</v>
      </c>
      <c r="I871" t="n">
        <v>1</v>
      </c>
      <c r="J871" t="inlineStr">
        <is>
          <t>NA</t>
        </is>
      </c>
      <c r="K871" t="n">
        <v>96.59999999999999</v>
      </c>
    </row>
    <row r="872">
      <c r="A872" t="inlineStr">
        <is>
          <t>SIMULATED Food Waste Remote Study</t>
        </is>
      </c>
      <c r="B872" t="inlineStr">
        <is>
          <t>RESP0123</t>
        </is>
      </c>
      <c r="C872" t="inlineStr">
        <is>
          <t>Stimulus</t>
        </is>
      </c>
      <c r="D872" t="inlineStr">
        <is>
          <t>foodwaste_narrative</t>
        </is>
      </c>
      <c r="E872" t="n">
        <v>60</v>
      </c>
      <c r="F872" t="inlineStr">
        <is>
          <t>Engagement</t>
        </is>
      </c>
      <c r="G872" t="n">
        <v>50</v>
      </c>
      <c r="H872" t="n">
        <v>11.78</v>
      </c>
      <c r="I872" t="n">
        <v>1</v>
      </c>
      <c r="J872" t="inlineStr">
        <is>
          <t>NA</t>
        </is>
      </c>
      <c r="K872" t="n">
        <v>97.90000000000001</v>
      </c>
    </row>
    <row r="873">
      <c r="A873" t="inlineStr">
        <is>
          <t>SIMULATED Food Waste Remote Study</t>
        </is>
      </c>
      <c r="B873" t="inlineStr">
        <is>
          <t>RESP0123</t>
        </is>
      </c>
      <c r="C873" t="inlineStr">
        <is>
          <t>Stimulus</t>
        </is>
      </c>
      <c r="D873" t="inlineStr">
        <is>
          <t>foodwaste_narrative</t>
        </is>
      </c>
      <c r="E873" t="n">
        <v>60</v>
      </c>
      <c r="F873" t="inlineStr">
        <is>
          <t>Joy</t>
        </is>
      </c>
      <c r="G873" t="n">
        <v>50</v>
      </c>
      <c r="H873" t="n">
        <v>0</v>
      </c>
      <c r="I873" t="n">
        <v>0</v>
      </c>
      <c r="J873" t="inlineStr">
        <is>
          <t>NA</t>
        </is>
      </c>
      <c r="K873" t="n">
        <v>97.90000000000001</v>
      </c>
    </row>
    <row r="874">
      <c r="A874" t="inlineStr">
        <is>
          <t>SIMULATED Food Waste Remote Study</t>
        </is>
      </c>
      <c r="B874" t="inlineStr">
        <is>
          <t>RESP0123</t>
        </is>
      </c>
      <c r="C874" t="inlineStr">
        <is>
          <t>Stimulus</t>
        </is>
      </c>
      <c r="D874" t="inlineStr">
        <is>
          <t>foodwaste_narrative</t>
        </is>
      </c>
      <c r="E874" t="n">
        <v>60</v>
      </c>
      <c r="F874" t="inlineStr">
        <is>
          <t>Brow Furrow</t>
        </is>
      </c>
      <c r="G874" t="n">
        <v>50</v>
      </c>
      <c r="H874" t="n">
        <v>3.56</v>
      </c>
      <c r="I874" t="n">
        <v>2</v>
      </c>
      <c r="J874" t="inlineStr">
        <is>
          <t>NA</t>
        </is>
      </c>
      <c r="K874" t="n">
        <v>97.90000000000001</v>
      </c>
    </row>
    <row r="875">
      <c r="A875" t="inlineStr">
        <is>
          <t>SIMULATED Food Waste Remote Study</t>
        </is>
      </c>
      <c r="B875" t="inlineStr">
        <is>
          <t>RESP0123</t>
        </is>
      </c>
      <c r="C875" t="inlineStr">
        <is>
          <t>Stimulus</t>
        </is>
      </c>
      <c r="D875" t="inlineStr">
        <is>
          <t>foodwaste_narrative</t>
        </is>
      </c>
      <c r="E875" t="n">
        <v>60</v>
      </c>
      <c r="F875" t="inlineStr">
        <is>
          <t>Positive Valence</t>
        </is>
      </c>
      <c r="G875" t="n">
        <v>50</v>
      </c>
      <c r="H875" t="n">
        <v>0</v>
      </c>
      <c r="I875" t="n">
        <v>0</v>
      </c>
      <c r="J875" t="inlineStr">
        <is>
          <t>NA</t>
        </is>
      </c>
      <c r="K875" t="n">
        <v>97.90000000000001</v>
      </c>
    </row>
    <row r="876">
      <c r="A876" t="inlineStr">
        <is>
          <t>SIMULATED Food Waste Remote Study</t>
        </is>
      </c>
      <c r="B876" t="inlineStr">
        <is>
          <t>RESP0123</t>
        </is>
      </c>
      <c r="C876" t="inlineStr">
        <is>
          <t>Stimulus</t>
        </is>
      </c>
      <c r="D876" t="inlineStr">
        <is>
          <t>foodwaste_narrative</t>
        </is>
      </c>
      <c r="E876" t="n">
        <v>60</v>
      </c>
      <c r="F876" t="inlineStr">
        <is>
          <t>Negative Valence</t>
        </is>
      </c>
      <c r="G876" t="n">
        <v>-50</v>
      </c>
      <c r="H876" t="n">
        <v>9.17</v>
      </c>
      <c r="I876" t="n">
        <v>3</v>
      </c>
      <c r="J876" t="inlineStr">
        <is>
          <t>NA</t>
        </is>
      </c>
      <c r="K876" t="n">
        <v>97.90000000000001</v>
      </c>
    </row>
    <row r="877">
      <c r="A877" t="inlineStr">
        <is>
          <t>SIMULATED Food Waste Remote Study</t>
        </is>
      </c>
      <c r="B877" t="inlineStr">
        <is>
          <t>RESP0123</t>
        </is>
      </c>
      <c r="C877" t="inlineStr">
        <is>
          <t>Stimulus</t>
        </is>
      </c>
      <c r="D877" t="inlineStr">
        <is>
          <t>foodwaste_visual</t>
        </is>
      </c>
      <c r="E877" t="n">
        <v>62</v>
      </c>
      <c r="F877" t="inlineStr">
        <is>
          <t>Engagement</t>
        </is>
      </c>
      <c r="G877" t="n">
        <v>50</v>
      </c>
      <c r="H877" t="n">
        <v>53.33</v>
      </c>
      <c r="I877" t="n">
        <v>9</v>
      </c>
      <c r="J877" t="inlineStr">
        <is>
          <t>NA</t>
        </is>
      </c>
      <c r="K877" t="n">
        <v>95.8</v>
      </c>
    </row>
    <row r="878">
      <c r="A878" t="inlineStr">
        <is>
          <t>SIMULATED Food Waste Remote Study</t>
        </is>
      </c>
      <c r="B878" t="inlineStr">
        <is>
          <t>RESP0123</t>
        </is>
      </c>
      <c r="C878" t="inlineStr">
        <is>
          <t>Stimulus</t>
        </is>
      </c>
      <c r="D878" t="inlineStr">
        <is>
          <t>foodwaste_visual</t>
        </is>
      </c>
      <c r="E878" t="n">
        <v>62</v>
      </c>
      <c r="F878" t="inlineStr">
        <is>
          <t>Joy</t>
        </is>
      </c>
      <c r="G878" t="n">
        <v>50</v>
      </c>
      <c r="H878" t="n">
        <v>0.97</v>
      </c>
      <c r="I878" t="n">
        <v>2</v>
      </c>
      <c r="J878" t="inlineStr">
        <is>
          <t>NA</t>
        </is>
      </c>
      <c r="K878" t="n">
        <v>95.8</v>
      </c>
    </row>
    <row r="879">
      <c r="A879" t="inlineStr">
        <is>
          <t>SIMULATED Food Waste Remote Study</t>
        </is>
      </c>
      <c r="B879" t="inlineStr">
        <is>
          <t>RESP0123</t>
        </is>
      </c>
      <c r="C879" t="inlineStr">
        <is>
          <t>Stimulus</t>
        </is>
      </c>
      <c r="D879" t="inlineStr">
        <is>
          <t>foodwaste_visual</t>
        </is>
      </c>
      <c r="E879" t="n">
        <v>62</v>
      </c>
      <c r="F879" t="inlineStr">
        <is>
          <t>Brow Furrow</t>
        </is>
      </c>
      <c r="G879" t="n">
        <v>50</v>
      </c>
      <c r="H879" t="n">
        <v>30.81</v>
      </c>
      <c r="I879" t="n">
        <v>9</v>
      </c>
      <c r="J879" t="inlineStr">
        <is>
          <t>NA</t>
        </is>
      </c>
      <c r="K879" t="n">
        <v>95.8</v>
      </c>
    </row>
    <row r="880">
      <c r="A880" t="inlineStr">
        <is>
          <t>SIMULATED Food Waste Remote Study</t>
        </is>
      </c>
      <c r="B880" t="inlineStr">
        <is>
          <t>RESP0123</t>
        </is>
      </c>
      <c r="C880" t="inlineStr">
        <is>
          <t>Stimulus</t>
        </is>
      </c>
      <c r="D880" t="inlineStr">
        <is>
          <t>foodwaste_visual</t>
        </is>
      </c>
      <c r="E880" t="n">
        <v>62</v>
      </c>
      <c r="F880" t="inlineStr">
        <is>
          <t>Positive Valence</t>
        </is>
      </c>
      <c r="G880" t="n">
        <v>50</v>
      </c>
      <c r="H880" t="n">
        <v>4.25</v>
      </c>
      <c r="I880" t="n">
        <v>2</v>
      </c>
      <c r="J880" t="inlineStr">
        <is>
          <t>NA</t>
        </is>
      </c>
      <c r="K880" t="n">
        <v>95.8</v>
      </c>
    </row>
    <row r="881">
      <c r="A881" t="inlineStr">
        <is>
          <t>SIMULATED Food Waste Remote Study</t>
        </is>
      </c>
      <c r="B881" t="inlineStr">
        <is>
          <t>RESP0123</t>
        </is>
      </c>
      <c r="C881" t="inlineStr">
        <is>
          <t>Stimulus</t>
        </is>
      </c>
      <c r="D881" t="inlineStr">
        <is>
          <t>foodwaste_visual</t>
        </is>
      </c>
      <c r="E881" t="n">
        <v>62</v>
      </c>
      <c r="F881" t="inlineStr">
        <is>
          <t>Negative Valence</t>
        </is>
      </c>
      <c r="G881" t="n">
        <v>-50</v>
      </c>
      <c r="H881" t="n">
        <v>12.74</v>
      </c>
      <c r="I881" t="n">
        <v>7</v>
      </c>
      <c r="J881" t="inlineStr">
        <is>
          <t>NA</t>
        </is>
      </c>
      <c r="K881" t="n">
        <v>95.8</v>
      </c>
    </row>
    <row r="882">
      <c r="A882" t="inlineStr">
        <is>
          <t>SIMULATED Food Waste Remote Study</t>
        </is>
      </c>
      <c r="B882" t="inlineStr">
        <is>
          <t>RESP0124</t>
        </is>
      </c>
      <c r="C882" t="inlineStr">
        <is>
          <t>Stimulus</t>
        </is>
      </c>
      <c r="D882" t="inlineStr">
        <is>
          <t>foodwaste_narrative</t>
        </is>
      </c>
      <c r="E882" t="n">
        <v>60</v>
      </c>
      <c r="F882" t="inlineStr">
        <is>
          <t>Engagement</t>
        </is>
      </c>
      <c r="G882" t="n">
        <v>50</v>
      </c>
      <c r="H882" t="n">
        <v>52.39</v>
      </c>
      <c r="I882" t="n">
        <v>8</v>
      </c>
      <c r="J882" t="inlineStr">
        <is>
          <t>NA</t>
        </is>
      </c>
      <c r="K882" t="n">
        <v>95.59999999999999</v>
      </c>
    </row>
    <row r="883">
      <c r="A883" t="inlineStr">
        <is>
          <t>SIMULATED Food Waste Remote Study</t>
        </is>
      </c>
      <c r="B883" t="inlineStr">
        <is>
          <t>RESP0124</t>
        </is>
      </c>
      <c r="C883" t="inlineStr">
        <is>
          <t>Stimulus</t>
        </is>
      </c>
      <c r="D883" t="inlineStr">
        <is>
          <t>foodwaste_narrative</t>
        </is>
      </c>
      <c r="E883" t="n">
        <v>60</v>
      </c>
      <c r="F883" t="inlineStr">
        <is>
          <t>Joy</t>
        </is>
      </c>
      <c r="G883" t="n">
        <v>50</v>
      </c>
      <c r="H883" t="n">
        <v>3</v>
      </c>
      <c r="I883" t="n">
        <v>3</v>
      </c>
      <c r="J883" t="inlineStr">
        <is>
          <t>NA</t>
        </is>
      </c>
      <c r="K883" t="n">
        <v>95.59999999999999</v>
      </c>
    </row>
    <row r="884">
      <c r="A884" t="inlineStr">
        <is>
          <t>SIMULATED Food Waste Remote Study</t>
        </is>
      </c>
      <c r="B884" t="inlineStr">
        <is>
          <t>RESP0124</t>
        </is>
      </c>
      <c r="C884" t="inlineStr">
        <is>
          <t>Stimulus</t>
        </is>
      </c>
      <c r="D884" t="inlineStr">
        <is>
          <t>foodwaste_narrative</t>
        </is>
      </c>
      <c r="E884" t="n">
        <v>60</v>
      </c>
      <c r="F884" t="inlineStr">
        <is>
          <t>Brow Furrow</t>
        </is>
      </c>
      <c r="G884" t="n">
        <v>50</v>
      </c>
      <c r="H884" t="n">
        <v>0</v>
      </c>
      <c r="I884" t="n">
        <v>0</v>
      </c>
      <c r="J884" t="inlineStr">
        <is>
          <t>NA</t>
        </is>
      </c>
      <c r="K884" t="n">
        <v>95.59999999999999</v>
      </c>
    </row>
    <row r="885">
      <c r="A885" t="inlineStr">
        <is>
          <t>SIMULATED Food Waste Remote Study</t>
        </is>
      </c>
      <c r="B885" t="inlineStr">
        <is>
          <t>RESP0124</t>
        </is>
      </c>
      <c r="C885" t="inlineStr">
        <is>
          <t>Stimulus</t>
        </is>
      </c>
      <c r="D885" t="inlineStr">
        <is>
          <t>foodwaste_narrative</t>
        </is>
      </c>
      <c r="E885" t="n">
        <v>60</v>
      </c>
      <c r="F885" t="inlineStr">
        <is>
          <t>Positive Valence</t>
        </is>
      </c>
      <c r="G885" t="n">
        <v>50</v>
      </c>
      <c r="H885" t="n">
        <v>22.72</v>
      </c>
      <c r="I885" t="n">
        <v>5</v>
      </c>
      <c r="J885" t="inlineStr">
        <is>
          <t>NA</t>
        </is>
      </c>
      <c r="K885" t="n">
        <v>95.59999999999999</v>
      </c>
    </row>
    <row r="886">
      <c r="A886" t="inlineStr">
        <is>
          <t>SIMULATED Food Waste Remote Study</t>
        </is>
      </c>
      <c r="B886" t="inlineStr">
        <is>
          <t>RESP0124</t>
        </is>
      </c>
      <c r="C886" t="inlineStr">
        <is>
          <t>Stimulus</t>
        </is>
      </c>
      <c r="D886" t="inlineStr">
        <is>
          <t>foodwaste_narrative</t>
        </is>
      </c>
      <c r="E886" t="n">
        <v>60</v>
      </c>
      <c r="F886" t="inlineStr">
        <is>
          <t>Negative Valence</t>
        </is>
      </c>
      <c r="G886" t="n">
        <v>-50</v>
      </c>
      <c r="H886" t="n">
        <v>0</v>
      </c>
      <c r="I886" t="n">
        <v>0</v>
      </c>
      <c r="J886" t="inlineStr">
        <is>
          <t>NA</t>
        </is>
      </c>
      <c r="K886" t="n">
        <v>95.59999999999999</v>
      </c>
    </row>
    <row r="887">
      <c r="A887" t="inlineStr">
        <is>
          <t>SIMULATED Food Waste Remote Study</t>
        </is>
      </c>
      <c r="B887" t="inlineStr">
        <is>
          <t>RESP0124</t>
        </is>
      </c>
      <c r="C887" t="inlineStr">
        <is>
          <t>Stimulus</t>
        </is>
      </c>
      <c r="D887" t="inlineStr">
        <is>
          <t>foodwaste_visual</t>
        </is>
      </c>
      <c r="E887" t="n">
        <v>62</v>
      </c>
      <c r="F887" t="inlineStr">
        <is>
          <t>Engagement</t>
        </is>
      </c>
      <c r="G887" t="n">
        <v>50</v>
      </c>
      <c r="H887" t="n">
        <v>4.41</v>
      </c>
      <c r="I887" t="n">
        <v>2</v>
      </c>
      <c r="J887" t="inlineStr">
        <is>
          <t>NA</t>
        </is>
      </c>
      <c r="K887" t="n">
        <v>89.3</v>
      </c>
    </row>
    <row r="888">
      <c r="A888" t="inlineStr">
        <is>
          <t>SIMULATED Food Waste Remote Study</t>
        </is>
      </c>
      <c r="B888" t="inlineStr">
        <is>
          <t>RESP0124</t>
        </is>
      </c>
      <c r="C888" t="inlineStr">
        <is>
          <t>Stimulus</t>
        </is>
      </c>
      <c r="D888" t="inlineStr">
        <is>
          <t>foodwaste_visual</t>
        </is>
      </c>
      <c r="E888" t="n">
        <v>62</v>
      </c>
      <c r="F888" t="inlineStr">
        <is>
          <t>Joy</t>
        </is>
      </c>
      <c r="G888" t="n">
        <v>50</v>
      </c>
      <c r="H888" t="n">
        <v>10.43</v>
      </c>
      <c r="I888" t="n">
        <v>6</v>
      </c>
      <c r="J888" t="inlineStr">
        <is>
          <t>NA</t>
        </is>
      </c>
      <c r="K888" t="n">
        <v>89.3</v>
      </c>
    </row>
    <row r="889">
      <c r="A889" t="inlineStr">
        <is>
          <t>SIMULATED Food Waste Remote Study</t>
        </is>
      </c>
      <c r="B889" t="inlineStr">
        <is>
          <t>RESP0124</t>
        </is>
      </c>
      <c r="C889" t="inlineStr">
        <is>
          <t>Stimulus</t>
        </is>
      </c>
      <c r="D889" t="inlineStr">
        <is>
          <t>foodwaste_visual</t>
        </is>
      </c>
      <c r="E889" t="n">
        <v>62</v>
      </c>
      <c r="F889" t="inlineStr">
        <is>
          <t>Brow Furrow</t>
        </is>
      </c>
      <c r="G889" t="n">
        <v>50</v>
      </c>
      <c r="H889" t="n">
        <v>1.34</v>
      </c>
      <c r="I889" t="n">
        <v>2</v>
      </c>
      <c r="J889" t="inlineStr">
        <is>
          <t>NA</t>
        </is>
      </c>
      <c r="K889" t="n">
        <v>89.3</v>
      </c>
    </row>
    <row r="890">
      <c r="A890" t="inlineStr">
        <is>
          <t>SIMULATED Food Waste Remote Study</t>
        </is>
      </c>
      <c r="B890" t="inlineStr">
        <is>
          <t>RESP0124</t>
        </is>
      </c>
      <c r="C890" t="inlineStr">
        <is>
          <t>Stimulus</t>
        </is>
      </c>
      <c r="D890" t="inlineStr">
        <is>
          <t>foodwaste_visual</t>
        </is>
      </c>
      <c r="E890" t="n">
        <v>62</v>
      </c>
      <c r="F890" t="inlineStr">
        <is>
          <t>Positive Valence</t>
        </is>
      </c>
      <c r="G890" t="n">
        <v>50</v>
      </c>
      <c r="H890" t="n">
        <v>18.39</v>
      </c>
      <c r="I890" t="n">
        <v>5</v>
      </c>
      <c r="J890" t="inlineStr">
        <is>
          <t>NA</t>
        </is>
      </c>
      <c r="K890" t="n">
        <v>89.3</v>
      </c>
    </row>
    <row r="891">
      <c r="A891" t="inlineStr">
        <is>
          <t>SIMULATED Food Waste Remote Study</t>
        </is>
      </c>
      <c r="B891" t="inlineStr">
        <is>
          <t>RESP0124</t>
        </is>
      </c>
      <c r="C891" t="inlineStr">
        <is>
          <t>Stimulus</t>
        </is>
      </c>
      <c r="D891" t="inlineStr">
        <is>
          <t>foodwaste_visual</t>
        </is>
      </c>
      <c r="E891" t="n">
        <v>62</v>
      </c>
      <c r="F891" t="inlineStr">
        <is>
          <t>Negative Valence</t>
        </is>
      </c>
      <c r="G891" t="n">
        <v>-50</v>
      </c>
      <c r="H891" t="n">
        <v>1.45</v>
      </c>
      <c r="I891" t="n">
        <v>1</v>
      </c>
      <c r="J891" t="inlineStr">
        <is>
          <t>NA</t>
        </is>
      </c>
      <c r="K891" t="n">
        <v>89.3</v>
      </c>
    </row>
    <row r="892">
      <c r="A892" t="inlineStr">
        <is>
          <t>SIMULATED Food Waste Remote Study</t>
        </is>
      </c>
      <c r="B892" t="inlineStr">
        <is>
          <t>RESP0125</t>
        </is>
      </c>
      <c r="C892" t="inlineStr">
        <is>
          <t>Stimulus</t>
        </is>
      </c>
      <c r="D892" t="inlineStr">
        <is>
          <t>foodwaste_narrative</t>
        </is>
      </c>
      <c r="E892" t="n">
        <v>60</v>
      </c>
      <c r="F892" t="inlineStr">
        <is>
          <t>Engagement</t>
        </is>
      </c>
      <c r="G892" t="n">
        <v>50</v>
      </c>
      <c r="H892" t="n">
        <v>24.56</v>
      </c>
      <c r="I892" t="n">
        <v>4</v>
      </c>
      <c r="J892" t="inlineStr">
        <is>
          <t>NA</t>
        </is>
      </c>
      <c r="K892" t="n">
        <v>98.40000000000001</v>
      </c>
    </row>
    <row r="893">
      <c r="A893" t="inlineStr">
        <is>
          <t>SIMULATED Food Waste Remote Study</t>
        </is>
      </c>
      <c r="B893" t="inlineStr">
        <is>
          <t>RESP0125</t>
        </is>
      </c>
      <c r="C893" t="inlineStr">
        <is>
          <t>Stimulus</t>
        </is>
      </c>
      <c r="D893" t="inlineStr">
        <is>
          <t>foodwaste_narrative</t>
        </is>
      </c>
      <c r="E893" t="n">
        <v>60</v>
      </c>
      <c r="F893" t="inlineStr">
        <is>
          <t>Joy</t>
        </is>
      </c>
      <c r="G893" t="n">
        <v>50</v>
      </c>
      <c r="H893" t="n">
        <v>0</v>
      </c>
      <c r="I893" t="n">
        <v>0</v>
      </c>
      <c r="J893" t="inlineStr">
        <is>
          <t>NA</t>
        </is>
      </c>
      <c r="K893" t="n">
        <v>98.40000000000001</v>
      </c>
    </row>
    <row r="894">
      <c r="A894" t="inlineStr">
        <is>
          <t>SIMULATED Food Waste Remote Study</t>
        </is>
      </c>
      <c r="B894" t="inlineStr">
        <is>
          <t>RESP0125</t>
        </is>
      </c>
      <c r="C894" t="inlineStr">
        <is>
          <t>Stimulus</t>
        </is>
      </c>
      <c r="D894" t="inlineStr">
        <is>
          <t>foodwaste_narrative</t>
        </is>
      </c>
      <c r="E894" t="n">
        <v>60</v>
      </c>
      <c r="F894" t="inlineStr">
        <is>
          <t>Brow Furrow</t>
        </is>
      </c>
      <c r="G894" t="n">
        <v>50</v>
      </c>
      <c r="H894" t="n">
        <v>0.39</v>
      </c>
      <c r="I894" t="n">
        <v>1</v>
      </c>
      <c r="J894" t="inlineStr">
        <is>
          <t>NA</t>
        </is>
      </c>
      <c r="K894" t="n">
        <v>98.40000000000001</v>
      </c>
    </row>
    <row r="895">
      <c r="A895" t="inlineStr">
        <is>
          <t>SIMULATED Food Waste Remote Study</t>
        </is>
      </c>
      <c r="B895" t="inlineStr">
        <is>
          <t>RESP0125</t>
        </is>
      </c>
      <c r="C895" t="inlineStr">
        <is>
          <t>Stimulus</t>
        </is>
      </c>
      <c r="D895" t="inlineStr">
        <is>
          <t>foodwaste_narrative</t>
        </is>
      </c>
      <c r="E895" t="n">
        <v>60</v>
      </c>
      <c r="F895" t="inlineStr">
        <is>
          <t>Positive Valence</t>
        </is>
      </c>
      <c r="G895" t="n">
        <v>50</v>
      </c>
      <c r="H895" t="n">
        <v>0</v>
      </c>
      <c r="I895" t="n">
        <v>0</v>
      </c>
      <c r="J895" t="inlineStr">
        <is>
          <t>NA</t>
        </is>
      </c>
      <c r="K895" t="n">
        <v>98.40000000000001</v>
      </c>
    </row>
    <row r="896">
      <c r="A896" t="inlineStr">
        <is>
          <t>SIMULATED Food Waste Remote Study</t>
        </is>
      </c>
      <c r="B896" t="inlineStr">
        <is>
          <t>RESP0125</t>
        </is>
      </c>
      <c r="C896" t="inlineStr">
        <is>
          <t>Stimulus</t>
        </is>
      </c>
      <c r="D896" t="inlineStr">
        <is>
          <t>foodwaste_narrative</t>
        </is>
      </c>
      <c r="E896" t="n">
        <v>60</v>
      </c>
      <c r="F896" t="inlineStr">
        <is>
          <t>Negative Valence</t>
        </is>
      </c>
      <c r="G896" t="n">
        <v>-50</v>
      </c>
      <c r="H896" t="n">
        <v>0</v>
      </c>
      <c r="I896" t="n">
        <v>0</v>
      </c>
      <c r="J896" t="inlineStr">
        <is>
          <t>NA</t>
        </is>
      </c>
      <c r="K896" t="n">
        <v>98.40000000000001</v>
      </c>
    </row>
    <row r="897">
      <c r="A897" t="inlineStr">
        <is>
          <t>SIMULATED Food Waste Remote Study</t>
        </is>
      </c>
      <c r="B897" t="inlineStr">
        <is>
          <t>RESP0125</t>
        </is>
      </c>
      <c r="C897" t="inlineStr">
        <is>
          <t>Stimulus</t>
        </is>
      </c>
      <c r="D897" t="inlineStr">
        <is>
          <t>foodwaste_visual</t>
        </is>
      </c>
      <c r="E897" t="n">
        <v>62</v>
      </c>
      <c r="F897" t="inlineStr">
        <is>
          <t>Engagement</t>
        </is>
      </c>
      <c r="G897" t="n">
        <v>50</v>
      </c>
      <c r="H897" t="n">
        <v>54.09</v>
      </c>
      <c r="I897" t="n">
        <v>23</v>
      </c>
      <c r="J897" t="inlineStr">
        <is>
          <t>NA</t>
        </is>
      </c>
      <c r="K897" t="n">
        <v>97.40000000000001</v>
      </c>
    </row>
    <row r="898">
      <c r="A898" t="inlineStr">
        <is>
          <t>SIMULATED Food Waste Remote Study</t>
        </is>
      </c>
      <c r="B898" t="inlineStr">
        <is>
          <t>RESP0125</t>
        </is>
      </c>
      <c r="C898" t="inlineStr">
        <is>
          <t>Stimulus</t>
        </is>
      </c>
      <c r="D898" t="inlineStr">
        <is>
          <t>foodwaste_visual</t>
        </is>
      </c>
      <c r="E898" t="n">
        <v>62</v>
      </c>
      <c r="F898" t="inlineStr">
        <is>
          <t>Joy</t>
        </is>
      </c>
      <c r="G898" t="n">
        <v>50</v>
      </c>
      <c r="H898" t="n">
        <v>6.13</v>
      </c>
      <c r="I898" t="n">
        <v>2</v>
      </c>
      <c r="J898" t="inlineStr">
        <is>
          <t>NA</t>
        </is>
      </c>
      <c r="K898" t="n">
        <v>97.40000000000001</v>
      </c>
    </row>
    <row r="899">
      <c r="A899" t="inlineStr">
        <is>
          <t>SIMULATED Food Waste Remote Study</t>
        </is>
      </c>
      <c r="B899" t="inlineStr">
        <is>
          <t>RESP0125</t>
        </is>
      </c>
      <c r="C899" t="inlineStr">
        <is>
          <t>Stimulus</t>
        </is>
      </c>
      <c r="D899" t="inlineStr">
        <is>
          <t>foodwaste_visual</t>
        </is>
      </c>
      <c r="E899" t="n">
        <v>62</v>
      </c>
      <c r="F899" t="inlineStr">
        <is>
          <t>Brow Furrow</t>
        </is>
      </c>
      <c r="G899" t="n">
        <v>50</v>
      </c>
      <c r="H899" t="n">
        <v>27.31</v>
      </c>
      <c r="I899" t="n">
        <v>9</v>
      </c>
      <c r="J899" t="inlineStr">
        <is>
          <t>NA</t>
        </is>
      </c>
      <c r="K899" t="n">
        <v>97.40000000000001</v>
      </c>
    </row>
    <row r="900">
      <c r="A900" t="inlineStr">
        <is>
          <t>SIMULATED Food Waste Remote Study</t>
        </is>
      </c>
      <c r="B900" t="inlineStr">
        <is>
          <t>RESP0125</t>
        </is>
      </c>
      <c r="C900" t="inlineStr">
        <is>
          <t>Stimulus</t>
        </is>
      </c>
      <c r="D900" t="inlineStr">
        <is>
          <t>foodwaste_visual</t>
        </is>
      </c>
      <c r="E900" t="n">
        <v>62</v>
      </c>
      <c r="F900" t="inlineStr">
        <is>
          <t>Positive Valence</t>
        </is>
      </c>
      <c r="G900" t="n">
        <v>50</v>
      </c>
      <c r="H900" t="n">
        <v>0</v>
      </c>
      <c r="I900" t="n">
        <v>0</v>
      </c>
      <c r="J900" t="inlineStr">
        <is>
          <t>NA</t>
        </is>
      </c>
      <c r="K900" t="n">
        <v>97.40000000000001</v>
      </c>
    </row>
    <row r="901">
      <c r="A901" t="inlineStr">
        <is>
          <t>SIMULATED Food Waste Remote Study</t>
        </is>
      </c>
      <c r="B901" t="inlineStr">
        <is>
          <t>RESP0125</t>
        </is>
      </c>
      <c r="C901" t="inlineStr">
        <is>
          <t>Stimulus</t>
        </is>
      </c>
      <c r="D901" t="inlineStr">
        <is>
          <t>foodwaste_visual</t>
        </is>
      </c>
      <c r="E901" t="n">
        <v>62</v>
      </c>
      <c r="F901" t="inlineStr">
        <is>
          <t>Negative Valence</t>
        </is>
      </c>
      <c r="G901" t="n">
        <v>-50</v>
      </c>
      <c r="H901" t="n">
        <v>0.22</v>
      </c>
      <c r="I901" t="n">
        <v>1</v>
      </c>
      <c r="J901" t="inlineStr">
        <is>
          <t>NA</t>
        </is>
      </c>
      <c r="K901" t="n">
        <v>97.40000000000001</v>
      </c>
    </row>
    <row r="902">
      <c r="A902" t="inlineStr">
        <is>
          <t>SIMULATED Food Waste Remote Study</t>
        </is>
      </c>
      <c r="B902" t="inlineStr">
        <is>
          <t>RESP0129</t>
        </is>
      </c>
      <c r="C902" t="inlineStr">
        <is>
          <t>Stimulus</t>
        </is>
      </c>
      <c r="D902" t="inlineStr">
        <is>
          <t>foodwaste_narrative</t>
        </is>
      </c>
      <c r="E902" t="n">
        <v>60</v>
      </c>
      <c r="F902" t="inlineStr">
        <is>
          <t>Engagement</t>
        </is>
      </c>
      <c r="G902" t="n">
        <v>50</v>
      </c>
      <c r="H902" t="n">
        <v>1.67</v>
      </c>
      <c r="I902" t="n">
        <v>2</v>
      </c>
      <c r="J902" t="inlineStr">
        <is>
          <t>NA</t>
        </is>
      </c>
      <c r="K902" t="n">
        <v>98.59999999999999</v>
      </c>
    </row>
    <row r="903">
      <c r="A903" t="inlineStr">
        <is>
          <t>SIMULATED Food Waste Remote Study</t>
        </is>
      </c>
      <c r="B903" t="inlineStr">
        <is>
          <t>RESP0129</t>
        </is>
      </c>
      <c r="C903" t="inlineStr">
        <is>
          <t>Stimulus</t>
        </is>
      </c>
      <c r="D903" t="inlineStr">
        <is>
          <t>foodwaste_narrative</t>
        </is>
      </c>
      <c r="E903" t="n">
        <v>60</v>
      </c>
      <c r="F903" t="inlineStr">
        <is>
          <t>Joy</t>
        </is>
      </c>
      <c r="G903" t="n">
        <v>50</v>
      </c>
      <c r="H903" t="n">
        <v>4.94</v>
      </c>
      <c r="I903" t="n">
        <v>1</v>
      </c>
      <c r="J903" t="inlineStr">
        <is>
          <t>NA</t>
        </is>
      </c>
      <c r="K903" t="n">
        <v>98.59999999999999</v>
      </c>
    </row>
    <row r="904">
      <c r="A904" t="inlineStr">
        <is>
          <t>SIMULATED Food Waste Remote Study</t>
        </is>
      </c>
      <c r="B904" t="inlineStr">
        <is>
          <t>RESP0129</t>
        </is>
      </c>
      <c r="C904" t="inlineStr">
        <is>
          <t>Stimulus</t>
        </is>
      </c>
      <c r="D904" t="inlineStr">
        <is>
          <t>foodwaste_narrative</t>
        </is>
      </c>
      <c r="E904" t="n">
        <v>60</v>
      </c>
      <c r="F904" t="inlineStr">
        <is>
          <t>Brow Furrow</t>
        </is>
      </c>
      <c r="G904" t="n">
        <v>50</v>
      </c>
      <c r="H904" t="n">
        <v>0</v>
      </c>
      <c r="I904" t="n">
        <v>0</v>
      </c>
      <c r="J904" t="inlineStr">
        <is>
          <t>NA</t>
        </is>
      </c>
      <c r="K904" t="n">
        <v>98.59999999999999</v>
      </c>
    </row>
    <row r="905">
      <c r="A905" t="inlineStr">
        <is>
          <t>SIMULATED Food Waste Remote Study</t>
        </is>
      </c>
      <c r="B905" t="inlineStr">
        <is>
          <t>RESP0129</t>
        </is>
      </c>
      <c r="C905" t="inlineStr">
        <is>
          <t>Stimulus</t>
        </is>
      </c>
      <c r="D905" t="inlineStr">
        <is>
          <t>foodwaste_narrative</t>
        </is>
      </c>
      <c r="E905" t="n">
        <v>60</v>
      </c>
      <c r="F905" t="inlineStr">
        <is>
          <t>Positive Valence</t>
        </is>
      </c>
      <c r="G905" t="n">
        <v>50</v>
      </c>
      <c r="H905" t="n">
        <v>4.44</v>
      </c>
      <c r="I905" t="n">
        <v>2</v>
      </c>
      <c r="J905" t="inlineStr">
        <is>
          <t>NA</t>
        </is>
      </c>
      <c r="K905" t="n">
        <v>98.59999999999999</v>
      </c>
    </row>
    <row r="906">
      <c r="A906" t="inlineStr">
        <is>
          <t>SIMULATED Food Waste Remote Study</t>
        </is>
      </c>
      <c r="B906" t="inlineStr">
        <is>
          <t>RESP0129</t>
        </is>
      </c>
      <c r="C906" t="inlineStr">
        <is>
          <t>Stimulus</t>
        </is>
      </c>
      <c r="D906" t="inlineStr">
        <is>
          <t>foodwaste_narrative</t>
        </is>
      </c>
      <c r="E906" t="n">
        <v>60</v>
      </c>
      <c r="F906" t="inlineStr">
        <is>
          <t>Negative Valence</t>
        </is>
      </c>
      <c r="G906" t="n">
        <v>-50</v>
      </c>
      <c r="H906" t="n">
        <v>0</v>
      </c>
      <c r="I906" t="n">
        <v>0</v>
      </c>
      <c r="J906" t="inlineStr">
        <is>
          <t>NA</t>
        </is>
      </c>
      <c r="K906" t="n">
        <v>98.59999999999999</v>
      </c>
    </row>
    <row r="907">
      <c r="A907" t="inlineStr">
        <is>
          <t>SIMULATED Food Waste Remote Study</t>
        </is>
      </c>
      <c r="B907" t="inlineStr">
        <is>
          <t>RESP0129</t>
        </is>
      </c>
      <c r="C907" t="inlineStr">
        <is>
          <t>Stimulus</t>
        </is>
      </c>
      <c r="D907" t="inlineStr">
        <is>
          <t>foodwaste_visual</t>
        </is>
      </c>
      <c r="E907" t="n">
        <v>62</v>
      </c>
      <c r="F907" t="inlineStr">
        <is>
          <t>Engagement</t>
        </is>
      </c>
      <c r="G907" t="n">
        <v>50</v>
      </c>
      <c r="H907" t="n">
        <v>18.17</v>
      </c>
      <c r="I907" t="n">
        <v>3</v>
      </c>
      <c r="J907" t="inlineStr">
        <is>
          <t>NA</t>
        </is>
      </c>
      <c r="K907" t="n">
        <v>98.5</v>
      </c>
    </row>
    <row r="908">
      <c r="A908" t="inlineStr">
        <is>
          <t>SIMULATED Food Waste Remote Study</t>
        </is>
      </c>
      <c r="B908" t="inlineStr">
        <is>
          <t>RESP0129</t>
        </is>
      </c>
      <c r="C908" t="inlineStr">
        <is>
          <t>Stimulus</t>
        </is>
      </c>
      <c r="D908" t="inlineStr">
        <is>
          <t>foodwaste_visual</t>
        </is>
      </c>
      <c r="E908" t="n">
        <v>62</v>
      </c>
      <c r="F908" t="inlineStr">
        <is>
          <t>Joy</t>
        </is>
      </c>
      <c r="G908" t="n">
        <v>50</v>
      </c>
      <c r="H908" t="n">
        <v>0</v>
      </c>
      <c r="I908" t="n">
        <v>0</v>
      </c>
      <c r="J908" t="inlineStr">
        <is>
          <t>NA</t>
        </is>
      </c>
      <c r="K908" t="n">
        <v>98.5</v>
      </c>
    </row>
    <row r="909">
      <c r="A909" t="inlineStr">
        <is>
          <t>SIMULATED Food Waste Remote Study</t>
        </is>
      </c>
      <c r="B909" t="inlineStr">
        <is>
          <t>RESP0129</t>
        </is>
      </c>
      <c r="C909" t="inlineStr">
        <is>
          <t>Stimulus</t>
        </is>
      </c>
      <c r="D909" t="inlineStr">
        <is>
          <t>foodwaste_visual</t>
        </is>
      </c>
      <c r="E909" t="n">
        <v>62</v>
      </c>
      <c r="F909" t="inlineStr">
        <is>
          <t>Brow Furrow</t>
        </is>
      </c>
      <c r="G909" t="n">
        <v>50</v>
      </c>
      <c r="H909" t="n">
        <v>10.22</v>
      </c>
      <c r="I909" t="n">
        <v>4</v>
      </c>
      <c r="J909" t="inlineStr">
        <is>
          <t>NA</t>
        </is>
      </c>
      <c r="K909" t="n">
        <v>98.5</v>
      </c>
    </row>
    <row r="910">
      <c r="A910" t="inlineStr">
        <is>
          <t>SIMULATED Food Waste Remote Study</t>
        </is>
      </c>
      <c r="B910" t="inlineStr">
        <is>
          <t>RESP0129</t>
        </is>
      </c>
      <c r="C910" t="inlineStr">
        <is>
          <t>Stimulus</t>
        </is>
      </c>
      <c r="D910" t="inlineStr">
        <is>
          <t>foodwaste_visual</t>
        </is>
      </c>
      <c r="E910" t="n">
        <v>62</v>
      </c>
      <c r="F910" t="inlineStr">
        <is>
          <t>Positive Valence</t>
        </is>
      </c>
      <c r="G910" t="n">
        <v>50</v>
      </c>
      <c r="H910" t="n">
        <v>0</v>
      </c>
      <c r="I910" t="n">
        <v>0</v>
      </c>
      <c r="J910" t="inlineStr">
        <is>
          <t>NA</t>
        </is>
      </c>
      <c r="K910" t="n">
        <v>98.5</v>
      </c>
    </row>
    <row r="911">
      <c r="A911" t="inlineStr">
        <is>
          <t>SIMULATED Food Waste Remote Study</t>
        </is>
      </c>
      <c r="B911" t="inlineStr">
        <is>
          <t>RESP0129</t>
        </is>
      </c>
      <c r="C911" t="inlineStr">
        <is>
          <t>Stimulus</t>
        </is>
      </c>
      <c r="D911" t="inlineStr">
        <is>
          <t>foodwaste_visual</t>
        </is>
      </c>
      <c r="E911" t="n">
        <v>62</v>
      </c>
      <c r="F911" t="inlineStr">
        <is>
          <t>Negative Valence</t>
        </is>
      </c>
      <c r="G911" t="n">
        <v>-50</v>
      </c>
      <c r="H911" t="n">
        <v>0</v>
      </c>
      <c r="I911" t="n">
        <v>0</v>
      </c>
      <c r="J911" t="inlineStr">
        <is>
          <t>NA</t>
        </is>
      </c>
      <c r="K911" t="n">
        <v>98.5</v>
      </c>
    </row>
    <row r="912">
      <c r="A912" t="inlineStr">
        <is>
          <t>SIMULATED Food Waste Remote Study</t>
        </is>
      </c>
      <c r="B912" t="inlineStr">
        <is>
          <t>RESP0130</t>
        </is>
      </c>
      <c r="C912" t="inlineStr">
        <is>
          <t>Stimulus</t>
        </is>
      </c>
      <c r="D912" t="inlineStr">
        <is>
          <t>foodwaste_narrative</t>
        </is>
      </c>
      <c r="E912" t="n">
        <v>60</v>
      </c>
      <c r="F912" t="inlineStr">
        <is>
          <t>Engagement</t>
        </is>
      </c>
      <c r="G912" t="n">
        <v>50</v>
      </c>
      <c r="H912" t="n">
        <v>0</v>
      </c>
      <c r="I912" t="n">
        <v>0</v>
      </c>
      <c r="J912" t="inlineStr">
        <is>
          <t>NA</t>
        </is>
      </c>
      <c r="K912" t="n">
        <v>73</v>
      </c>
    </row>
    <row r="913">
      <c r="A913" t="inlineStr">
        <is>
          <t>SIMULATED Food Waste Remote Study</t>
        </is>
      </c>
      <c r="B913" t="inlineStr">
        <is>
          <t>RESP0130</t>
        </is>
      </c>
      <c r="C913" t="inlineStr">
        <is>
          <t>Stimulus</t>
        </is>
      </c>
      <c r="D913" t="inlineStr">
        <is>
          <t>foodwaste_narrative</t>
        </is>
      </c>
      <c r="E913" t="n">
        <v>60</v>
      </c>
      <c r="F913" t="inlineStr">
        <is>
          <t>Joy</t>
        </is>
      </c>
      <c r="G913" t="n">
        <v>50</v>
      </c>
      <c r="H913" t="n">
        <v>1.94</v>
      </c>
      <c r="I913" t="n">
        <v>3</v>
      </c>
      <c r="J913" t="inlineStr">
        <is>
          <t>NA</t>
        </is>
      </c>
      <c r="K913" t="n">
        <v>73</v>
      </c>
    </row>
    <row r="914">
      <c r="A914" t="inlineStr">
        <is>
          <t>SIMULATED Food Waste Remote Study</t>
        </is>
      </c>
      <c r="B914" t="inlineStr">
        <is>
          <t>RESP0130</t>
        </is>
      </c>
      <c r="C914" t="inlineStr">
        <is>
          <t>Stimulus</t>
        </is>
      </c>
      <c r="D914" t="inlineStr">
        <is>
          <t>foodwaste_narrative</t>
        </is>
      </c>
      <c r="E914" t="n">
        <v>60</v>
      </c>
      <c r="F914" t="inlineStr">
        <is>
          <t>Brow Furrow</t>
        </is>
      </c>
      <c r="G914" t="n">
        <v>50</v>
      </c>
      <c r="H914" t="n">
        <v>0</v>
      </c>
      <c r="I914" t="n">
        <v>0</v>
      </c>
      <c r="J914" t="inlineStr">
        <is>
          <t>NA</t>
        </is>
      </c>
      <c r="K914" t="n">
        <v>73</v>
      </c>
    </row>
    <row r="915">
      <c r="A915" t="inlineStr">
        <is>
          <t>SIMULATED Food Waste Remote Study</t>
        </is>
      </c>
      <c r="B915" t="inlineStr">
        <is>
          <t>RESP0130</t>
        </is>
      </c>
      <c r="C915" t="inlineStr">
        <is>
          <t>Stimulus</t>
        </is>
      </c>
      <c r="D915" t="inlineStr">
        <is>
          <t>foodwaste_narrative</t>
        </is>
      </c>
      <c r="E915" t="n">
        <v>60</v>
      </c>
      <c r="F915" t="inlineStr">
        <is>
          <t>Positive Valence</t>
        </is>
      </c>
      <c r="G915" t="n">
        <v>50</v>
      </c>
      <c r="H915" t="n">
        <v>0</v>
      </c>
      <c r="I915" t="n">
        <v>0</v>
      </c>
      <c r="J915" t="inlineStr">
        <is>
          <t>NA</t>
        </is>
      </c>
      <c r="K915" t="n">
        <v>73</v>
      </c>
    </row>
    <row r="916">
      <c r="A916" t="inlineStr">
        <is>
          <t>SIMULATED Food Waste Remote Study</t>
        </is>
      </c>
      <c r="B916" t="inlineStr">
        <is>
          <t>RESP0130</t>
        </is>
      </c>
      <c r="C916" t="inlineStr">
        <is>
          <t>Stimulus</t>
        </is>
      </c>
      <c r="D916" t="inlineStr">
        <is>
          <t>foodwaste_narrative</t>
        </is>
      </c>
      <c r="E916" t="n">
        <v>60</v>
      </c>
      <c r="F916" t="inlineStr">
        <is>
          <t>Negative Valence</t>
        </is>
      </c>
      <c r="G916" t="n">
        <v>-50</v>
      </c>
      <c r="H916" t="n">
        <v>0.83</v>
      </c>
      <c r="I916" t="n">
        <v>1</v>
      </c>
      <c r="J916" t="inlineStr">
        <is>
          <t>NA</t>
        </is>
      </c>
      <c r="K916" t="n">
        <v>73</v>
      </c>
    </row>
    <row r="917">
      <c r="A917" t="inlineStr">
        <is>
          <t>SIMULATED Food Waste Remote Study</t>
        </is>
      </c>
      <c r="B917" t="inlineStr">
        <is>
          <t>RESP0130</t>
        </is>
      </c>
      <c r="C917" t="inlineStr">
        <is>
          <t>Stimulus</t>
        </is>
      </c>
      <c r="D917" t="inlineStr">
        <is>
          <t>foodwaste_visual</t>
        </is>
      </c>
      <c r="E917" t="n">
        <v>62</v>
      </c>
      <c r="F917" t="inlineStr">
        <is>
          <t>Engagement</t>
        </is>
      </c>
      <c r="G917" t="n">
        <v>50</v>
      </c>
      <c r="H917" t="n">
        <v>5.22</v>
      </c>
      <c r="I917" t="n">
        <v>3</v>
      </c>
      <c r="J917" t="inlineStr">
        <is>
          <t>NA</t>
        </is>
      </c>
      <c r="K917" t="n">
        <v>80.59999999999999</v>
      </c>
    </row>
    <row r="918">
      <c r="A918" t="inlineStr">
        <is>
          <t>SIMULATED Food Waste Remote Study</t>
        </is>
      </c>
      <c r="B918" t="inlineStr">
        <is>
          <t>RESP0130</t>
        </is>
      </c>
      <c r="C918" t="inlineStr">
        <is>
          <t>Stimulus</t>
        </is>
      </c>
      <c r="D918" t="inlineStr">
        <is>
          <t>foodwaste_visual</t>
        </is>
      </c>
      <c r="E918" t="n">
        <v>62</v>
      </c>
      <c r="F918" t="inlineStr">
        <is>
          <t>Joy</t>
        </is>
      </c>
      <c r="G918" t="n">
        <v>50</v>
      </c>
      <c r="H918" t="n">
        <v>0</v>
      </c>
      <c r="I918" t="n">
        <v>0</v>
      </c>
      <c r="J918" t="inlineStr">
        <is>
          <t>NA</t>
        </is>
      </c>
      <c r="K918" t="n">
        <v>80.59999999999999</v>
      </c>
    </row>
    <row r="919">
      <c r="A919" t="inlineStr">
        <is>
          <t>SIMULATED Food Waste Remote Study</t>
        </is>
      </c>
      <c r="B919" t="inlineStr">
        <is>
          <t>RESP0130</t>
        </is>
      </c>
      <c r="C919" t="inlineStr">
        <is>
          <t>Stimulus</t>
        </is>
      </c>
      <c r="D919" t="inlineStr">
        <is>
          <t>foodwaste_visual</t>
        </is>
      </c>
      <c r="E919" t="n">
        <v>62</v>
      </c>
      <c r="F919" t="inlineStr">
        <is>
          <t>Brow Furrow</t>
        </is>
      </c>
      <c r="G919" t="n">
        <v>50</v>
      </c>
      <c r="H919" t="n">
        <v>4.62</v>
      </c>
      <c r="I919" t="n">
        <v>2</v>
      </c>
      <c r="J919" t="inlineStr">
        <is>
          <t>NA</t>
        </is>
      </c>
      <c r="K919" t="n">
        <v>80.59999999999999</v>
      </c>
    </row>
    <row r="920">
      <c r="A920" t="inlineStr">
        <is>
          <t>SIMULATED Food Waste Remote Study</t>
        </is>
      </c>
      <c r="B920" t="inlineStr">
        <is>
          <t>RESP0130</t>
        </is>
      </c>
      <c r="C920" t="inlineStr">
        <is>
          <t>Stimulus</t>
        </is>
      </c>
      <c r="D920" t="inlineStr">
        <is>
          <t>foodwaste_visual</t>
        </is>
      </c>
      <c r="E920" t="n">
        <v>62</v>
      </c>
      <c r="F920" t="inlineStr">
        <is>
          <t>Positive Valence</t>
        </is>
      </c>
      <c r="G920" t="n">
        <v>50</v>
      </c>
      <c r="H920" t="n">
        <v>18.01</v>
      </c>
      <c r="I920" t="n">
        <v>7</v>
      </c>
      <c r="J920" t="inlineStr">
        <is>
          <t>NA</t>
        </is>
      </c>
      <c r="K920" t="n">
        <v>80.59999999999999</v>
      </c>
    </row>
    <row r="921">
      <c r="A921" t="inlineStr">
        <is>
          <t>SIMULATED Food Waste Remote Study</t>
        </is>
      </c>
      <c r="B921" t="inlineStr">
        <is>
          <t>RESP0130</t>
        </is>
      </c>
      <c r="C921" t="inlineStr">
        <is>
          <t>Stimulus</t>
        </is>
      </c>
      <c r="D921" t="inlineStr">
        <is>
          <t>foodwaste_visual</t>
        </is>
      </c>
      <c r="E921" t="n">
        <v>62</v>
      </c>
      <c r="F921" t="inlineStr">
        <is>
          <t>Negative Valence</t>
        </is>
      </c>
      <c r="G921" t="n">
        <v>-50</v>
      </c>
      <c r="H921" t="n">
        <v>1.4</v>
      </c>
      <c r="I921" t="n">
        <v>1</v>
      </c>
      <c r="J921" t="inlineStr">
        <is>
          <t>NA</t>
        </is>
      </c>
      <c r="K921" t="n">
        <v>80.59999999999999</v>
      </c>
    </row>
    <row r="922">
      <c r="A922" t="inlineStr">
        <is>
          <t>SIMULATED Food Waste Remote Study</t>
        </is>
      </c>
      <c r="B922" t="inlineStr">
        <is>
          <t>RESP0131</t>
        </is>
      </c>
      <c r="C922" t="inlineStr">
        <is>
          <t>Stimulus</t>
        </is>
      </c>
      <c r="D922" t="inlineStr">
        <is>
          <t>foodwaste_narrative</t>
        </is>
      </c>
      <c r="E922" t="n">
        <v>60</v>
      </c>
      <c r="F922" t="inlineStr">
        <is>
          <t>Engagement</t>
        </is>
      </c>
      <c r="G922" t="n">
        <v>50</v>
      </c>
      <c r="H922" t="n">
        <v>1.5</v>
      </c>
      <c r="I922" t="n">
        <v>1</v>
      </c>
      <c r="J922" t="inlineStr">
        <is>
          <t>NA</t>
        </is>
      </c>
      <c r="K922" t="n">
        <v>91.8</v>
      </c>
    </row>
    <row r="923">
      <c r="A923" t="inlineStr">
        <is>
          <t>SIMULATED Food Waste Remote Study</t>
        </is>
      </c>
      <c r="B923" t="inlineStr">
        <is>
          <t>RESP0131</t>
        </is>
      </c>
      <c r="C923" t="inlineStr">
        <is>
          <t>Stimulus</t>
        </is>
      </c>
      <c r="D923" t="inlineStr">
        <is>
          <t>foodwaste_narrative</t>
        </is>
      </c>
      <c r="E923" t="n">
        <v>60</v>
      </c>
      <c r="F923" t="inlineStr">
        <is>
          <t>Joy</t>
        </is>
      </c>
      <c r="G923" t="n">
        <v>50</v>
      </c>
      <c r="H923" t="n">
        <v>6.28</v>
      </c>
      <c r="I923" t="n">
        <v>3</v>
      </c>
      <c r="J923" t="inlineStr">
        <is>
          <t>NA</t>
        </is>
      </c>
      <c r="K923" t="n">
        <v>91.8</v>
      </c>
    </row>
    <row r="924">
      <c r="A924" t="inlineStr">
        <is>
          <t>SIMULATED Food Waste Remote Study</t>
        </is>
      </c>
      <c r="B924" t="inlineStr">
        <is>
          <t>RESP0131</t>
        </is>
      </c>
      <c r="C924" t="inlineStr">
        <is>
          <t>Stimulus</t>
        </is>
      </c>
      <c r="D924" t="inlineStr">
        <is>
          <t>foodwaste_narrative</t>
        </is>
      </c>
      <c r="E924" t="n">
        <v>60</v>
      </c>
      <c r="F924" t="inlineStr">
        <is>
          <t>Brow Furrow</t>
        </is>
      </c>
      <c r="G924" t="n">
        <v>50</v>
      </c>
      <c r="H924" t="n">
        <v>0</v>
      </c>
      <c r="I924" t="n">
        <v>0</v>
      </c>
      <c r="J924" t="inlineStr">
        <is>
          <t>NA</t>
        </is>
      </c>
      <c r="K924" t="n">
        <v>91.8</v>
      </c>
    </row>
    <row r="925">
      <c r="A925" t="inlineStr">
        <is>
          <t>SIMULATED Food Waste Remote Study</t>
        </is>
      </c>
      <c r="B925" t="inlineStr">
        <is>
          <t>RESP0131</t>
        </is>
      </c>
      <c r="C925" t="inlineStr">
        <is>
          <t>Stimulus</t>
        </is>
      </c>
      <c r="D925" t="inlineStr">
        <is>
          <t>foodwaste_narrative</t>
        </is>
      </c>
      <c r="E925" t="n">
        <v>60</v>
      </c>
      <c r="F925" t="inlineStr">
        <is>
          <t>Positive Valence</t>
        </is>
      </c>
      <c r="G925" t="n">
        <v>50</v>
      </c>
      <c r="H925" t="n">
        <v>9</v>
      </c>
      <c r="I925" t="n">
        <v>2</v>
      </c>
      <c r="J925" t="inlineStr">
        <is>
          <t>NA</t>
        </is>
      </c>
      <c r="K925" t="n">
        <v>91.8</v>
      </c>
    </row>
    <row r="926">
      <c r="A926" t="inlineStr">
        <is>
          <t>SIMULATED Food Waste Remote Study</t>
        </is>
      </c>
      <c r="B926" t="inlineStr">
        <is>
          <t>RESP0131</t>
        </is>
      </c>
      <c r="C926" t="inlineStr">
        <is>
          <t>Stimulus</t>
        </is>
      </c>
      <c r="D926" t="inlineStr">
        <is>
          <t>foodwaste_narrative</t>
        </is>
      </c>
      <c r="E926" t="n">
        <v>60</v>
      </c>
      <c r="F926" t="inlineStr">
        <is>
          <t>Negative Valence</t>
        </is>
      </c>
      <c r="G926" t="n">
        <v>-50</v>
      </c>
      <c r="H926" t="n">
        <v>0</v>
      </c>
      <c r="I926" t="n">
        <v>0</v>
      </c>
      <c r="J926" t="inlineStr">
        <is>
          <t>NA</t>
        </is>
      </c>
      <c r="K926" t="n">
        <v>91.8</v>
      </c>
    </row>
    <row r="927">
      <c r="A927" t="inlineStr">
        <is>
          <t>SIMULATED Food Waste Remote Study</t>
        </is>
      </c>
      <c r="B927" t="inlineStr">
        <is>
          <t>RESP0131</t>
        </is>
      </c>
      <c r="C927" t="inlineStr">
        <is>
          <t>Stimulus</t>
        </is>
      </c>
      <c r="D927" t="inlineStr">
        <is>
          <t>foodwaste_visual</t>
        </is>
      </c>
      <c r="E927" t="n">
        <v>62</v>
      </c>
      <c r="F927" t="inlineStr">
        <is>
          <t>Engagement</t>
        </is>
      </c>
      <c r="G927" t="n">
        <v>50</v>
      </c>
      <c r="H927" t="n">
        <v>12.58</v>
      </c>
      <c r="I927" t="n">
        <v>6</v>
      </c>
      <c r="J927" t="inlineStr">
        <is>
          <t>NA</t>
        </is>
      </c>
      <c r="K927" t="n">
        <v>93.3</v>
      </c>
    </row>
    <row r="928">
      <c r="A928" t="inlineStr">
        <is>
          <t>SIMULATED Food Waste Remote Study</t>
        </is>
      </c>
      <c r="B928" t="inlineStr">
        <is>
          <t>RESP0131</t>
        </is>
      </c>
      <c r="C928" t="inlineStr">
        <is>
          <t>Stimulus</t>
        </is>
      </c>
      <c r="D928" t="inlineStr">
        <is>
          <t>foodwaste_visual</t>
        </is>
      </c>
      <c r="E928" t="n">
        <v>62</v>
      </c>
      <c r="F928" t="inlineStr">
        <is>
          <t>Joy</t>
        </is>
      </c>
      <c r="G928" t="n">
        <v>50</v>
      </c>
      <c r="H928" t="n">
        <v>1.45</v>
      </c>
      <c r="I928" t="n">
        <v>1</v>
      </c>
      <c r="J928" t="inlineStr">
        <is>
          <t>NA</t>
        </is>
      </c>
      <c r="K928" t="n">
        <v>93.3</v>
      </c>
    </row>
    <row r="929">
      <c r="A929" t="inlineStr">
        <is>
          <t>SIMULATED Food Waste Remote Study</t>
        </is>
      </c>
      <c r="B929" t="inlineStr">
        <is>
          <t>RESP0131</t>
        </is>
      </c>
      <c r="C929" t="inlineStr">
        <is>
          <t>Stimulus</t>
        </is>
      </c>
      <c r="D929" t="inlineStr">
        <is>
          <t>foodwaste_visual</t>
        </is>
      </c>
      <c r="E929" t="n">
        <v>62</v>
      </c>
      <c r="F929" t="inlineStr">
        <is>
          <t>Brow Furrow</t>
        </is>
      </c>
      <c r="G929" t="n">
        <v>50</v>
      </c>
      <c r="H929" t="n">
        <v>1.88</v>
      </c>
      <c r="I929" t="n">
        <v>1</v>
      </c>
      <c r="J929" t="inlineStr">
        <is>
          <t>NA</t>
        </is>
      </c>
      <c r="K929" t="n">
        <v>93.3</v>
      </c>
    </row>
    <row r="930">
      <c r="A930" t="inlineStr">
        <is>
          <t>SIMULATED Food Waste Remote Study</t>
        </is>
      </c>
      <c r="B930" t="inlineStr">
        <is>
          <t>RESP0131</t>
        </is>
      </c>
      <c r="C930" t="inlineStr">
        <is>
          <t>Stimulus</t>
        </is>
      </c>
      <c r="D930" t="inlineStr">
        <is>
          <t>foodwaste_visual</t>
        </is>
      </c>
      <c r="E930" t="n">
        <v>62</v>
      </c>
      <c r="F930" t="inlineStr">
        <is>
          <t>Positive Valence</t>
        </is>
      </c>
      <c r="G930" t="n">
        <v>50</v>
      </c>
      <c r="H930" t="n">
        <v>0</v>
      </c>
      <c r="I930" t="n">
        <v>0</v>
      </c>
      <c r="J930" t="inlineStr">
        <is>
          <t>NA</t>
        </is>
      </c>
      <c r="K930" t="n">
        <v>93.3</v>
      </c>
    </row>
    <row r="931">
      <c r="A931" t="inlineStr">
        <is>
          <t>SIMULATED Food Waste Remote Study</t>
        </is>
      </c>
      <c r="B931" t="inlineStr">
        <is>
          <t>RESP0131</t>
        </is>
      </c>
      <c r="C931" t="inlineStr">
        <is>
          <t>Stimulus</t>
        </is>
      </c>
      <c r="D931" t="inlineStr">
        <is>
          <t>foodwaste_visual</t>
        </is>
      </c>
      <c r="E931" t="n">
        <v>62</v>
      </c>
      <c r="F931" t="inlineStr">
        <is>
          <t>Negative Valence</t>
        </is>
      </c>
      <c r="G931" t="n">
        <v>-50</v>
      </c>
      <c r="H931" t="n">
        <v>6.83</v>
      </c>
      <c r="I931" t="n">
        <v>3</v>
      </c>
      <c r="J931" t="inlineStr">
        <is>
          <t>NA</t>
        </is>
      </c>
      <c r="K931" t="n">
        <v>93.3</v>
      </c>
    </row>
    <row r="932">
      <c r="A932" t="inlineStr">
        <is>
          <t>SIMULATED Food Waste Remote Study</t>
        </is>
      </c>
      <c r="B932" t="inlineStr">
        <is>
          <t>RESP0133</t>
        </is>
      </c>
      <c r="C932" t="inlineStr">
        <is>
          <t>Stimulus</t>
        </is>
      </c>
      <c r="D932" t="inlineStr">
        <is>
          <t>foodwaste_narrative</t>
        </is>
      </c>
      <c r="E932" t="n">
        <v>60</v>
      </c>
      <c r="F932" t="inlineStr">
        <is>
          <t>Engagement</t>
        </is>
      </c>
      <c r="G932" t="n">
        <v>50</v>
      </c>
      <c r="H932" t="n">
        <v>21.56</v>
      </c>
      <c r="I932" t="n">
        <v>10</v>
      </c>
      <c r="J932" t="inlineStr">
        <is>
          <t>NA</t>
        </is>
      </c>
      <c r="K932" t="n">
        <v>92.7</v>
      </c>
    </row>
    <row r="933">
      <c r="A933" t="inlineStr">
        <is>
          <t>SIMULATED Food Waste Remote Study</t>
        </is>
      </c>
      <c r="B933" t="inlineStr">
        <is>
          <t>RESP0133</t>
        </is>
      </c>
      <c r="C933" t="inlineStr">
        <is>
          <t>Stimulus</t>
        </is>
      </c>
      <c r="D933" t="inlineStr">
        <is>
          <t>foodwaste_narrative</t>
        </is>
      </c>
      <c r="E933" t="n">
        <v>60</v>
      </c>
      <c r="F933" t="inlineStr">
        <is>
          <t>Joy</t>
        </is>
      </c>
      <c r="G933" t="n">
        <v>50</v>
      </c>
      <c r="H933" t="n">
        <v>0</v>
      </c>
      <c r="I933" t="n">
        <v>0</v>
      </c>
      <c r="J933" t="inlineStr">
        <is>
          <t>NA</t>
        </is>
      </c>
      <c r="K933" t="n">
        <v>92.7</v>
      </c>
    </row>
    <row r="934">
      <c r="A934" t="inlineStr">
        <is>
          <t>SIMULATED Food Waste Remote Study</t>
        </is>
      </c>
      <c r="B934" t="inlineStr">
        <is>
          <t>RESP0133</t>
        </is>
      </c>
      <c r="C934" t="inlineStr">
        <is>
          <t>Stimulus</t>
        </is>
      </c>
      <c r="D934" t="inlineStr">
        <is>
          <t>foodwaste_narrative</t>
        </is>
      </c>
      <c r="E934" t="n">
        <v>60</v>
      </c>
      <c r="F934" t="inlineStr">
        <is>
          <t>Brow Furrow</t>
        </is>
      </c>
      <c r="G934" t="n">
        <v>50</v>
      </c>
      <c r="H934" t="n">
        <v>0</v>
      </c>
      <c r="I934" t="n">
        <v>0</v>
      </c>
      <c r="J934" t="inlineStr">
        <is>
          <t>NA</t>
        </is>
      </c>
      <c r="K934" t="n">
        <v>92.7</v>
      </c>
    </row>
    <row r="935">
      <c r="A935" t="inlineStr">
        <is>
          <t>SIMULATED Food Waste Remote Study</t>
        </is>
      </c>
      <c r="B935" t="inlineStr">
        <is>
          <t>RESP0133</t>
        </is>
      </c>
      <c r="C935" t="inlineStr">
        <is>
          <t>Stimulus</t>
        </is>
      </c>
      <c r="D935" t="inlineStr">
        <is>
          <t>foodwaste_narrative</t>
        </is>
      </c>
      <c r="E935" t="n">
        <v>60</v>
      </c>
      <c r="F935" t="inlineStr">
        <is>
          <t>Positive Valence</t>
        </is>
      </c>
      <c r="G935" t="n">
        <v>50</v>
      </c>
      <c r="H935" t="n">
        <v>3.28</v>
      </c>
      <c r="I935" t="n">
        <v>2</v>
      </c>
      <c r="J935" t="inlineStr">
        <is>
          <t>NA</t>
        </is>
      </c>
      <c r="K935" t="n">
        <v>92.7</v>
      </c>
    </row>
    <row r="936">
      <c r="A936" t="inlineStr">
        <is>
          <t>SIMULATED Food Waste Remote Study</t>
        </is>
      </c>
      <c r="B936" t="inlineStr">
        <is>
          <t>RESP0133</t>
        </is>
      </c>
      <c r="C936" t="inlineStr">
        <is>
          <t>Stimulus</t>
        </is>
      </c>
      <c r="D936" t="inlineStr">
        <is>
          <t>foodwaste_narrative</t>
        </is>
      </c>
      <c r="E936" t="n">
        <v>60</v>
      </c>
      <c r="F936" t="inlineStr">
        <is>
          <t>Negative Valence</t>
        </is>
      </c>
      <c r="G936" t="n">
        <v>-50</v>
      </c>
      <c r="H936" t="n">
        <v>0</v>
      </c>
      <c r="I936" t="n">
        <v>0</v>
      </c>
      <c r="J936" t="inlineStr">
        <is>
          <t>NA</t>
        </is>
      </c>
      <c r="K936" t="n">
        <v>92.7</v>
      </c>
    </row>
    <row r="937">
      <c r="A937" t="inlineStr">
        <is>
          <t>SIMULATED Food Waste Remote Study</t>
        </is>
      </c>
      <c r="B937" t="inlineStr">
        <is>
          <t>RESP0133</t>
        </is>
      </c>
      <c r="C937" t="inlineStr">
        <is>
          <t>Stimulus</t>
        </is>
      </c>
      <c r="D937" t="inlineStr">
        <is>
          <t>foodwaste_visual</t>
        </is>
      </c>
      <c r="E937" t="n">
        <v>62</v>
      </c>
      <c r="F937" t="inlineStr">
        <is>
          <t>Engagement</t>
        </is>
      </c>
      <c r="G937" t="n">
        <v>50</v>
      </c>
      <c r="H937" t="n">
        <v>43.71</v>
      </c>
      <c r="I937" t="n">
        <v>8</v>
      </c>
      <c r="J937" t="inlineStr">
        <is>
          <t>NA</t>
        </is>
      </c>
      <c r="K937" t="n">
        <v>94.3</v>
      </c>
    </row>
    <row r="938">
      <c r="A938" t="inlineStr">
        <is>
          <t>SIMULATED Food Waste Remote Study</t>
        </is>
      </c>
      <c r="B938" t="inlineStr">
        <is>
          <t>RESP0133</t>
        </is>
      </c>
      <c r="C938" t="inlineStr">
        <is>
          <t>Stimulus</t>
        </is>
      </c>
      <c r="D938" t="inlineStr">
        <is>
          <t>foodwaste_visual</t>
        </is>
      </c>
      <c r="E938" t="n">
        <v>62</v>
      </c>
      <c r="F938" t="inlineStr">
        <is>
          <t>Joy</t>
        </is>
      </c>
      <c r="G938" t="n">
        <v>50</v>
      </c>
      <c r="H938" t="n">
        <v>0.8100000000000001</v>
      </c>
      <c r="I938" t="n">
        <v>1</v>
      </c>
      <c r="J938" t="inlineStr">
        <is>
          <t>NA</t>
        </is>
      </c>
      <c r="K938" t="n">
        <v>94.3</v>
      </c>
    </row>
    <row r="939">
      <c r="A939" t="inlineStr">
        <is>
          <t>SIMULATED Food Waste Remote Study</t>
        </is>
      </c>
      <c r="B939" t="inlineStr">
        <is>
          <t>RESP0133</t>
        </is>
      </c>
      <c r="C939" t="inlineStr">
        <is>
          <t>Stimulus</t>
        </is>
      </c>
      <c r="D939" t="inlineStr">
        <is>
          <t>foodwaste_visual</t>
        </is>
      </c>
      <c r="E939" t="n">
        <v>62</v>
      </c>
      <c r="F939" t="inlineStr">
        <is>
          <t>Brow Furrow</t>
        </is>
      </c>
      <c r="G939" t="n">
        <v>50</v>
      </c>
      <c r="H939" t="n">
        <v>5.48</v>
      </c>
      <c r="I939" t="n">
        <v>2</v>
      </c>
      <c r="J939" t="inlineStr">
        <is>
          <t>NA</t>
        </is>
      </c>
      <c r="K939" t="n">
        <v>94.3</v>
      </c>
    </row>
    <row r="940">
      <c r="A940" t="inlineStr">
        <is>
          <t>SIMULATED Food Waste Remote Study</t>
        </is>
      </c>
      <c r="B940" t="inlineStr">
        <is>
          <t>RESP0133</t>
        </is>
      </c>
      <c r="C940" t="inlineStr">
        <is>
          <t>Stimulus</t>
        </is>
      </c>
      <c r="D940" t="inlineStr">
        <is>
          <t>foodwaste_visual</t>
        </is>
      </c>
      <c r="E940" t="n">
        <v>62</v>
      </c>
      <c r="F940" t="inlineStr">
        <is>
          <t>Positive Valence</t>
        </is>
      </c>
      <c r="G940" t="n">
        <v>50</v>
      </c>
      <c r="H940" t="n">
        <v>0.75</v>
      </c>
      <c r="I940" t="n">
        <v>2</v>
      </c>
      <c r="J940" t="inlineStr">
        <is>
          <t>NA</t>
        </is>
      </c>
      <c r="K940" t="n">
        <v>94.3</v>
      </c>
    </row>
    <row r="941">
      <c r="A941" t="inlineStr">
        <is>
          <t>SIMULATED Food Waste Remote Study</t>
        </is>
      </c>
      <c r="B941" t="inlineStr">
        <is>
          <t>RESP0133</t>
        </is>
      </c>
      <c r="C941" t="inlineStr">
        <is>
          <t>Stimulus</t>
        </is>
      </c>
      <c r="D941" t="inlineStr">
        <is>
          <t>foodwaste_visual</t>
        </is>
      </c>
      <c r="E941" t="n">
        <v>62</v>
      </c>
      <c r="F941" t="inlineStr">
        <is>
          <t>Negative Valence</t>
        </is>
      </c>
      <c r="G941" t="n">
        <v>-50</v>
      </c>
      <c r="H941" t="n">
        <v>2.42</v>
      </c>
      <c r="I941" t="n">
        <v>1</v>
      </c>
      <c r="J941" t="inlineStr">
        <is>
          <t>NA</t>
        </is>
      </c>
      <c r="K941" t="n">
        <v>94.3</v>
      </c>
    </row>
    <row r="942">
      <c r="A942" t="inlineStr">
        <is>
          <t>SIMULATED Food Waste Remote Study</t>
        </is>
      </c>
      <c r="B942" t="inlineStr">
        <is>
          <t>RESP0134</t>
        </is>
      </c>
      <c r="C942" t="inlineStr">
        <is>
          <t>Stimulus</t>
        </is>
      </c>
      <c r="D942" t="inlineStr">
        <is>
          <t>foodwaste_narrative</t>
        </is>
      </c>
      <c r="E942" t="n">
        <v>60</v>
      </c>
      <c r="F942" t="inlineStr">
        <is>
          <t>Engagement</t>
        </is>
      </c>
      <c r="G942" t="n">
        <v>50</v>
      </c>
      <c r="H942" t="n">
        <v>27.33</v>
      </c>
      <c r="I942" t="n">
        <v>7</v>
      </c>
      <c r="J942" t="inlineStr">
        <is>
          <t>NA</t>
        </is>
      </c>
      <c r="K942" t="n">
        <v>95.09999999999999</v>
      </c>
    </row>
    <row r="943">
      <c r="A943" t="inlineStr">
        <is>
          <t>SIMULATED Food Waste Remote Study</t>
        </is>
      </c>
      <c r="B943" t="inlineStr">
        <is>
          <t>RESP0134</t>
        </is>
      </c>
      <c r="C943" t="inlineStr">
        <is>
          <t>Stimulus</t>
        </is>
      </c>
      <c r="D943" t="inlineStr">
        <is>
          <t>foodwaste_narrative</t>
        </is>
      </c>
      <c r="E943" t="n">
        <v>60</v>
      </c>
      <c r="F943" t="inlineStr">
        <is>
          <t>Joy</t>
        </is>
      </c>
      <c r="G943" t="n">
        <v>50</v>
      </c>
      <c r="H943" t="n">
        <v>0</v>
      </c>
      <c r="I943" t="n">
        <v>0</v>
      </c>
      <c r="J943" t="inlineStr">
        <is>
          <t>NA</t>
        </is>
      </c>
      <c r="K943" t="n">
        <v>95.09999999999999</v>
      </c>
    </row>
    <row r="944">
      <c r="A944" t="inlineStr">
        <is>
          <t>SIMULATED Food Waste Remote Study</t>
        </is>
      </c>
      <c r="B944" t="inlineStr">
        <is>
          <t>RESP0134</t>
        </is>
      </c>
      <c r="C944" t="inlineStr">
        <is>
          <t>Stimulus</t>
        </is>
      </c>
      <c r="D944" t="inlineStr">
        <is>
          <t>foodwaste_narrative</t>
        </is>
      </c>
      <c r="E944" t="n">
        <v>60</v>
      </c>
      <c r="F944" t="inlineStr">
        <is>
          <t>Brow Furrow</t>
        </is>
      </c>
      <c r="G944" t="n">
        <v>50</v>
      </c>
      <c r="H944" t="n">
        <v>19.39</v>
      </c>
      <c r="I944" t="n">
        <v>3</v>
      </c>
      <c r="J944" t="inlineStr">
        <is>
          <t>NA</t>
        </is>
      </c>
      <c r="K944" t="n">
        <v>95.09999999999999</v>
      </c>
    </row>
    <row r="945">
      <c r="A945" t="inlineStr">
        <is>
          <t>SIMULATED Food Waste Remote Study</t>
        </is>
      </c>
      <c r="B945" t="inlineStr">
        <is>
          <t>RESP0134</t>
        </is>
      </c>
      <c r="C945" t="inlineStr">
        <is>
          <t>Stimulus</t>
        </is>
      </c>
      <c r="D945" t="inlineStr">
        <is>
          <t>foodwaste_narrative</t>
        </is>
      </c>
      <c r="E945" t="n">
        <v>60</v>
      </c>
      <c r="F945" t="inlineStr">
        <is>
          <t>Positive Valence</t>
        </is>
      </c>
      <c r="G945" t="n">
        <v>50</v>
      </c>
      <c r="H945" t="n">
        <v>1.94</v>
      </c>
      <c r="I945" t="n">
        <v>1</v>
      </c>
      <c r="J945" t="inlineStr">
        <is>
          <t>NA</t>
        </is>
      </c>
      <c r="K945" t="n">
        <v>95.09999999999999</v>
      </c>
    </row>
    <row r="946">
      <c r="A946" t="inlineStr">
        <is>
          <t>SIMULATED Food Waste Remote Study</t>
        </is>
      </c>
      <c r="B946" t="inlineStr">
        <is>
          <t>RESP0134</t>
        </is>
      </c>
      <c r="C946" t="inlineStr">
        <is>
          <t>Stimulus</t>
        </is>
      </c>
      <c r="D946" t="inlineStr">
        <is>
          <t>foodwaste_narrative</t>
        </is>
      </c>
      <c r="E946" t="n">
        <v>60</v>
      </c>
      <c r="F946" t="inlineStr">
        <is>
          <t>Negative Valence</t>
        </is>
      </c>
      <c r="G946" t="n">
        <v>-50</v>
      </c>
      <c r="H946" t="n">
        <v>0.5</v>
      </c>
      <c r="I946" t="n">
        <v>1</v>
      </c>
      <c r="J946" t="inlineStr">
        <is>
          <t>NA</t>
        </is>
      </c>
      <c r="K946" t="n">
        <v>95.09999999999999</v>
      </c>
    </row>
    <row r="947">
      <c r="A947" t="inlineStr">
        <is>
          <t>SIMULATED Food Waste Remote Study</t>
        </is>
      </c>
      <c r="B947" t="inlineStr">
        <is>
          <t>RESP0134</t>
        </is>
      </c>
      <c r="C947" t="inlineStr">
        <is>
          <t>Stimulus</t>
        </is>
      </c>
      <c r="D947" t="inlineStr">
        <is>
          <t>foodwaste_visual</t>
        </is>
      </c>
      <c r="E947" t="n">
        <v>62</v>
      </c>
      <c r="F947" t="inlineStr">
        <is>
          <t>Engagement</t>
        </is>
      </c>
      <c r="G947" t="n">
        <v>50</v>
      </c>
      <c r="H947" t="n">
        <v>87.69</v>
      </c>
      <c r="I947" t="n">
        <v>21</v>
      </c>
      <c r="J947" t="inlineStr">
        <is>
          <t>NA</t>
        </is>
      </c>
      <c r="K947" t="n">
        <v>96.8</v>
      </c>
    </row>
    <row r="948">
      <c r="A948" t="inlineStr">
        <is>
          <t>SIMULATED Food Waste Remote Study</t>
        </is>
      </c>
      <c r="B948" t="inlineStr">
        <is>
          <t>RESP0134</t>
        </is>
      </c>
      <c r="C948" t="inlineStr">
        <is>
          <t>Stimulus</t>
        </is>
      </c>
      <c r="D948" t="inlineStr">
        <is>
          <t>foodwaste_visual</t>
        </is>
      </c>
      <c r="E948" t="n">
        <v>62</v>
      </c>
      <c r="F948" t="inlineStr">
        <is>
          <t>Joy</t>
        </is>
      </c>
      <c r="G948" t="n">
        <v>50</v>
      </c>
      <c r="H948" t="n">
        <v>0.48</v>
      </c>
      <c r="I948" t="n">
        <v>1</v>
      </c>
      <c r="J948" t="inlineStr">
        <is>
          <t>NA</t>
        </is>
      </c>
      <c r="K948" t="n">
        <v>96.8</v>
      </c>
    </row>
    <row r="949">
      <c r="A949" t="inlineStr">
        <is>
          <t>SIMULATED Food Waste Remote Study</t>
        </is>
      </c>
      <c r="B949" t="inlineStr">
        <is>
          <t>RESP0134</t>
        </is>
      </c>
      <c r="C949" t="inlineStr">
        <is>
          <t>Stimulus</t>
        </is>
      </c>
      <c r="D949" t="inlineStr">
        <is>
          <t>foodwaste_visual</t>
        </is>
      </c>
      <c r="E949" t="n">
        <v>62</v>
      </c>
      <c r="F949" t="inlineStr">
        <is>
          <t>Brow Furrow</t>
        </is>
      </c>
      <c r="G949" t="n">
        <v>50</v>
      </c>
      <c r="H949" t="n">
        <v>14.03</v>
      </c>
      <c r="I949" t="n">
        <v>6</v>
      </c>
      <c r="J949" t="inlineStr">
        <is>
          <t>NA</t>
        </is>
      </c>
      <c r="K949" t="n">
        <v>96.8</v>
      </c>
    </row>
    <row r="950">
      <c r="A950" t="inlineStr">
        <is>
          <t>SIMULATED Food Waste Remote Study</t>
        </is>
      </c>
      <c r="B950" t="inlineStr">
        <is>
          <t>RESP0134</t>
        </is>
      </c>
      <c r="C950" t="inlineStr">
        <is>
          <t>Stimulus</t>
        </is>
      </c>
      <c r="D950" t="inlineStr">
        <is>
          <t>foodwaste_visual</t>
        </is>
      </c>
      <c r="E950" t="n">
        <v>62</v>
      </c>
      <c r="F950" t="inlineStr">
        <is>
          <t>Positive Valence</t>
        </is>
      </c>
      <c r="G950" t="n">
        <v>50</v>
      </c>
      <c r="H950" t="n">
        <v>2.63</v>
      </c>
      <c r="I950" t="n">
        <v>1</v>
      </c>
      <c r="J950" t="inlineStr">
        <is>
          <t>NA</t>
        </is>
      </c>
      <c r="K950" t="n">
        <v>96.8</v>
      </c>
    </row>
    <row r="951">
      <c r="A951" t="inlineStr">
        <is>
          <t>SIMULATED Food Waste Remote Study</t>
        </is>
      </c>
      <c r="B951" t="inlineStr">
        <is>
          <t>RESP0134</t>
        </is>
      </c>
      <c r="C951" t="inlineStr">
        <is>
          <t>Stimulus</t>
        </is>
      </c>
      <c r="D951" t="inlineStr">
        <is>
          <t>foodwaste_visual</t>
        </is>
      </c>
      <c r="E951" t="n">
        <v>62</v>
      </c>
      <c r="F951" t="inlineStr">
        <is>
          <t>Negative Valence</t>
        </is>
      </c>
      <c r="G951" t="n">
        <v>-50</v>
      </c>
      <c r="H951" t="n">
        <v>5.59</v>
      </c>
      <c r="I951" t="n">
        <v>2</v>
      </c>
      <c r="J951" t="inlineStr">
        <is>
          <t>NA</t>
        </is>
      </c>
      <c r="K951" t="n">
        <v>96.8</v>
      </c>
    </row>
    <row r="952">
      <c r="A952" t="inlineStr">
        <is>
          <t>SIMULATED Food Waste Remote Study</t>
        </is>
      </c>
      <c r="B952" t="inlineStr">
        <is>
          <t>RESP0137</t>
        </is>
      </c>
      <c r="C952" t="inlineStr">
        <is>
          <t>Stimulus</t>
        </is>
      </c>
      <c r="D952" t="inlineStr">
        <is>
          <t>foodwaste_narrative</t>
        </is>
      </c>
      <c r="E952" t="n">
        <v>60</v>
      </c>
      <c r="F952" t="inlineStr">
        <is>
          <t>Engagement</t>
        </is>
      </c>
      <c r="G952" t="n">
        <v>50</v>
      </c>
      <c r="H952" t="n">
        <v>17.94</v>
      </c>
      <c r="I952" t="n">
        <v>2</v>
      </c>
      <c r="J952" t="inlineStr">
        <is>
          <t>NA</t>
        </is>
      </c>
      <c r="K952" t="n">
        <v>99.40000000000001</v>
      </c>
    </row>
    <row r="953">
      <c r="A953" t="inlineStr">
        <is>
          <t>SIMULATED Food Waste Remote Study</t>
        </is>
      </c>
      <c r="B953" t="inlineStr">
        <is>
          <t>RESP0137</t>
        </is>
      </c>
      <c r="C953" t="inlineStr">
        <is>
          <t>Stimulus</t>
        </is>
      </c>
      <c r="D953" t="inlineStr">
        <is>
          <t>foodwaste_narrative</t>
        </is>
      </c>
      <c r="E953" t="n">
        <v>60</v>
      </c>
      <c r="F953" t="inlineStr">
        <is>
          <t>Joy</t>
        </is>
      </c>
      <c r="G953" t="n">
        <v>50</v>
      </c>
      <c r="H953" t="n">
        <v>0</v>
      </c>
      <c r="I953" t="n">
        <v>0</v>
      </c>
      <c r="J953" t="inlineStr">
        <is>
          <t>NA</t>
        </is>
      </c>
      <c r="K953" t="n">
        <v>99.40000000000001</v>
      </c>
    </row>
    <row r="954">
      <c r="A954" t="inlineStr">
        <is>
          <t>SIMULATED Food Waste Remote Study</t>
        </is>
      </c>
      <c r="B954" t="inlineStr">
        <is>
          <t>RESP0137</t>
        </is>
      </c>
      <c r="C954" t="inlineStr">
        <is>
          <t>Stimulus</t>
        </is>
      </c>
      <c r="D954" t="inlineStr">
        <is>
          <t>foodwaste_narrative</t>
        </is>
      </c>
      <c r="E954" t="n">
        <v>60</v>
      </c>
      <c r="F954" t="inlineStr">
        <is>
          <t>Brow Furrow</t>
        </is>
      </c>
      <c r="G954" t="n">
        <v>50</v>
      </c>
      <c r="H954" t="n">
        <v>0</v>
      </c>
      <c r="I954" t="n">
        <v>0</v>
      </c>
      <c r="J954" t="inlineStr">
        <is>
          <t>NA</t>
        </is>
      </c>
      <c r="K954" t="n">
        <v>99.40000000000001</v>
      </c>
    </row>
    <row r="955">
      <c r="A955" t="inlineStr">
        <is>
          <t>SIMULATED Food Waste Remote Study</t>
        </is>
      </c>
      <c r="B955" t="inlineStr">
        <is>
          <t>RESP0137</t>
        </is>
      </c>
      <c r="C955" t="inlineStr">
        <is>
          <t>Stimulus</t>
        </is>
      </c>
      <c r="D955" t="inlineStr">
        <is>
          <t>foodwaste_narrative</t>
        </is>
      </c>
      <c r="E955" t="n">
        <v>60</v>
      </c>
      <c r="F955" t="inlineStr">
        <is>
          <t>Positive Valence</t>
        </is>
      </c>
      <c r="G955" t="n">
        <v>50</v>
      </c>
      <c r="H955" t="n">
        <v>0</v>
      </c>
      <c r="I955" t="n">
        <v>0</v>
      </c>
      <c r="J955" t="inlineStr">
        <is>
          <t>NA</t>
        </is>
      </c>
      <c r="K955" t="n">
        <v>99.40000000000001</v>
      </c>
    </row>
    <row r="956">
      <c r="A956" t="inlineStr">
        <is>
          <t>SIMULATED Food Waste Remote Study</t>
        </is>
      </c>
      <c r="B956" t="inlineStr">
        <is>
          <t>RESP0137</t>
        </is>
      </c>
      <c r="C956" t="inlineStr">
        <is>
          <t>Stimulus</t>
        </is>
      </c>
      <c r="D956" t="inlineStr">
        <is>
          <t>foodwaste_narrative</t>
        </is>
      </c>
      <c r="E956" t="n">
        <v>60</v>
      </c>
      <c r="F956" t="inlineStr">
        <is>
          <t>Negative Valence</t>
        </is>
      </c>
      <c r="G956" t="n">
        <v>-50</v>
      </c>
      <c r="H956" t="n">
        <v>0</v>
      </c>
      <c r="I956" t="n">
        <v>0</v>
      </c>
      <c r="J956" t="inlineStr">
        <is>
          <t>NA</t>
        </is>
      </c>
      <c r="K956" t="n">
        <v>99.40000000000001</v>
      </c>
    </row>
    <row r="957">
      <c r="A957" t="inlineStr">
        <is>
          <t>SIMULATED Food Waste Remote Study</t>
        </is>
      </c>
      <c r="B957" t="inlineStr">
        <is>
          <t>RESP0137</t>
        </is>
      </c>
      <c r="C957" t="inlineStr">
        <is>
          <t>Stimulus</t>
        </is>
      </c>
      <c r="D957" t="inlineStr">
        <is>
          <t>foodwaste_visual</t>
        </is>
      </c>
      <c r="E957" t="n">
        <v>62</v>
      </c>
      <c r="F957" t="inlineStr">
        <is>
          <t>Engagement</t>
        </is>
      </c>
      <c r="G957" t="n">
        <v>50</v>
      </c>
      <c r="H957" t="n">
        <v>71.94</v>
      </c>
      <c r="I957" t="n">
        <v>14</v>
      </c>
      <c r="J957" t="inlineStr">
        <is>
          <t>NA</t>
        </is>
      </c>
      <c r="K957" t="n">
        <v>97.8</v>
      </c>
    </row>
    <row r="958">
      <c r="A958" t="inlineStr">
        <is>
          <t>SIMULATED Food Waste Remote Study</t>
        </is>
      </c>
      <c r="B958" t="inlineStr">
        <is>
          <t>RESP0137</t>
        </is>
      </c>
      <c r="C958" t="inlineStr">
        <is>
          <t>Stimulus</t>
        </is>
      </c>
      <c r="D958" t="inlineStr">
        <is>
          <t>foodwaste_visual</t>
        </is>
      </c>
      <c r="E958" t="n">
        <v>62</v>
      </c>
      <c r="F958" t="inlineStr">
        <is>
          <t>Joy</t>
        </is>
      </c>
      <c r="G958" t="n">
        <v>50</v>
      </c>
      <c r="H958" t="n">
        <v>0.86</v>
      </c>
      <c r="I958" t="n">
        <v>1</v>
      </c>
      <c r="J958" t="inlineStr">
        <is>
          <t>NA</t>
        </is>
      </c>
      <c r="K958" t="n">
        <v>97.8</v>
      </c>
    </row>
    <row r="959">
      <c r="A959" t="inlineStr">
        <is>
          <t>SIMULATED Food Waste Remote Study</t>
        </is>
      </c>
      <c r="B959" t="inlineStr">
        <is>
          <t>RESP0137</t>
        </is>
      </c>
      <c r="C959" t="inlineStr">
        <is>
          <t>Stimulus</t>
        </is>
      </c>
      <c r="D959" t="inlineStr">
        <is>
          <t>foodwaste_visual</t>
        </is>
      </c>
      <c r="E959" t="n">
        <v>62</v>
      </c>
      <c r="F959" t="inlineStr">
        <is>
          <t>Brow Furrow</t>
        </is>
      </c>
      <c r="G959" t="n">
        <v>50</v>
      </c>
      <c r="H959" t="n">
        <v>10.91</v>
      </c>
      <c r="I959" t="n">
        <v>3</v>
      </c>
      <c r="J959" t="inlineStr">
        <is>
          <t>NA</t>
        </is>
      </c>
      <c r="K959" t="n">
        <v>97.8</v>
      </c>
    </row>
    <row r="960">
      <c r="A960" t="inlineStr">
        <is>
          <t>SIMULATED Food Waste Remote Study</t>
        </is>
      </c>
      <c r="B960" t="inlineStr">
        <is>
          <t>RESP0137</t>
        </is>
      </c>
      <c r="C960" t="inlineStr">
        <is>
          <t>Stimulus</t>
        </is>
      </c>
      <c r="D960" t="inlineStr">
        <is>
          <t>foodwaste_visual</t>
        </is>
      </c>
      <c r="E960" t="n">
        <v>62</v>
      </c>
      <c r="F960" t="inlineStr">
        <is>
          <t>Positive Valence</t>
        </is>
      </c>
      <c r="G960" t="n">
        <v>50</v>
      </c>
      <c r="H960" t="n">
        <v>5.16</v>
      </c>
      <c r="I960" t="n">
        <v>2</v>
      </c>
      <c r="J960" t="inlineStr">
        <is>
          <t>NA</t>
        </is>
      </c>
      <c r="K960" t="n">
        <v>97.8</v>
      </c>
    </row>
    <row r="961">
      <c r="A961" t="inlineStr">
        <is>
          <t>SIMULATED Food Waste Remote Study</t>
        </is>
      </c>
      <c r="B961" t="inlineStr">
        <is>
          <t>RESP0137</t>
        </is>
      </c>
      <c r="C961" t="inlineStr">
        <is>
          <t>Stimulus</t>
        </is>
      </c>
      <c r="D961" t="inlineStr">
        <is>
          <t>foodwaste_visual</t>
        </is>
      </c>
      <c r="E961" t="n">
        <v>62</v>
      </c>
      <c r="F961" t="inlineStr">
        <is>
          <t>Negative Valence</t>
        </is>
      </c>
      <c r="G961" t="n">
        <v>-50</v>
      </c>
      <c r="H961" t="n">
        <v>1.77</v>
      </c>
      <c r="I961" t="n">
        <v>2</v>
      </c>
      <c r="J961" t="inlineStr">
        <is>
          <t>NA</t>
        </is>
      </c>
      <c r="K961" t="n">
        <v>97.8</v>
      </c>
    </row>
    <row r="962">
      <c r="A962" t="inlineStr">
        <is>
          <t>SIMULATED Food Waste Remote Study</t>
        </is>
      </c>
      <c r="B962" t="inlineStr">
        <is>
          <t>RESP0140</t>
        </is>
      </c>
      <c r="C962" t="inlineStr">
        <is>
          <t>Stimulus</t>
        </is>
      </c>
      <c r="D962" t="inlineStr">
        <is>
          <t>foodwaste_narrative</t>
        </is>
      </c>
      <c r="E962" t="n">
        <v>60</v>
      </c>
      <c r="F962" t="inlineStr">
        <is>
          <t>Engagement</t>
        </is>
      </c>
      <c r="G962" t="n">
        <v>50</v>
      </c>
      <c r="H962" t="n">
        <v>12.56</v>
      </c>
      <c r="I962" t="n">
        <v>4</v>
      </c>
      <c r="J962" t="inlineStr">
        <is>
          <t>NA</t>
        </is>
      </c>
      <c r="K962" t="n">
        <v>90.59999999999999</v>
      </c>
    </row>
    <row r="963">
      <c r="A963" t="inlineStr">
        <is>
          <t>SIMULATED Food Waste Remote Study</t>
        </is>
      </c>
      <c r="B963" t="inlineStr">
        <is>
          <t>RESP0140</t>
        </is>
      </c>
      <c r="C963" t="inlineStr">
        <is>
          <t>Stimulus</t>
        </is>
      </c>
      <c r="D963" t="inlineStr">
        <is>
          <t>foodwaste_narrative</t>
        </is>
      </c>
      <c r="E963" t="n">
        <v>60</v>
      </c>
      <c r="F963" t="inlineStr">
        <is>
          <t>Joy</t>
        </is>
      </c>
      <c r="G963" t="n">
        <v>50</v>
      </c>
      <c r="H963" t="n">
        <v>0</v>
      </c>
      <c r="I963" t="n">
        <v>0</v>
      </c>
      <c r="J963" t="inlineStr">
        <is>
          <t>NA</t>
        </is>
      </c>
      <c r="K963" t="n">
        <v>90.59999999999999</v>
      </c>
    </row>
    <row r="964">
      <c r="A964" t="inlineStr">
        <is>
          <t>SIMULATED Food Waste Remote Study</t>
        </is>
      </c>
      <c r="B964" t="inlineStr">
        <is>
          <t>RESP0140</t>
        </is>
      </c>
      <c r="C964" t="inlineStr">
        <is>
          <t>Stimulus</t>
        </is>
      </c>
      <c r="D964" t="inlineStr">
        <is>
          <t>foodwaste_narrative</t>
        </is>
      </c>
      <c r="E964" t="n">
        <v>60</v>
      </c>
      <c r="F964" t="inlineStr">
        <is>
          <t>Brow Furrow</t>
        </is>
      </c>
      <c r="G964" t="n">
        <v>50</v>
      </c>
      <c r="H964" t="n">
        <v>10.39</v>
      </c>
      <c r="I964" t="n">
        <v>4</v>
      </c>
      <c r="J964" t="inlineStr">
        <is>
          <t>NA</t>
        </is>
      </c>
      <c r="K964" t="n">
        <v>90.59999999999999</v>
      </c>
    </row>
    <row r="965">
      <c r="A965" t="inlineStr">
        <is>
          <t>SIMULATED Food Waste Remote Study</t>
        </is>
      </c>
      <c r="B965" t="inlineStr">
        <is>
          <t>RESP0140</t>
        </is>
      </c>
      <c r="C965" t="inlineStr">
        <is>
          <t>Stimulus</t>
        </is>
      </c>
      <c r="D965" t="inlineStr">
        <is>
          <t>foodwaste_narrative</t>
        </is>
      </c>
      <c r="E965" t="n">
        <v>60</v>
      </c>
      <c r="F965" t="inlineStr">
        <is>
          <t>Positive Valence</t>
        </is>
      </c>
      <c r="G965" t="n">
        <v>50</v>
      </c>
      <c r="H965" t="n">
        <v>3.06</v>
      </c>
      <c r="I965" t="n">
        <v>1</v>
      </c>
      <c r="J965" t="inlineStr">
        <is>
          <t>NA</t>
        </is>
      </c>
      <c r="K965" t="n">
        <v>90.59999999999999</v>
      </c>
    </row>
    <row r="966">
      <c r="A966" t="inlineStr">
        <is>
          <t>SIMULATED Food Waste Remote Study</t>
        </is>
      </c>
      <c r="B966" t="inlineStr">
        <is>
          <t>RESP0140</t>
        </is>
      </c>
      <c r="C966" t="inlineStr">
        <is>
          <t>Stimulus</t>
        </is>
      </c>
      <c r="D966" t="inlineStr">
        <is>
          <t>foodwaste_narrative</t>
        </is>
      </c>
      <c r="E966" t="n">
        <v>60</v>
      </c>
      <c r="F966" t="inlineStr">
        <is>
          <t>Negative Valence</t>
        </is>
      </c>
      <c r="G966" t="n">
        <v>-50</v>
      </c>
      <c r="H966" t="n">
        <v>0</v>
      </c>
      <c r="I966" t="n">
        <v>0</v>
      </c>
      <c r="J966" t="inlineStr">
        <is>
          <t>NA</t>
        </is>
      </c>
      <c r="K966" t="n">
        <v>90.59999999999999</v>
      </c>
    </row>
    <row r="967">
      <c r="A967" t="inlineStr">
        <is>
          <t>SIMULATED Food Waste Remote Study</t>
        </is>
      </c>
      <c r="B967" t="inlineStr">
        <is>
          <t>RESP0140</t>
        </is>
      </c>
      <c r="C967" t="inlineStr">
        <is>
          <t>Stimulus</t>
        </is>
      </c>
      <c r="D967" t="inlineStr">
        <is>
          <t>foodwaste_visual</t>
        </is>
      </c>
      <c r="E967" t="n">
        <v>62</v>
      </c>
      <c r="F967" t="inlineStr">
        <is>
          <t>Engagement</t>
        </is>
      </c>
      <c r="G967" t="n">
        <v>50</v>
      </c>
      <c r="H967" t="n">
        <v>74.56999999999999</v>
      </c>
      <c r="I967" t="n">
        <v>16</v>
      </c>
      <c r="J967" t="inlineStr">
        <is>
          <t>NA</t>
        </is>
      </c>
      <c r="K967" t="n">
        <v>88.09999999999999</v>
      </c>
    </row>
    <row r="968">
      <c r="A968" t="inlineStr">
        <is>
          <t>SIMULATED Food Waste Remote Study</t>
        </is>
      </c>
      <c r="B968" t="inlineStr">
        <is>
          <t>RESP0140</t>
        </is>
      </c>
      <c r="C968" t="inlineStr">
        <is>
          <t>Stimulus</t>
        </is>
      </c>
      <c r="D968" t="inlineStr">
        <is>
          <t>foodwaste_visual</t>
        </is>
      </c>
      <c r="E968" t="n">
        <v>62</v>
      </c>
      <c r="F968" t="inlineStr">
        <is>
          <t>Joy</t>
        </is>
      </c>
      <c r="G968" t="n">
        <v>50</v>
      </c>
      <c r="H968" t="n">
        <v>3.06</v>
      </c>
      <c r="I968" t="n">
        <v>2</v>
      </c>
      <c r="J968" t="inlineStr">
        <is>
          <t>NA</t>
        </is>
      </c>
      <c r="K968" t="n">
        <v>88.09999999999999</v>
      </c>
    </row>
    <row r="969">
      <c r="A969" t="inlineStr">
        <is>
          <t>SIMULATED Food Waste Remote Study</t>
        </is>
      </c>
      <c r="B969" t="inlineStr">
        <is>
          <t>RESP0140</t>
        </is>
      </c>
      <c r="C969" t="inlineStr">
        <is>
          <t>Stimulus</t>
        </is>
      </c>
      <c r="D969" t="inlineStr">
        <is>
          <t>foodwaste_visual</t>
        </is>
      </c>
      <c r="E969" t="n">
        <v>62</v>
      </c>
      <c r="F969" t="inlineStr">
        <is>
          <t>Brow Furrow</t>
        </is>
      </c>
      <c r="G969" t="n">
        <v>50</v>
      </c>
      <c r="H969" t="n">
        <v>28.33</v>
      </c>
      <c r="I969" t="n">
        <v>12</v>
      </c>
      <c r="J969" t="inlineStr">
        <is>
          <t>NA</t>
        </is>
      </c>
      <c r="K969" t="n">
        <v>88.09999999999999</v>
      </c>
    </row>
    <row r="970">
      <c r="A970" t="inlineStr">
        <is>
          <t>SIMULATED Food Waste Remote Study</t>
        </is>
      </c>
      <c r="B970" t="inlineStr">
        <is>
          <t>RESP0140</t>
        </is>
      </c>
      <c r="C970" t="inlineStr">
        <is>
          <t>Stimulus</t>
        </is>
      </c>
      <c r="D970" t="inlineStr">
        <is>
          <t>foodwaste_visual</t>
        </is>
      </c>
      <c r="E970" t="n">
        <v>62</v>
      </c>
      <c r="F970" t="inlineStr">
        <is>
          <t>Positive Valence</t>
        </is>
      </c>
      <c r="G970" t="n">
        <v>50</v>
      </c>
      <c r="H970" t="n">
        <v>6.24</v>
      </c>
      <c r="I970" t="n">
        <v>4</v>
      </c>
      <c r="J970" t="inlineStr">
        <is>
          <t>NA</t>
        </is>
      </c>
      <c r="K970" t="n">
        <v>88.09999999999999</v>
      </c>
    </row>
    <row r="971">
      <c r="A971" t="inlineStr">
        <is>
          <t>SIMULATED Food Waste Remote Study</t>
        </is>
      </c>
      <c r="B971" t="inlineStr">
        <is>
          <t>RESP0140</t>
        </is>
      </c>
      <c r="C971" t="inlineStr">
        <is>
          <t>Stimulus</t>
        </is>
      </c>
      <c r="D971" t="inlineStr">
        <is>
          <t>foodwaste_visual</t>
        </is>
      </c>
      <c r="E971" t="n">
        <v>62</v>
      </c>
      <c r="F971" t="inlineStr">
        <is>
          <t>Negative Valence</t>
        </is>
      </c>
      <c r="G971" t="n">
        <v>-50</v>
      </c>
      <c r="H971" t="n">
        <v>3.76</v>
      </c>
      <c r="I971" t="n">
        <v>2</v>
      </c>
      <c r="J971" t="inlineStr">
        <is>
          <t>NA</t>
        </is>
      </c>
      <c r="K971" t="n">
        <v>88.09999999999999</v>
      </c>
    </row>
    <row r="972">
      <c r="A972" t="inlineStr">
        <is>
          <t>SIMULATED Food Waste Remote Study</t>
        </is>
      </c>
      <c r="B972" t="inlineStr">
        <is>
          <t>RESP0141</t>
        </is>
      </c>
      <c r="C972" t="inlineStr">
        <is>
          <t>Stimulus</t>
        </is>
      </c>
      <c r="D972" t="inlineStr">
        <is>
          <t>foodwaste_narrative</t>
        </is>
      </c>
      <c r="E972" t="n">
        <v>60</v>
      </c>
      <c r="F972" t="inlineStr">
        <is>
          <t>Engagement</t>
        </is>
      </c>
      <c r="G972" t="n">
        <v>50</v>
      </c>
      <c r="H972" t="n">
        <v>2</v>
      </c>
      <c r="I972" t="n">
        <v>1</v>
      </c>
      <c r="J972" t="inlineStr">
        <is>
          <t>NA</t>
        </is>
      </c>
      <c r="K972" t="n">
        <v>94.8</v>
      </c>
    </row>
    <row r="973">
      <c r="A973" t="inlineStr">
        <is>
          <t>SIMULATED Food Waste Remote Study</t>
        </is>
      </c>
      <c r="B973" t="inlineStr">
        <is>
          <t>RESP0141</t>
        </is>
      </c>
      <c r="C973" t="inlineStr">
        <is>
          <t>Stimulus</t>
        </is>
      </c>
      <c r="D973" t="inlineStr">
        <is>
          <t>foodwaste_narrative</t>
        </is>
      </c>
      <c r="E973" t="n">
        <v>60</v>
      </c>
      <c r="F973" t="inlineStr">
        <is>
          <t>Joy</t>
        </is>
      </c>
      <c r="G973" t="n">
        <v>50</v>
      </c>
      <c r="H973" t="n">
        <v>0</v>
      </c>
      <c r="I973" t="n">
        <v>0</v>
      </c>
      <c r="J973" t="inlineStr">
        <is>
          <t>NA</t>
        </is>
      </c>
      <c r="K973" t="n">
        <v>94.8</v>
      </c>
    </row>
    <row r="974">
      <c r="A974" t="inlineStr">
        <is>
          <t>SIMULATED Food Waste Remote Study</t>
        </is>
      </c>
      <c r="B974" t="inlineStr">
        <is>
          <t>RESP0141</t>
        </is>
      </c>
      <c r="C974" t="inlineStr">
        <is>
          <t>Stimulus</t>
        </is>
      </c>
      <c r="D974" t="inlineStr">
        <is>
          <t>foodwaste_narrative</t>
        </is>
      </c>
      <c r="E974" t="n">
        <v>60</v>
      </c>
      <c r="F974" t="inlineStr">
        <is>
          <t>Brow Furrow</t>
        </is>
      </c>
      <c r="G974" t="n">
        <v>50</v>
      </c>
      <c r="H974" t="n">
        <v>0</v>
      </c>
      <c r="I974" t="n">
        <v>0</v>
      </c>
      <c r="J974" t="inlineStr">
        <is>
          <t>NA</t>
        </is>
      </c>
      <c r="K974" t="n">
        <v>94.8</v>
      </c>
    </row>
    <row r="975">
      <c r="A975" t="inlineStr">
        <is>
          <t>SIMULATED Food Waste Remote Study</t>
        </is>
      </c>
      <c r="B975" t="inlineStr">
        <is>
          <t>RESP0141</t>
        </is>
      </c>
      <c r="C975" t="inlineStr">
        <is>
          <t>Stimulus</t>
        </is>
      </c>
      <c r="D975" t="inlineStr">
        <is>
          <t>foodwaste_narrative</t>
        </is>
      </c>
      <c r="E975" t="n">
        <v>60</v>
      </c>
      <c r="F975" t="inlineStr">
        <is>
          <t>Positive Valence</t>
        </is>
      </c>
      <c r="G975" t="n">
        <v>50</v>
      </c>
      <c r="H975" t="n">
        <v>0</v>
      </c>
      <c r="I975" t="n">
        <v>0</v>
      </c>
      <c r="J975" t="inlineStr">
        <is>
          <t>NA</t>
        </is>
      </c>
      <c r="K975" t="n">
        <v>94.8</v>
      </c>
    </row>
    <row r="976">
      <c r="A976" t="inlineStr">
        <is>
          <t>SIMULATED Food Waste Remote Study</t>
        </is>
      </c>
      <c r="B976" t="inlineStr">
        <is>
          <t>RESP0141</t>
        </is>
      </c>
      <c r="C976" t="inlineStr">
        <is>
          <t>Stimulus</t>
        </is>
      </c>
      <c r="D976" t="inlineStr">
        <is>
          <t>foodwaste_narrative</t>
        </is>
      </c>
      <c r="E976" t="n">
        <v>60</v>
      </c>
      <c r="F976" t="inlineStr">
        <is>
          <t>Negative Valence</t>
        </is>
      </c>
      <c r="G976" t="n">
        <v>-50</v>
      </c>
      <c r="H976" t="n">
        <v>6.11</v>
      </c>
      <c r="I976" t="n">
        <v>3</v>
      </c>
      <c r="J976" t="inlineStr">
        <is>
          <t>NA</t>
        </is>
      </c>
      <c r="K976" t="n">
        <v>94.8</v>
      </c>
    </row>
    <row r="977">
      <c r="A977" t="inlineStr">
        <is>
          <t>SIMULATED Food Waste Remote Study</t>
        </is>
      </c>
      <c r="B977" t="inlineStr">
        <is>
          <t>RESP0141</t>
        </is>
      </c>
      <c r="C977" t="inlineStr">
        <is>
          <t>Stimulus</t>
        </is>
      </c>
      <c r="D977" t="inlineStr">
        <is>
          <t>foodwaste_visual</t>
        </is>
      </c>
      <c r="E977" t="n">
        <v>62</v>
      </c>
      <c r="F977" t="inlineStr">
        <is>
          <t>Engagement</t>
        </is>
      </c>
      <c r="G977" t="n">
        <v>50</v>
      </c>
      <c r="H977" t="n">
        <v>13.12</v>
      </c>
      <c r="I977" t="n">
        <v>6</v>
      </c>
      <c r="J977" t="inlineStr">
        <is>
          <t>NA</t>
        </is>
      </c>
      <c r="K977" t="n">
        <v>95.7</v>
      </c>
    </row>
    <row r="978">
      <c r="A978" t="inlineStr">
        <is>
          <t>SIMULATED Food Waste Remote Study</t>
        </is>
      </c>
      <c r="B978" t="inlineStr">
        <is>
          <t>RESP0141</t>
        </is>
      </c>
      <c r="C978" t="inlineStr">
        <is>
          <t>Stimulus</t>
        </is>
      </c>
      <c r="D978" t="inlineStr">
        <is>
          <t>foodwaste_visual</t>
        </is>
      </c>
      <c r="E978" t="n">
        <v>62</v>
      </c>
      <c r="F978" t="inlineStr">
        <is>
          <t>Joy</t>
        </is>
      </c>
      <c r="G978" t="n">
        <v>50</v>
      </c>
      <c r="H978" t="n">
        <v>0.05</v>
      </c>
      <c r="I978" t="n">
        <v>1</v>
      </c>
      <c r="J978" t="inlineStr">
        <is>
          <t>NA</t>
        </is>
      </c>
      <c r="K978" t="n">
        <v>95.7</v>
      </c>
    </row>
    <row r="979">
      <c r="A979" t="inlineStr">
        <is>
          <t>SIMULATED Food Waste Remote Study</t>
        </is>
      </c>
      <c r="B979" t="inlineStr">
        <is>
          <t>RESP0141</t>
        </is>
      </c>
      <c r="C979" t="inlineStr">
        <is>
          <t>Stimulus</t>
        </is>
      </c>
      <c r="D979" t="inlineStr">
        <is>
          <t>foodwaste_visual</t>
        </is>
      </c>
      <c r="E979" t="n">
        <v>62</v>
      </c>
      <c r="F979" t="inlineStr">
        <is>
          <t>Brow Furrow</t>
        </is>
      </c>
      <c r="G979" t="n">
        <v>50</v>
      </c>
      <c r="H979" t="n">
        <v>0</v>
      </c>
      <c r="I979" t="n">
        <v>0</v>
      </c>
      <c r="J979" t="inlineStr">
        <is>
          <t>NA</t>
        </is>
      </c>
      <c r="K979" t="n">
        <v>95.7</v>
      </c>
    </row>
    <row r="980">
      <c r="A980" t="inlineStr">
        <is>
          <t>SIMULATED Food Waste Remote Study</t>
        </is>
      </c>
      <c r="B980" t="inlineStr">
        <is>
          <t>RESP0141</t>
        </is>
      </c>
      <c r="C980" t="inlineStr">
        <is>
          <t>Stimulus</t>
        </is>
      </c>
      <c r="D980" t="inlineStr">
        <is>
          <t>foodwaste_visual</t>
        </is>
      </c>
      <c r="E980" t="n">
        <v>62</v>
      </c>
      <c r="F980" t="inlineStr">
        <is>
          <t>Positive Valence</t>
        </is>
      </c>
      <c r="G980" t="n">
        <v>50</v>
      </c>
      <c r="H980" t="n">
        <v>0</v>
      </c>
      <c r="I980" t="n">
        <v>0</v>
      </c>
      <c r="J980" t="inlineStr">
        <is>
          <t>NA</t>
        </is>
      </c>
      <c r="K980" t="n">
        <v>95.7</v>
      </c>
    </row>
    <row r="981">
      <c r="A981" t="inlineStr">
        <is>
          <t>SIMULATED Food Waste Remote Study</t>
        </is>
      </c>
      <c r="B981" t="inlineStr">
        <is>
          <t>RESP0141</t>
        </is>
      </c>
      <c r="C981" t="inlineStr">
        <is>
          <t>Stimulus</t>
        </is>
      </c>
      <c r="D981" t="inlineStr">
        <is>
          <t>foodwaste_visual</t>
        </is>
      </c>
      <c r="E981" t="n">
        <v>62</v>
      </c>
      <c r="F981" t="inlineStr">
        <is>
          <t>Negative Valence</t>
        </is>
      </c>
      <c r="G981" t="n">
        <v>-50</v>
      </c>
      <c r="H981" t="n">
        <v>0</v>
      </c>
      <c r="I981" t="n">
        <v>0</v>
      </c>
      <c r="J981" t="inlineStr">
        <is>
          <t>NA</t>
        </is>
      </c>
      <c r="K981" t="n">
        <v>95.7</v>
      </c>
    </row>
    <row r="982">
      <c r="A982" t="inlineStr">
        <is>
          <t>SIMULATED Food Waste Remote Study</t>
        </is>
      </c>
      <c r="B982" t="inlineStr">
        <is>
          <t>RESP0142</t>
        </is>
      </c>
      <c r="C982" t="inlineStr">
        <is>
          <t>Stimulus</t>
        </is>
      </c>
      <c r="D982" t="inlineStr">
        <is>
          <t>foodwaste_narrative</t>
        </is>
      </c>
      <c r="E982" t="n">
        <v>60</v>
      </c>
      <c r="F982" t="inlineStr">
        <is>
          <t>Engagement</t>
        </is>
      </c>
      <c r="G982" t="n">
        <v>50</v>
      </c>
      <c r="H982" t="n">
        <v>3.89</v>
      </c>
      <c r="I982" t="n">
        <v>2</v>
      </c>
      <c r="J982" t="inlineStr">
        <is>
          <t>NA</t>
        </is>
      </c>
      <c r="K982" t="n">
        <v>98.8</v>
      </c>
    </row>
    <row r="983">
      <c r="A983" t="inlineStr">
        <is>
          <t>SIMULATED Food Waste Remote Study</t>
        </is>
      </c>
      <c r="B983" t="inlineStr">
        <is>
          <t>RESP0142</t>
        </is>
      </c>
      <c r="C983" t="inlineStr">
        <is>
          <t>Stimulus</t>
        </is>
      </c>
      <c r="D983" t="inlineStr">
        <is>
          <t>foodwaste_narrative</t>
        </is>
      </c>
      <c r="E983" t="n">
        <v>60</v>
      </c>
      <c r="F983" t="inlineStr">
        <is>
          <t>Joy</t>
        </is>
      </c>
      <c r="G983" t="n">
        <v>50</v>
      </c>
      <c r="H983" t="n">
        <v>0</v>
      </c>
      <c r="I983" t="n">
        <v>0</v>
      </c>
      <c r="J983" t="inlineStr">
        <is>
          <t>NA</t>
        </is>
      </c>
      <c r="K983" t="n">
        <v>98.8</v>
      </c>
    </row>
    <row r="984">
      <c r="A984" t="inlineStr">
        <is>
          <t>SIMULATED Food Waste Remote Study</t>
        </is>
      </c>
      <c r="B984" t="inlineStr">
        <is>
          <t>RESP0142</t>
        </is>
      </c>
      <c r="C984" t="inlineStr">
        <is>
          <t>Stimulus</t>
        </is>
      </c>
      <c r="D984" t="inlineStr">
        <is>
          <t>foodwaste_narrative</t>
        </is>
      </c>
      <c r="E984" t="n">
        <v>60</v>
      </c>
      <c r="F984" t="inlineStr">
        <is>
          <t>Brow Furrow</t>
        </is>
      </c>
      <c r="G984" t="n">
        <v>50</v>
      </c>
      <c r="H984" t="n">
        <v>6.61</v>
      </c>
      <c r="I984" t="n">
        <v>1</v>
      </c>
      <c r="J984" t="inlineStr">
        <is>
          <t>NA</t>
        </is>
      </c>
      <c r="K984" t="n">
        <v>98.8</v>
      </c>
    </row>
    <row r="985">
      <c r="A985" t="inlineStr">
        <is>
          <t>SIMULATED Food Waste Remote Study</t>
        </is>
      </c>
      <c r="B985" t="inlineStr">
        <is>
          <t>RESP0142</t>
        </is>
      </c>
      <c r="C985" t="inlineStr">
        <is>
          <t>Stimulus</t>
        </is>
      </c>
      <c r="D985" t="inlineStr">
        <is>
          <t>foodwaste_narrative</t>
        </is>
      </c>
      <c r="E985" t="n">
        <v>60</v>
      </c>
      <c r="F985" t="inlineStr">
        <is>
          <t>Positive Valence</t>
        </is>
      </c>
      <c r="G985" t="n">
        <v>50</v>
      </c>
      <c r="H985" t="n">
        <v>0</v>
      </c>
      <c r="I985" t="n">
        <v>0</v>
      </c>
      <c r="J985" t="inlineStr">
        <is>
          <t>NA</t>
        </is>
      </c>
      <c r="K985" t="n">
        <v>98.8</v>
      </c>
    </row>
    <row r="986">
      <c r="A986" t="inlineStr">
        <is>
          <t>SIMULATED Food Waste Remote Study</t>
        </is>
      </c>
      <c r="B986" t="inlineStr">
        <is>
          <t>RESP0142</t>
        </is>
      </c>
      <c r="C986" t="inlineStr">
        <is>
          <t>Stimulus</t>
        </is>
      </c>
      <c r="D986" t="inlineStr">
        <is>
          <t>foodwaste_narrative</t>
        </is>
      </c>
      <c r="E986" t="n">
        <v>60</v>
      </c>
      <c r="F986" t="inlineStr">
        <is>
          <t>Negative Valence</t>
        </is>
      </c>
      <c r="G986" t="n">
        <v>-50</v>
      </c>
      <c r="H986" t="n">
        <v>0</v>
      </c>
      <c r="I986" t="n">
        <v>0</v>
      </c>
      <c r="J986" t="inlineStr">
        <is>
          <t>NA</t>
        </is>
      </c>
      <c r="K986" t="n">
        <v>98.8</v>
      </c>
    </row>
    <row r="987">
      <c r="A987" t="inlineStr">
        <is>
          <t>SIMULATED Food Waste Remote Study</t>
        </is>
      </c>
      <c r="B987" t="inlineStr">
        <is>
          <t>RESP0142</t>
        </is>
      </c>
      <c r="C987" t="inlineStr">
        <is>
          <t>Stimulus</t>
        </is>
      </c>
      <c r="D987" t="inlineStr">
        <is>
          <t>foodwaste_visual</t>
        </is>
      </c>
      <c r="E987" t="n">
        <v>62</v>
      </c>
      <c r="F987" t="inlineStr">
        <is>
          <t>Engagement</t>
        </is>
      </c>
      <c r="G987" t="n">
        <v>50</v>
      </c>
      <c r="H987" t="n">
        <v>26.61</v>
      </c>
      <c r="I987" t="n">
        <v>7</v>
      </c>
      <c r="J987" t="inlineStr">
        <is>
          <t>NA</t>
        </is>
      </c>
      <c r="K987" t="n">
        <v>99.2</v>
      </c>
    </row>
    <row r="988">
      <c r="A988" t="inlineStr">
        <is>
          <t>SIMULATED Food Waste Remote Study</t>
        </is>
      </c>
      <c r="B988" t="inlineStr">
        <is>
          <t>RESP0142</t>
        </is>
      </c>
      <c r="C988" t="inlineStr">
        <is>
          <t>Stimulus</t>
        </is>
      </c>
      <c r="D988" t="inlineStr">
        <is>
          <t>foodwaste_visual</t>
        </is>
      </c>
      <c r="E988" t="n">
        <v>62</v>
      </c>
      <c r="F988" t="inlineStr">
        <is>
          <t>Joy</t>
        </is>
      </c>
      <c r="G988" t="n">
        <v>50</v>
      </c>
      <c r="H988" t="n">
        <v>3.44</v>
      </c>
      <c r="I988" t="n">
        <v>1</v>
      </c>
      <c r="J988" t="inlineStr">
        <is>
          <t>NA</t>
        </is>
      </c>
      <c r="K988" t="n">
        <v>99.2</v>
      </c>
    </row>
    <row r="989">
      <c r="A989" t="inlineStr">
        <is>
          <t>SIMULATED Food Waste Remote Study</t>
        </is>
      </c>
      <c r="B989" t="inlineStr">
        <is>
          <t>RESP0142</t>
        </is>
      </c>
      <c r="C989" t="inlineStr">
        <is>
          <t>Stimulus</t>
        </is>
      </c>
      <c r="D989" t="inlineStr">
        <is>
          <t>foodwaste_visual</t>
        </is>
      </c>
      <c r="E989" t="n">
        <v>62</v>
      </c>
      <c r="F989" t="inlineStr">
        <is>
          <t>Brow Furrow</t>
        </is>
      </c>
      <c r="G989" t="n">
        <v>50</v>
      </c>
      <c r="H989" t="n">
        <v>7.1</v>
      </c>
      <c r="I989" t="n">
        <v>4</v>
      </c>
      <c r="J989" t="inlineStr">
        <is>
          <t>NA</t>
        </is>
      </c>
      <c r="K989" t="n">
        <v>99.2</v>
      </c>
    </row>
    <row r="990">
      <c r="A990" t="inlineStr">
        <is>
          <t>SIMULATED Food Waste Remote Study</t>
        </is>
      </c>
      <c r="B990" t="inlineStr">
        <is>
          <t>RESP0142</t>
        </is>
      </c>
      <c r="C990" t="inlineStr">
        <is>
          <t>Stimulus</t>
        </is>
      </c>
      <c r="D990" t="inlineStr">
        <is>
          <t>foodwaste_visual</t>
        </is>
      </c>
      <c r="E990" t="n">
        <v>62</v>
      </c>
      <c r="F990" t="inlineStr">
        <is>
          <t>Positive Valence</t>
        </is>
      </c>
      <c r="G990" t="n">
        <v>50</v>
      </c>
      <c r="H990" t="n">
        <v>2.69</v>
      </c>
      <c r="I990" t="n">
        <v>1</v>
      </c>
      <c r="J990" t="inlineStr">
        <is>
          <t>NA</t>
        </is>
      </c>
      <c r="K990" t="n">
        <v>99.2</v>
      </c>
    </row>
    <row r="991">
      <c r="A991" t="inlineStr">
        <is>
          <t>SIMULATED Food Waste Remote Study</t>
        </is>
      </c>
      <c r="B991" t="inlineStr">
        <is>
          <t>RESP0142</t>
        </is>
      </c>
      <c r="C991" t="inlineStr">
        <is>
          <t>Stimulus</t>
        </is>
      </c>
      <c r="D991" t="inlineStr">
        <is>
          <t>foodwaste_visual</t>
        </is>
      </c>
      <c r="E991" t="n">
        <v>62</v>
      </c>
      <c r="F991" t="inlineStr">
        <is>
          <t>Negative Valence</t>
        </is>
      </c>
      <c r="G991" t="n">
        <v>-50</v>
      </c>
      <c r="H991" t="n">
        <v>13.17</v>
      </c>
      <c r="I991" t="n">
        <v>6</v>
      </c>
      <c r="J991" t="inlineStr">
        <is>
          <t>NA</t>
        </is>
      </c>
      <c r="K991" t="n">
        <v>99.2</v>
      </c>
    </row>
    <row r="992">
      <c r="A992" t="inlineStr">
        <is>
          <t>SIMULATED Food Waste Remote Study</t>
        </is>
      </c>
      <c r="B992" t="inlineStr">
        <is>
          <t>RESP0143</t>
        </is>
      </c>
      <c r="C992" t="inlineStr">
        <is>
          <t>Stimulus</t>
        </is>
      </c>
      <c r="D992" t="inlineStr">
        <is>
          <t>foodwaste_narrative</t>
        </is>
      </c>
      <c r="E992" t="n">
        <v>60</v>
      </c>
      <c r="F992" t="inlineStr">
        <is>
          <t>Engagement</t>
        </is>
      </c>
      <c r="G992" t="n">
        <v>50</v>
      </c>
      <c r="H992" t="n">
        <v>16.72</v>
      </c>
      <c r="I992" t="n">
        <v>4</v>
      </c>
      <c r="J992" t="inlineStr">
        <is>
          <t>NA</t>
        </is>
      </c>
      <c r="K992" t="n">
        <v>93.59999999999999</v>
      </c>
    </row>
    <row r="993">
      <c r="A993" t="inlineStr">
        <is>
          <t>SIMULATED Food Waste Remote Study</t>
        </is>
      </c>
      <c r="B993" t="inlineStr">
        <is>
          <t>RESP0143</t>
        </is>
      </c>
      <c r="C993" t="inlineStr">
        <is>
          <t>Stimulus</t>
        </is>
      </c>
      <c r="D993" t="inlineStr">
        <is>
          <t>foodwaste_narrative</t>
        </is>
      </c>
      <c r="E993" t="n">
        <v>60</v>
      </c>
      <c r="F993" t="inlineStr">
        <is>
          <t>Joy</t>
        </is>
      </c>
      <c r="G993" t="n">
        <v>50</v>
      </c>
      <c r="H993" t="n">
        <v>0</v>
      </c>
      <c r="I993" t="n">
        <v>0</v>
      </c>
      <c r="J993" t="inlineStr">
        <is>
          <t>NA</t>
        </is>
      </c>
      <c r="K993" t="n">
        <v>93.59999999999999</v>
      </c>
    </row>
    <row r="994">
      <c r="A994" t="inlineStr">
        <is>
          <t>SIMULATED Food Waste Remote Study</t>
        </is>
      </c>
      <c r="B994" t="inlineStr">
        <is>
          <t>RESP0143</t>
        </is>
      </c>
      <c r="C994" t="inlineStr">
        <is>
          <t>Stimulus</t>
        </is>
      </c>
      <c r="D994" t="inlineStr">
        <is>
          <t>foodwaste_narrative</t>
        </is>
      </c>
      <c r="E994" t="n">
        <v>60</v>
      </c>
      <c r="F994" t="inlineStr">
        <is>
          <t>Brow Furrow</t>
        </is>
      </c>
      <c r="G994" t="n">
        <v>50</v>
      </c>
      <c r="H994" t="n">
        <v>0</v>
      </c>
      <c r="I994" t="n">
        <v>0</v>
      </c>
      <c r="J994" t="inlineStr">
        <is>
          <t>NA</t>
        </is>
      </c>
      <c r="K994" t="n">
        <v>93.59999999999999</v>
      </c>
    </row>
    <row r="995">
      <c r="A995" t="inlineStr">
        <is>
          <t>SIMULATED Food Waste Remote Study</t>
        </is>
      </c>
      <c r="B995" t="inlineStr">
        <is>
          <t>RESP0143</t>
        </is>
      </c>
      <c r="C995" t="inlineStr">
        <is>
          <t>Stimulus</t>
        </is>
      </c>
      <c r="D995" t="inlineStr">
        <is>
          <t>foodwaste_narrative</t>
        </is>
      </c>
      <c r="E995" t="n">
        <v>60</v>
      </c>
      <c r="F995" t="inlineStr">
        <is>
          <t>Positive Valence</t>
        </is>
      </c>
      <c r="G995" t="n">
        <v>50</v>
      </c>
      <c r="H995" t="n">
        <v>0</v>
      </c>
      <c r="I995" t="n">
        <v>0</v>
      </c>
      <c r="J995" t="inlineStr">
        <is>
          <t>NA</t>
        </is>
      </c>
      <c r="K995" t="n">
        <v>93.59999999999999</v>
      </c>
    </row>
    <row r="996">
      <c r="A996" t="inlineStr">
        <is>
          <t>SIMULATED Food Waste Remote Study</t>
        </is>
      </c>
      <c r="B996" t="inlineStr">
        <is>
          <t>RESP0143</t>
        </is>
      </c>
      <c r="C996" t="inlineStr">
        <is>
          <t>Stimulus</t>
        </is>
      </c>
      <c r="D996" t="inlineStr">
        <is>
          <t>foodwaste_narrative</t>
        </is>
      </c>
      <c r="E996" t="n">
        <v>60</v>
      </c>
      <c r="F996" t="inlineStr">
        <is>
          <t>Negative Valence</t>
        </is>
      </c>
      <c r="G996" t="n">
        <v>-50</v>
      </c>
      <c r="H996" t="n">
        <v>2.67</v>
      </c>
      <c r="I996" t="n">
        <v>3</v>
      </c>
      <c r="J996" t="inlineStr">
        <is>
          <t>NA</t>
        </is>
      </c>
      <c r="K996" t="n">
        <v>93.59999999999999</v>
      </c>
    </row>
    <row r="997">
      <c r="A997" t="inlineStr">
        <is>
          <t>SIMULATED Food Waste Remote Study</t>
        </is>
      </c>
      <c r="B997" t="inlineStr">
        <is>
          <t>RESP0143</t>
        </is>
      </c>
      <c r="C997" t="inlineStr">
        <is>
          <t>Stimulus</t>
        </is>
      </c>
      <c r="D997" t="inlineStr">
        <is>
          <t>foodwaste_visual</t>
        </is>
      </c>
      <c r="E997" t="n">
        <v>62</v>
      </c>
      <c r="F997" t="inlineStr">
        <is>
          <t>Engagement</t>
        </is>
      </c>
      <c r="G997" t="n">
        <v>50</v>
      </c>
      <c r="H997" t="n">
        <v>29.84</v>
      </c>
      <c r="I997" t="n">
        <v>10</v>
      </c>
      <c r="J997" t="inlineStr">
        <is>
          <t>NA</t>
        </is>
      </c>
      <c r="K997" t="n">
        <v>90.59999999999999</v>
      </c>
    </row>
    <row r="998">
      <c r="A998" t="inlineStr">
        <is>
          <t>SIMULATED Food Waste Remote Study</t>
        </is>
      </c>
      <c r="B998" t="inlineStr">
        <is>
          <t>RESP0143</t>
        </is>
      </c>
      <c r="C998" t="inlineStr">
        <is>
          <t>Stimulus</t>
        </is>
      </c>
      <c r="D998" t="inlineStr">
        <is>
          <t>foodwaste_visual</t>
        </is>
      </c>
      <c r="E998" t="n">
        <v>62</v>
      </c>
      <c r="F998" t="inlineStr">
        <is>
          <t>Joy</t>
        </is>
      </c>
      <c r="G998" t="n">
        <v>50</v>
      </c>
      <c r="H998" t="n">
        <v>0.59</v>
      </c>
      <c r="I998" t="n">
        <v>1</v>
      </c>
      <c r="J998" t="inlineStr">
        <is>
          <t>NA</t>
        </is>
      </c>
      <c r="K998" t="n">
        <v>90.59999999999999</v>
      </c>
    </row>
    <row r="999">
      <c r="A999" t="inlineStr">
        <is>
          <t>SIMULATED Food Waste Remote Study</t>
        </is>
      </c>
      <c r="B999" t="inlineStr">
        <is>
          <t>RESP0143</t>
        </is>
      </c>
      <c r="C999" t="inlineStr">
        <is>
          <t>Stimulus</t>
        </is>
      </c>
      <c r="D999" t="inlineStr">
        <is>
          <t>foodwaste_visual</t>
        </is>
      </c>
      <c r="E999" t="n">
        <v>62</v>
      </c>
      <c r="F999" t="inlineStr">
        <is>
          <t>Brow Furrow</t>
        </is>
      </c>
      <c r="G999" t="n">
        <v>50</v>
      </c>
      <c r="H999" t="n">
        <v>12.2</v>
      </c>
      <c r="I999" t="n">
        <v>4</v>
      </c>
      <c r="J999" t="inlineStr">
        <is>
          <t>NA</t>
        </is>
      </c>
      <c r="K999" t="n">
        <v>90.59999999999999</v>
      </c>
    </row>
    <row r="1000">
      <c r="A1000" t="inlineStr">
        <is>
          <t>SIMULATED Food Waste Remote Study</t>
        </is>
      </c>
      <c r="B1000" t="inlineStr">
        <is>
          <t>RESP0143</t>
        </is>
      </c>
      <c r="C1000" t="inlineStr">
        <is>
          <t>Stimulus</t>
        </is>
      </c>
      <c r="D1000" t="inlineStr">
        <is>
          <t>foodwaste_visual</t>
        </is>
      </c>
      <c r="E1000" t="n">
        <v>62</v>
      </c>
      <c r="F1000" t="inlineStr">
        <is>
          <t>Positive Valence</t>
        </is>
      </c>
      <c r="G1000" t="n">
        <v>50</v>
      </c>
      <c r="H1000" t="n">
        <v>5.38</v>
      </c>
      <c r="I1000" t="n">
        <v>2</v>
      </c>
      <c r="J1000" t="inlineStr">
        <is>
          <t>NA</t>
        </is>
      </c>
      <c r="K1000" t="n">
        <v>90.59999999999999</v>
      </c>
    </row>
    <row r="1001">
      <c r="A1001" t="inlineStr">
        <is>
          <t>SIMULATED Food Waste Remote Study</t>
        </is>
      </c>
      <c r="B1001" t="inlineStr">
        <is>
          <t>RESP0143</t>
        </is>
      </c>
      <c r="C1001" t="inlineStr">
        <is>
          <t>Stimulus</t>
        </is>
      </c>
      <c r="D1001" t="inlineStr">
        <is>
          <t>foodwaste_visual</t>
        </is>
      </c>
      <c r="E1001" t="n">
        <v>62</v>
      </c>
      <c r="F1001" t="inlineStr">
        <is>
          <t>Negative Valence</t>
        </is>
      </c>
      <c r="G1001" t="n">
        <v>-50</v>
      </c>
      <c r="H1001" t="n">
        <v>20.05</v>
      </c>
      <c r="I1001" t="n">
        <v>5</v>
      </c>
      <c r="J1001" t="inlineStr">
        <is>
          <t>NA</t>
        </is>
      </c>
      <c r="K1001" t="n">
        <v>90.59999999999999</v>
      </c>
    </row>
    <row r="1002">
      <c r="A1002" t="inlineStr">
        <is>
          <t>SIMULATED Food Waste Remote Study</t>
        </is>
      </c>
      <c r="B1002" t="inlineStr">
        <is>
          <t>RESP0144</t>
        </is>
      </c>
      <c r="C1002" t="inlineStr">
        <is>
          <t>Stimulus</t>
        </is>
      </c>
      <c r="D1002" t="inlineStr">
        <is>
          <t>foodwaste_narrative</t>
        </is>
      </c>
      <c r="E1002" t="n">
        <v>60</v>
      </c>
      <c r="F1002" t="inlineStr">
        <is>
          <t>Engagement</t>
        </is>
      </c>
      <c r="G1002" t="n">
        <v>50</v>
      </c>
      <c r="H1002" t="n">
        <v>13.5</v>
      </c>
      <c r="I1002" t="n">
        <v>4</v>
      </c>
      <c r="J1002" t="inlineStr">
        <is>
          <t>NA</t>
        </is>
      </c>
      <c r="K1002" t="n">
        <v>98.3</v>
      </c>
    </row>
    <row r="1003">
      <c r="A1003" t="inlineStr">
        <is>
          <t>SIMULATED Food Waste Remote Study</t>
        </is>
      </c>
      <c r="B1003" t="inlineStr">
        <is>
          <t>RESP0144</t>
        </is>
      </c>
      <c r="C1003" t="inlineStr">
        <is>
          <t>Stimulus</t>
        </is>
      </c>
      <c r="D1003" t="inlineStr">
        <is>
          <t>foodwaste_narrative</t>
        </is>
      </c>
      <c r="E1003" t="n">
        <v>60</v>
      </c>
      <c r="F1003" t="inlineStr">
        <is>
          <t>Joy</t>
        </is>
      </c>
      <c r="G1003" t="n">
        <v>50</v>
      </c>
      <c r="H1003" t="n">
        <v>0</v>
      </c>
      <c r="I1003" t="n">
        <v>0</v>
      </c>
      <c r="J1003" t="inlineStr">
        <is>
          <t>NA</t>
        </is>
      </c>
      <c r="K1003" t="n">
        <v>98.3</v>
      </c>
    </row>
    <row r="1004">
      <c r="A1004" t="inlineStr">
        <is>
          <t>SIMULATED Food Waste Remote Study</t>
        </is>
      </c>
      <c r="B1004" t="inlineStr">
        <is>
          <t>RESP0144</t>
        </is>
      </c>
      <c r="C1004" t="inlineStr">
        <is>
          <t>Stimulus</t>
        </is>
      </c>
      <c r="D1004" t="inlineStr">
        <is>
          <t>foodwaste_narrative</t>
        </is>
      </c>
      <c r="E1004" t="n">
        <v>60</v>
      </c>
      <c r="F1004" t="inlineStr">
        <is>
          <t>Brow Furrow</t>
        </is>
      </c>
      <c r="G1004" t="n">
        <v>50</v>
      </c>
      <c r="H1004" t="n">
        <v>17.28</v>
      </c>
      <c r="I1004" t="n">
        <v>5</v>
      </c>
      <c r="J1004" t="inlineStr">
        <is>
          <t>NA</t>
        </is>
      </c>
      <c r="K1004" t="n">
        <v>98.3</v>
      </c>
    </row>
    <row r="1005">
      <c r="A1005" t="inlineStr">
        <is>
          <t>SIMULATED Food Waste Remote Study</t>
        </is>
      </c>
      <c r="B1005" t="inlineStr">
        <is>
          <t>RESP0144</t>
        </is>
      </c>
      <c r="C1005" t="inlineStr">
        <is>
          <t>Stimulus</t>
        </is>
      </c>
      <c r="D1005" t="inlineStr">
        <is>
          <t>foodwaste_narrative</t>
        </is>
      </c>
      <c r="E1005" t="n">
        <v>60</v>
      </c>
      <c r="F1005" t="inlineStr">
        <is>
          <t>Positive Valence</t>
        </is>
      </c>
      <c r="G1005" t="n">
        <v>50</v>
      </c>
      <c r="H1005" t="n">
        <v>11.67</v>
      </c>
      <c r="I1005" t="n">
        <v>2</v>
      </c>
      <c r="J1005" t="inlineStr">
        <is>
          <t>NA</t>
        </is>
      </c>
      <c r="K1005" t="n">
        <v>98.3</v>
      </c>
    </row>
    <row r="1006">
      <c r="A1006" t="inlineStr">
        <is>
          <t>SIMULATED Food Waste Remote Study</t>
        </is>
      </c>
      <c r="B1006" t="inlineStr">
        <is>
          <t>RESP0144</t>
        </is>
      </c>
      <c r="C1006" t="inlineStr">
        <is>
          <t>Stimulus</t>
        </is>
      </c>
      <c r="D1006" t="inlineStr">
        <is>
          <t>foodwaste_narrative</t>
        </is>
      </c>
      <c r="E1006" t="n">
        <v>60</v>
      </c>
      <c r="F1006" t="inlineStr">
        <is>
          <t>Negative Valence</t>
        </is>
      </c>
      <c r="G1006" t="n">
        <v>-50</v>
      </c>
      <c r="H1006" t="n">
        <v>0</v>
      </c>
      <c r="I1006" t="n">
        <v>0</v>
      </c>
      <c r="J1006" t="inlineStr">
        <is>
          <t>NA</t>
        </is>
      </c>
      <c r="K1006" t="n">
        <v>98.3</v>
      </c>
    </row>
    <row r="1007">
      <c r="A1007" t="inlineStr">
        <is>
          <t>SIMULATED Food Waste Remote Study</t>
        </is>
      </c>
      <c r="B1007" t="inlineStr">
        <is>
          <t>RESP0144</t>
        </is>
      </c>
      <c r="C1007" t="inlineStr">
        <is>
          <t>Stimulus</t>
        </is>
      </c>
      <c r="D1007" t="inlineStr">
        <is>
          <t>foodwaste_visual</t>
        </is>
      </c>
      <c r="E1007" t="n">
        <v>62</v>
      </c>
      <c r="F1007" t="inlineStr">
        <is>
          <t>Engagement</t>
        </is>
      </c>
      <c r="G1007" t="n">
        <v>50</v>
      </c>
      <c r="H1007" t="n">
        <v>82.09999999999999</v>
      </c>
      <c r="I1007" t="n">
        <v>18</v>
      </c>
      <c r="J1007" t="inlineStr">
        <is>
          <t>NA</t>
        </is>
      </c>
      <c r="K1007" t="n">
        <v>99</v>
      </c>
    </row>
    <row r="1008">
      <c r="A1008" t="inlineStr">
        <is>
          <t>SIMULATED Food Waste Remote Study</t>
        </is>
      </c>
      <c r="B1008" t="inlineStr">
        <is>
          <t>RESP0144</t>
        </is>
      </c>
      <c r="C1008" t="inlineStr">
        <is>
          <t>Stimulus</t>
        </is>
      </c>
      <c r="D1008" t="inlineStr">
        <is>
          <t>foodwaste_visual</t>
        </is>
      </c>
      <c r="E1008" t="n">
        <v>62</v>
      </c>
      <c r="F1008" t="inlineStr">
        <is>
          <t>Joy</t>
        </is>
      </c>
      <c r="G1008" t="n">
        <v>50</v>
      </c>
      <c r="H1008" t="n">
        <v>12.53</v>
      </c>
      <c r="I1008" t="n">
        <v>7</v>
      </c>
      <c r="J1008" t="inlineStr">
        <is>
          <t>NA</t>
        </is>
      </c>
      <c r="K1008" t="n">
        <v>99</v>
      </c>
    </row>
    <row r="1009">
      <c r="A1009" t="inlineStr">
        <is>
          <t>SIMULATED Food Waste Remote Study</t>
        </is>
      </c>
      <c r="B1009" t="inlineStr">
        <is>
          <t>RESP0144</t>
        </is>
      </c>
      <c r="C1009" t="inlineStr">
        <is>
          <t>Stimulus</t>
        </is>
      </c>
      <c r="D1009" t="inlineStr">
        <is>
          <t>foodwaste_visual</t>
        </is>
      </c>
      <c r="E1009" t="n">
        <v>62</v>
      </c>
      <c r="F1009" t="inlineStr">
        <is>
          <t>Brow Furrow</t>
        </is>
      </c>
      <c r="G1009" t="n">
        <v>50</v>
      </c>
      <c r="H1009" t="n">
        <v>10.43</v>
      </c>
      <c r="I1009" t="n">
        <v>4</v>
      </c>
      <c r="J1009" t="inlineStr">
        <is>
          <t>NA</t>
        </is>
      </c>
      <c r="K1009" t="n">
        <v>99</v>
      </c>
    </row>
    <row r="1010">
      <c r="A1010" t="inlineStr">
        <is>
          <t>SIMULATED Food Waste Remote Study</t>
        </is>
      </c>
      <c r="B1010" t="inlineStr">
        <is>
          <t>RESP0144</t>
        </is>
      </c>
      <c r="C1010" t="inlineStr">
        <is>
          <t>Stimulus</t>
        </is>
      </c>
      <c r="D1010" t="inlineStr">
        <is>
          <t>foodwaste_visual</t>
        </is>
      </c>
      <c r="E1010" t="n">
        <v>62</v>
      </c>
      <c r="F1010" t="inlineStr">
        <is>
          <t>Positive Valence</t>
        </is>
      </c>
      <c r="G1010" t="n">
        <v>50</v>
      </c>
      <c r="H1010" t="n">
        <v>6.72</v>
      </c>
      <c r="I1010" t="n">
        <v>6</v>
      </c>
      <c r="J1010" t="inlineStr">
        <is>
          <t>NA</t>
        </is>
      </c>
      <c r="K1010" t="n">
        <v>99</v>
      </c>
    </row>
    <row r="1011">
      <c r="A1011" t="inlineStr">
        <is>
          <t>SIMULATED Food Waste Remote Study</t>
        </is>
      </c>
      <c r="B1011" t="inlineStr">
        <is>
          <t>RESP0144</t>
        </is>
      </c>
      <c r="C1011" t="inlineStr">
        <is>
          <t>Stimulus</t>
        </is>
      </c>
      <c r="D1011" t="inlineStr">
        <is>
          <t>foodwaste_visual</t>
        </is>
      </c>
      <c r="E1011" t="n">
        <v>62</v>
      </c>
      <c r="F1011" t="inlineStr">
        <is>
          <t>Negative Valence</t>
        </is>
      </c>
      <c r="G1011" t="n">
        <v>-50</v>
      </c>
      <c r="H1011" t="n">
        <v>30.97</v>
      </c>
      <c r="I1011" t="n">
        <v>10</v>
      </c>
      <c r="J1011" t="inlineStr">
        <is>
          <t>NA</t>
        </is>
      </c>
      <c r="K1011" t="n">
        <v>99</v>
      </c>
    </row>
    <row r="1012">
      <c r="A1012" t="inlineStr">
        <is>
          <t>SIMULATED Food Waste Remote Study</t>
        </is>
      </c>
      <c r="B1012" t="inlineStr">
        <is>
          <t>RESP0145</t>
        </is>
      </c>
      <c r="C1012" t="inlineStr">
        <is>
          <t>Stimulus</t>
        </is>
      </c>
      <c r="D1012" t="inlineStr">
        <is>
          <t>foodwaste_narrative</t>
        </is>
      </c>
      <c r="E1012" t="n">
        <v>60</v>
      </c>
      <c r="F1012" t="inlineStr">
        <is>
          <t>Engagement</t>
        </is>
      </c>
      <c r="G1012" t="n">
        <v>50</v>
      </c>
      <c r="H1012" t="n">
        <v>8.279999999999999</v>
      </c>
      <c r="I1012" t="n">
        <v>1</v>
      </c>
      <c r="J1012" t="inlineStr">
        <is>
          <t>NA</t>
        </is>
      </c>
      <c r="K1012" t="n">
        <v>99.8</v>
      </c>
    </row>
    <row r="1013">
      <c r="A1013" t="inlineStr">
        <is>
          <t>SIMULATED Food Waste Remote Study</t>
        </is>
      </c>
      <c r="B1013" t="inlineStr">
        <is>
          <t>RESP0145</t>
        </is>
      </c>
      <c r="C1013" t="inlineStr">
        <is>
          <t>Stimulus</t>
        </is>
      </c>
      <c r="D1013" t="inlineStr">
        <is>
          <t>foodwaste_narrative</t>
        </is>
      </c>
      <c r="E1013" t="n">
        <v>60</v>
      </c>
      <c r="F1013" t="inlineStr">
        <is>
          <t>Joy</t>
        </is>
      </c>
      <c r="G1013" t="n">
        <v>50</v>
      </c>
      <c r="H1013" t="n">
        <v>0</v>
      </c>
      <c r="I1013" t="n">
        <v>0</v>
      </c>
      <c r="J1013" t="inlineStr">
        <is>
          <t>NA</t>
        </is>
      </c>
      <c r="K1013" t="n">
        <v>99.8</v>
      </c>
    </row>
    <row r="1014">
      <c r="A1014" t="inlineStr">
        <is>
          <t>SIMULATED Food Waste Remote Study</t>
        </is>
      </c>
      <c r="B1014" t="inlineStr">
        <is>
          <t>RESP0145</t>
        </is>
      </c>
      <c r="C1014" t="inlineStr">
        <is>
          <t>Stimulus</t>
        </is>
      </c>
      <c r="D1014" t="inlineStr">
        <is>
          <t>foodwaste_narrative</t>
        </is>
      </c>
      <c r="E1014" t="n">
        <v>60</v>
      </c>
      <c r="F1014" t="inlineStr">
        <is>
          <t>Brow Furrow</t>
        </is>
      </c>
      <c r="G1014" t="n">
        <v>50</v>
      </c>
      <c r="H1014" t="n">
        <v>4.28</v>
      </c>
      <c r="I1014" t="n">
        <v>1</v>
      </c>
      <c r="J1014" t="inlineStr">
        <is>
          <t>NA</t>
        </is>
      </c>
      <c r="K1014" t="n">
        <v>99.8</v>
      </c>
    </row>
    <row r="1015">
      <c r="A1015" t="inlineStr">
        <is>
          <t>SIMULATED Food Waste Remote Study</t>
        </is>
      </c>
      <c r="B1015" t="inlineStr">
        <is>
          <t>RESP0145</t>
        </is>
      </c>
      <c r="C1015" t="inlineStr">
        <is>
          <t>Stimulus</t>
        </is>
      </c>
      <c r="D1015" t="inlineStr">
        <is>
          <t>foodwaste_narrative</t>
        </is>
      </c>
      <c r="E1015" t="n">
        <v>60</v>
      </c>
      <c r="F1015" t="inlineStr">
        <is>
          <t>Positive Valence</t>
        </is>
      </c>
      <c r="G1015" t="n">
        <v>50</v>
      </c>
      <c r="H1015" t="n">
        <v>0</v>
      </c>
      <c r="I1015" t="n">
        <v>0</v>
      </c>
      <c r="J1015" t="inlineStr">
        <is>
          <t>NA</t>
        </is>
      </c>
      <c r="K1015" t="n">
        <v>99.8</v>
      </c>
    </row>
    <row r="1016">
      <c r="A1016" t="inlineStr">
        <is>
          <t>SIMULATED Food Waste Remote Study</t>
        </is>
      </c>
      <c r="B1016" t="inlineStr">
        <is>
          <t>RESP0145</t>
        </is>
      </c>
      <c r="C1016" t="inlineStr">
        <is>
          <t>Stimulus</t>
        </is>
      </c>
      <c r="D1016" t="inlineStr">
        <is>
          <t>foodwaste_narrative</t>
        </is>
      </c>
      <c r="E1016" t="n">
        <v>60</v>
      </c>
      <c r="F1016" t="inlineStr">
        <is>
          <t>Negative Valence</t>
        </is>
      </c>
      <c r="G1016" t="n">
        <v>-50</v>
      </c>
      <c r="H1016" t="n">
        <v>7.06</v>
      </c>
      <c r="I1016" t="n">
        <v>2</v>
      </c>
      <c r="J1016" t="inlineStr">
        <is>
          <t>NA</t>
        </is>
      </c>
      <c r="K1016" t="n">
        <v>99.8</v>
      </c>
    </row>
    <row r="1017">
      <c r="A1017" t="inlineStr">
        <is>
          <t>SIMULATED Food Waste Remote Study</t>
        </is>
      </c>
      <c r="B1017" t="inlineStr">
        <is>
          <t>RESP0145</t>
        </is>
      </c>
      <c r="C1017" t="inlineStr">
        <is>
          <t>Stimulus</t>
        </is>
      </c>
      <c r="D1017" t="inlineStr">
        <is>
          <t>foodwaste_visual</t>
        </is>
      </c>
      <c r="E1017" t="n">
        <v>62</v>
      </c>
      <c r="F1017" t="inlineStr">
        <is>
          <t>Engagement</t>
        </is>
      </c>
      <c r="G1017" t="n">
        <v>50</v>
      </c>
      <c r="H1017" t="n">
        <v>41.77</v>
      </c>
      <c r="I1017" t="n">
        <v>10</v>
      </c>
      <c r="J1017" t="inlineStr">
        <is>
          <t>NA</t>
        </is>
      </c>
      <c r="K1017" t="n">
        <v>99.7</v>
      </c>
    </row>
    <row r="1018">
      <c r="A1018" t="inlineStr">
        <is>
          <t>SIMULATED Food Waste Remote Study</t>
        </is>
      </c>
      <c r="B1018" t="inlineStr">
        <is>
          <t>RESP0145</t>
        </is>
      </c>
      <c r="C1018" t="inlineStr">
        <is>
          <t>Stimulus</t>
        </is>
      </c>
      <c r="D1018" t="inlineStr">
        <is>
          <t>foodwaste_visual</t>
        </is>
      </c>
      <c r="E1018" t="n">
        <v>62</v>
      </c>
      <c r="F1018" t="inlineStr">
        <is>
          <t>Joy</t>
        </is>
      </c>
      <c r="G1018" t="n">
        <v>50</v>
      </c>
      <c r="H1018" t="n">
        <v>0</v>
      </c>
      <c r="I1018" t="n">
        <v>0</v>
      </c>
      <c r="J1018" t="inlineStr">
        <is>
          <t>NA</t>
        </is>
      </c>
      <c r="K1018" t="n">
        <v>99.7</v>
      </c>
    </row>
    <row r="1019">
      <c r="A1019" t="inlineStr">
        <is>
          <t>SIMULATED Food Waste Remote Study</t>
        </is>
      </c>
      <c r="B1019" t="inlineStr">
        <is>
          <t>RESP0145</t>
        </is>
      </c>
      <c r="C1019" t="inlineStr">
        <is>
          <t>Stimulus</t>
        </is>
      </c>
      <c r="D1019" t="inlineStr">
        <is>
          <t>foodwaste_visual</t>
        </is>
      </c>
      <c r="E1019" t="n">
        <v>62</v>
      </c>
      <c r="F1019" t="inlineStr">
        <is>
          <t>Brow Furrow</t>
        </is>
      </c>
      <c r="G1019" t="n">
        <v>50</v>
      </c>
      <c r="H1019" t="n">
        <v>0</v>
      </c>
      <c r="I1019" t="n">
        <v>0</v>
      </c>
      <c r="J1019" t="inlineStr">
        <is>
          <t>NA</t>
        </is>
      </c>
      <c r="K1019" t="n">
        <v>99.7</v>
      </c>
    </row>
    <row r="1020">
      <c r="A1020" t="inlineStr">
        <is>
          <t>SIMULATED Food Waste Remote Study</t>
        </is>
      </c>
      <c r="B1020" t="inlineStr">
        <is>
          <t>RESP0145</t>
        </is>
      </c>
      <c r="C1020" t="inlineStr">
        <is>
          <t>Stimulus</t>
        </is>
      </c>
      <c r="D1020" t="inlineStr">
        <is>
          <t>foodwaste_visual</t>
        </is>
      </c>
      <c r="E1020" t="n">
        <v>62</v>
      </c>
      <c r="F1020" t="inlineStr">
        <is>
          <t>Positive Valence</t>
        </is>
      </c>
      <c r="G1020" t="n">
        <v>50</v>
      </c>
      <c r="H1020" t="n">
        <v>0</v>
      </c>
      <c r="I1020" t="n">
        <v>0</v>
      </c>
      <c r="J1020" t="inlineStr">
        <is>
          <t>NA</t>
        </is>
      </c>
      <c r="K1020" t="n">
        <v>99.7</v>
      </c>
    </row>
    <row r="1021">
      <c r="A1021" t="inlineStr">
        <is>
          <t>SIMULATED Food Waste Remote Study</t>
        </is>
      </c>
      <c r="B1021" t="inlineStr">
        <is>
          <t>RESP0145</t>
        </is>
      </c>
      <c r="C1021" t="inlineStr">
        <is>
          <t>Stimulus</t>
        </is>
      </c>
      <c r="D1021" t="inlineStr">
        <is>
          <t>foodwaste_visual</t>
        </is>
      </c>
      <c r="E1021" t="n">
        <v>62</v>
      </c>
      <c r="F1021" t="inlineStr">
        <is>
          <t>Negative Valence</t>
        </is>
      </c>
      <c r="G1021" t="n">
        <v>-50</v>
      </c>
      <c r="H1021" t="n">
        <v>0.16</v>
      </c>
      <c r="I1021" t="n">
        <v>1</v>
      </c>
      <c r="J1021" t="inlineStr">
        <is>
          <t>NA</t>
        </is>
      </c>
      <c r="K1021" t="n">
        <v>99.7</v>
      </c>
    </row>
    <row r="1022">
      <c r="A1022" t="inlineStr">
        <is>
          <t>SIMULATED Food Waste Remote Study</t>
        </is>
      </c>
      <c r="B1022" t="inlineStr">
        <is>
          <t>RESP0147</t>
        </is>
      </c>
      <c r="C1022" t="inlineStr">
        <is>
          <t>Stimulus</t>
        </is>
      </c>
      <c r="D1022" t="inlineStr">
        <is>
          <t>foodwaste_narrative</t>
        </is>
      </c>
      <c r="E1022" t="n">
        <v>60</v>
      </c>
      <c r="F1022" t="inlineStr">
        <is>
          <t>Engagement</t>
        </is>
      </c>
      <c r="G1022" t="n">
        <v>50</v>
      </c>
      <c r="H1022" t="n">
        <v>23.56</v>
      </c>
      <c r="I1022" t="n">
        <v>27</v>
      </c>
      <c r="J1022" t="inlineStr">
        <is>
          <t>NA</t>
        </is>
      </c>
      <c r="K1022" t="n">
        <v>64.7</v>
      </c>
    </row>
    <row r="1023">
      <c r="A1023" t="inlineStr">
        <is>
          <t>SIMULATED Food Waste Remote Study</t>
        </is>
      </c>
      <c r="B1023" t="inlineStr">
        <is>
          <t>RESP0147</t>
        </is>
      </c>
      <c r="C1023" t="inlineStr">
        <is>
          <t>Stimulus</t>
        </is>
      </c>
      <c r="D1023" t="inlineStr">
        <is>
          <t>foodwaste_narrative</t>
        </is>
      </c>
      <c r="E1023" t="n">
        <v>60</v>
      </c>
      <c r="F1023" t="inlineStr">
        <is>
          <t>Joy</t>
        </is>
      </c>
      <c r="G1023" t="n">
        <v>50</v>
      </c>
      <c r="H1023" t="n">
        <v>0</v>
      </c>
      <c r="I1023" t="n">
        <v>0</v>
      </c>
      <c r="J1023" t="inlineStr">
        <is>
          <t>NA</t>
        </is>
      </c>
      <c r="K1023" t="n">
        <v>64.7</v>
      </c>
    </row>
    <row r="1024">
      <c r="A1024" t="inlineStr">
        <is>
          <t>SIMULATED Food Waste Remote Study</t>
        </is>
      </c>
      <c r="B1024" t="inlineStr">
        <is>
          <t>RESP0147</t>
        </is>
      </c>
      <c r="C1024" t="inlineStr">
        <is>
          <t>Stimulus</t>
        </is>
      </c>
      <c r="D1024" t="inlineStr">
        <is>
          <t>foodwaste_narrative</t>
        </is>
      </c>
      <c r="E1024" t="n">
        <v>60</v>
      </c>
      <c r="F1024" t="inlineStr">
        <is>
          <t>Brow Furrow</t>
        </is>
      </c>
      <c r="G1024" t="n">
        <v>50</v>
      </c>
      <c r="H1024" t="n">
        <v>1.06</v>
      </c>
      <c r="I1024" t="n">
        <v>2</v>
      </c>
      <c r="J1024" t="inlineStr">
        <is>
          <t>NA</t>
        </is>
      </c>
      <c r="K1024" t="n">
        <v>64.7</v>
      </c>
    </row>
    <row r="1025">
      <c r="A1025" t="inlineStr">
        <is>
          <t>SIMULATED Food Waste Remote Study</t>
        </is>
      </c>
      <c r="B1025" t="inlineStr">
        <is>
          <t>RESP0147</t>
        </is>
      </c>
      <c r="C1025" t="inlineStr">
        <is>
          <t>Stimulus</t>
        </is>
      </c>
      <c r="D1025" t="inlineStr">
        <is>
          <t>foodwaste_narrative</t>
        </is>
      </c>
      <c r="E1025" t="n">
        <v>60</v>
      </c>
      <c r="F1025" t="inlineStr">
        <is>
          <t>Positive Valence</t>
        </is>
      </c>
      <c r="G1025" t="n">
        <v>50</v>
      </c>
      <c r="H1025" t="n">
        <v>2</v>
      </c>
      <c r="I1025" t="n">
        <v>3</v>
      </c>
      <c r="J1025" t="inlineStr">
        <is>
          <t>NA</t>
        </is>
      </c>
      <c r="K1025" t="n">
        <v>64.7</v>
      </c>
    </row>
    <row r="1026">
      <c r="A1026" t="inlineStr">
        <is>
          <t>SIMULATED Food Waste Remote Study</t>
        </is>
      </c>
      <c r="B1026" t="inlineStr">
        <is>
          <t>RESP0147</t>
        </is>
      </c>
      <c r="C1026" t="inlineStr">
        <is>
          <t>Stimulus</t>
        </is>
      </c>
      <c r="D1026" t="inlineStr">
        <is>
          <t>foodwaste_narrative</t>
        </is>
      </c>
      <c r="E1026" t="n">
        <v>60</v>
      </c>
      <c r="F1026" t="inlineStr">
        <is>
          <t>Negative Valence</t>
        </is>
      </c>
      <c r="G1026" t="n">
        <v>-50</v>
      </c>
      <c r="H1026" t="n">
        <v>0</v>
      </c>
      <c r="I1026" t="n">
        <v>0</v>
      </c>
      <c r="J1026" t="inlineStr">
        <is>
          <t>NA</t>
        </is>
      </c>
      <c r="K1026" t="n">
        <v>64.7</v>
      </c>
    </row>
    <row r="1027">
      <c r="A1027" t="inlineStr">
        <is>
          <t>SIMULATED Food Waste Remote Study</t>
        </is>
      </c>
      <c r="B1027" t="inlineStr">
        <is>
          <t>RESP0147</t>
        </is>
      </c>
      <c r="C1027" t="inlineStr">
        <is>
          <t>Stimulus</t>
        </is>
      </c>
      <c r="D1027" t="inlineStr">
        <is>
          <t>foodwaste_visual</t>
        </is>
      </c>
      <c r="E1027" t="n">
        <v>62</v>
      </c>
      <c r="F1027" t="inlineStr">
        <is>
          <t>Engagement</t>
        </is>
      </c>
      <c r="G1027" t="n">
        <v>50</v>
      </c>
      <c r="H1027" t="n">
        <v>56.61</v>
      </c>
      <c r="I1027" t="n">
        <v>36</v>
      </c>
      <c r="J1027" t="inlineStr">
        <is>
          <t>NA</t>
        </is>
      </c>
      <c r="K1027" t="n">
        <v>86.5</v>
      </c>
    </row>
    <row r="1028">
      <c r="A1028" t="inlineStr">
        <is>
          <t>SIMULATED Food Waste Remote Study</t>
        </is>
      </c>
      <c r="B1028" t="inlineStr">
        <is>
          <t>RESP0147</t>
        </is>
      </c>
      <c r="C1028" t="inlineStr">
        <is>
          <t>Stimulus</t>
        </is>
      </c>
      <c r="D1028" t="inlineStr">
        <is>
          <t>foodwaste_visual</t>
        </is>
      </c>
      <c r="E1028" t="n">
        <v>62</v>
      </c>
      <c r="F1028" t="inlineStr">
        <is>
          <t>Joy</t>
        </is>
      </c>
      <c r="G1028" t="n">
        <v>50</v>
      </c>
      <c r="H1028" t="n">
        <v>0</v>
      </c>
      <c r="I1028" t="n">
        <v>0</v>
      </c>
      <c r="J1028" t="inlineStr">
        <is>
          <t>NA</t>
        </is>
      </c>
      <c r="K1028" t="n">
        <v>86.5</v>
      </c>
    </row>
    <row r="1029">
      <c r="A1029" t="inlineStr">
        <is>
          <t>SIMULATED Food Waste Remote Study</t>
        </is>
      </c>
      <c r="B1029" t="inlineStr">
        <is>
          <t>RESP0147</t>
        </is>
      </c>
      <c r="C1029" t="inlineStr">
        <is>
          <t>Stimulus</t>
        </is>
      </c>
      <c r="D1029" t="inlineStr">
        <is>
          <t>foodwaste_visual</t>
        </is>
      </c>
      <c r="E1029" t="n">
        <v>62</v>
      </c>
      <c r="F1029" t="inlineStr">
        <is>
          <t>Brow Furrow</t>
        </is>
      </c>
      <c r="G1029" t="n">
        <v>50</v>
      </c>
      <c r="H1029" t="n">
        <v>8.550000000000001</v>
      </c>
      <c r="I1029" t="n">
        <v>7</v>
      </c>
      <c r="J1029" t="inlineStr">
        <is>
          <t>NA</t>
        </is>
      </c>
      <c r="K1029" t="n">
        <v>86.5</v>
      </c>
    </row>
    <row r="1030">
      <c r="A1030" t="inlineStr">
        <is>
          <t>SIMULATED Food Waste Remote Study</t>
        </is>
      </c>
      <c r="B1030" t="inlineStr">
        <is>
          <t>RESP0147</t>
        </is>
      </c>
      <c r="C1030" t="inlineStr">
        <is>
          <t>Stimulus</t>
        </is>
      </c>
      <c r="D1030" t="inlineStr">
        <is>
          <t>foodwaste_visual</t>
        </is>
      </c>
      <c r="E1030" t="n">
        <v>62</v>
      </c>
      <c r="F1030" t="inlineStr">
        <is>
          <t>Positive Valence</t>
        </is>
      </c>
      <c r="G1030" t="n">
        <v>50</v>
      </c>
      <c r="H1030" t="n">
        <v>1.88</v>
      </c>
      <c r="I1030" t="n">
        <v>2</v>
      </c>
      <c r="J1030" t="inlineStr">
        <is>
          <t>NA</t>
        </is>
      </c>
      <c r="K1030" t="n">
        <v>86.5</v>
      </c>
    </row>
    <row r="1031">
      <c r="A1031" t="inlineStr">
        <is>
          <t>SIMULATED Food Waste Remote Study</t>
        </is>
      </c>
      <c r="B1031" t="inlineStr">
        <is>
          <t>RESP0147</t>
        </is>
      </c>
      <c r="C1031" t="inlineStr">
        <is>
          <t>Stimulus</t>
        </is>
      </c>
      <c r="D1031" t="inlineStr">
        <is>
          <t>foodwaste_visual</t>
        </is>
      </c>
      <c r="E1031" t="n">
        <v>62</v>
      </c>
      <c r="F1031" t="inlineStr">
        <is>
          <t>Negative Valence</t>
        </is>
      </c>
      <c r="G1031" t="n">
        <v>-50</v>
      </c>
      <c r="H1031" t="n">
        <v>27.69</v>
      </c>
      <c r="I1031" t="n">
        <v>24</v>
      </c>
      <c r="J1031" t="inlineStr">
        <is>
          <t>NA</t>
        </is>
      </c>
      <c r="K1031" t="n">
        <v>86.5</v>
      </c>
    </row>
    <row r="1032">
      <c r="A1032" t="inlineStr">
        <is>
          <t>SIMULATED Food Waste Remote Study</t>
        </is>
      </c>
      <c r="B1032" t="inlineStr">
        <is>
          <t>RESP0149</t>
        </is>
      </c>
      <c r="C1032" t="inlineStr">
        <is>
          <t>Stimulus</t>
        </is>
      </c>
      <c r="D1032" t="inlineStr">
        <is>
          <t>foodwaste_narrative</t>
        </is>
      </c>
      <c r="E1032" t="n">
        <v>60</v>
      </c>
      <c r="F1032" t="inlineStr">
        <is>
          <t>Engagement</t>
        </is>
      </c>
      <c r="G1032" t="n">
        <v>50</v>
      </c>
      <c r="H1032" t="n">
        <v>17</v>
      </c>
      <c r="I1032" t="n">
        <v>3</v>
      </c>
      <c r="J1032" t="inlineStr">
        <is>
          <t>NA</t>
        </is>
      </c>
      <c r="K1032" t="n">
        <v>93.5</v>
      </c>
    </row>
    <row r="1033">
      <c r="A1033" t="inlineStr">
        <is>
          <t>SIMULATED Food Waste Remote Study</t>
        </is>
      </c>
      <c r="B1033" t="inlineStr">
        <is>
          <t>RESP0149</t>
        </is>
      </c>
      <c r="C1033" t="inlineStr">
        <is>
          <t>Stimulus</t>
        </is>
      </c>
      <c r="D1033" t="inlineStr">
        <is>
          <t>foodwaste_narrative</t>
        </is>
      </c>
      <c r="E1033" t="n">
        <v>60</v>
      </c>
      <c r="F1033" t="inlineStr">
        <is>
          <t>Joy</t>
        </is>
      </c>
      <c r="G1033" t="n">
        <v>50</v>
      </c>
      <c r="H1033" t="n">
        <v>0</v>
      </c>
      <c r="I1033" t="n">
        <v>0</v>
      </c>
      <c r="J1033" t="inlineStr">
        <is>
          <t>NA</t>
        </is>
      </c>
      <c r="K1033" t="n">
        <v>93.5</v>
      </c>
    </row>
    <row r="1034">
      <c r="A1034" t="inlineStr">
        <is>
          <t>SIMULATED Food Waste Remote Study</t>
        </is>
      </c>
      <c r="B1034" t="inlineStr">
        <is>
          <t>RESP0149</t>
        </is>
      </c>
      <c r="C1034" t="inlineStr">
        <is>
          <t>Stimulus</t>
        </is>
      </c>
      <c r="D1034" t="inlineStr">
        <is>
          <t>foodwaste_narrative</t>
        </is>
      </c>
      <c r="E1034" t="n">
        <v>60</v>
      </c>
      <c r="F1034" t="inlineStr">
        <is>
          <t>Brow Furrow</t>
        </is>
      </c>
      <c r="G1034" t="n">
        <v>50</v>
      </c>
      <c r="H1034" t="n">
        <v>16.89</v>
      </c>
      <c r="I1034" t="n">
        <v>4</v>
      </c>
      <c r="J1034" t="inlineStr">
        <is>
          <t>NA</t>
        </is>
      </c>
      <c r="K1034" t="n">
        <v>93.5</v>
      </c>
    </row>
    <row r="1035">
      <c r="A1035" t="inlineStr">
        <is>
          <t>SIMULATED Food Waste Remote Study</t>
        </is>
      </c>
      <c r="B1035" t="inlineStr">
        <is>
          <t>RESP0149</t>
        </is>
      </c>
      <c r="C1035" t="inlineStr">
        <is>
          <t>Stimulus</t>
        </is>
      </c>
      <c r="D1035" t="inlineStr">
        <is>
          <t>foodwaste_narrative</t>
        </is>
      </c>
      <c r="E1035" t="n">
        <v>60</v>
      </c>
      <c r="F1035" t="inlineStr">
        <is>
          <t>Positive Valence</t>
        </is>
      </c>
      <c r="G1035" t="n">
        <v>50</v>
      </c>
      <c r="H1035" t="n">
        <v>2.83</v>
      </c>
      <c r="I1035" t="n">
        <v>1</v>
      </c>
      <c r="J1035" t="inlineStr">
        <is>
          <t>NA</t>
        </is>
      </c>
      <c r="K1035" t="n">
        <v>93.5</v>
      </c>
    </row>
    <row r="1036">
      <c r="A1036" t="inlineStr">
        <is>
          <t>SIMULATED Food Waste Remote Study</t>
        </is>
      </c>
      <c r="B1036" t="inlineStr">
        <is>
          <t>RESP0149</t>
        </is>
      </c>
      <c r="C1036" t="inlineStr">
        <is>
          <t>Stimulus</t>
        </is>
      </c>
      <c r="D1036" t="inlineStr">
        <is>
          <t>foodwaste_narrative</t>
        </is>
      </c>
      <c r="E1036" t="n">
        <v>60</v>
      </c>
      <c r="F1036" t="inlineStr">
        <is>
          <t>Negative Valence</t>
        </is>
      </c>
      <c r="G1036" t="n">
        <v>-50</v>
      </c>
      <c r="H1036" t="n">
        <v>5.89</v>
      </c>
      <c r="I1036" t="n">
        <v>3</v>
      </c>
      <c r="J1036" t="inlineStr">
        <is>
          <t>NA</t>
        </is>
      </c>
      <c r="K1036" t="n">
        <v>93.5</v>
      </c>
    </row>
    <row r="1037">
      <c r="A1037" t="inlineStr">
        <is>
          <t>SIMULATED Food Waste Remote Study</t>
        </is>
      </c>
      <c r="B1037" t="inlineStr">
        <is>
          <t>RESP0149</t>
        </is>
      </c>
      <c r="C1037" t="inlineStr">
        <is>
          <t>Stimulus</t>
        </is>
      </c>
      <c r="D1037" t="inlineStr">
        <is>
          <t>foodwaste_visual</t>
        </is>
      </c>
      <c r="E1037" t="n">
        <v>62</v>
      </c>
      <c r="F1037" t="inlineStr">
        <is>
          <t>Engagement</t>
        </is>
      </c>
      <c r="G1037" t="n">
        <v>50</v>
      </c>
      <c r="H1037" t="n">
        <v>54.68</v>
      </c>
      <c r="I1037" t="n">
        <v>16</v>
      </c>
      <c r="J1037" t="inlineStr">
        <is>
          <t>NA</t>
        </is>
      </c>
      <c r="K1037" t="n">
        <v>94.8</v>
      </c>
    </row>
    <row r="1038">
      <c r="A1038" t="inlineStr">
        <is>
          <t>SIMULATED Food Waste Remote Study</t>
        </is>
      </c>
      <c r="B1038" t="inlineStr">
        <is>
          <t>RESP0149</t>
        </is>
      </c>
      <c r="C1038" t="inlineStr">
        <is>
          <t>Stimulus</t>
        </is>
      </c>
      <c r="D1038" t="inlineStr">
        <is>
          <t>foodwaste_visual</t>
        </is>
      </c>
      <c r="E1038" t="n">
        <v>62</v>
      </c>
      <c r="F1038" t="inlineStr">
        <is>
          <t>Joy</t>
        </is>
      </c>
      <c r="G1038" t="n">
        <v>50</v>
      </c>
      <c r="H1038" t="n">
        <v>1.88</v>
      </c>
      <c r="I1038" t="n">
        <v>2</v>
      </c>
      <c r="J1038" t="inlineStr">
        <is>
          <t>NA</t>
        </is>
      </c>
      <c r="K1038" t="n">
        <v>94.8</v>
      </c>
    </row>
    <row r="1039">
      <c r="A1039" t="inlineStr">
        <is>
          <t>SIMULATED Food Waste Remote Study</t>
        </is>
      </c>
      <c r="B1039" t="inlineStr">
        <is>
          <t>RESP0149</t>
        </is>
      </c>
      <c r="C1039" t="inlineStr">
        <is>
          <t>Stimulus</t>
        </is>
      </c>
      <c r="D1039" t="inlineStr">
        <is>
          <t>foodwaste_visual</t>
        </is>
      </c>
      <c r="E1039" t="n">
        <v>62</v>
      </c>
      <c r="F1039" t="inlineStr">
        <is>
          <t>Brow Furrow</t>
        </is>
      </c>
      <c r="G1039" t="n">
        <v>50</v>
      </c>
      <c r="H1039" t="n">
        <v>34.14</v>
      </c>
      <c r="I1039" t="n">
        <v>6</v>
      </c>
      <c r="J1039" t="inlineStr">
        <is>
          <t>NA</t>
        </is>
      </c>
      <c r="K1039" t="n">
        <v>94.8</v>
      </c>
    </row>
    <row r="1040">
      <c r="A1040" t="inlineStr">
        <is>
          <t>SIMULATED Food Waste Remote Study</t>
        </is>
      </c>
      <c r="B1040" t="inlineStr">
        <is>
          <t>RESP0149</t>
        </is>
      </c>
      <c r="C1040" t="inlineStr">
        <is>
          <t>Stimulus</t>
        </is>
      </c>
      <c r="D1040" t="inlineStr">
        <is>
          <t>foodwaste_visual</t>
        </is>
      </c>
      <c r="E1040" t="n">
        <v>62</v>
      </c>
      <c r="F1040" t="inlineStr">
        <is>
          <t>Positive Valence</t>
        </is>
      </c>
      <c r="G1040" t="n">
        <v>50</v>
      </c>
      <c r="H1040" t="n">
        <v>0</v>
      </c>
      <c r="I1040" t="n">
        <v>0</v>
      </c>
      <c r="J1040" t="inlineStr">
        <is>
          <t>NA</t>
        </is>
      </c>
      <c r="K1040" t="n">
        <v>94.8</v>
      </c>
    </row>
    <row r="1041">
      <c r="A1041" t="inlineStr">
        <is>
          <t>SIMULATED Food Waste Remote Study</t>
        </is>
      </c>
      <c r="B1041" t="inlineStr">
        <is>
          <t>RESP0149</t>
        </is>
      </c>
      <c r="C1041" t="inlineStr">
        <is>
          <t>Stimulus</t>
        </is>
      </c>
      <c r="D1041" t="inlineStr">
        <is>
          <t>foodwaste_visual</t>
        </is>
      </c>
      <c r="E1041" t="n">
        <v>62</v>
      </c>
      <c r="F1041" t="inlineStr">
        <is>
          <t>Negative Valence</t>
        </is>
      </c>
      <c r="G1041" t="n">
        <v>-50</v>
      </c>
      <c r="H1041" t="n">
        <v>12.04</v>
      </c>
      <c r="I1041" t="n">
        <v>5</v>
      </c>
      <c r="J1041" t="inlineStr">
        <is>
          <t>NA</t>
        </is>
      </c>
      <c r="K1041" t="n">
        <v>94.8</v>
      </c>
    </row>
    <row r="1042">
      <c r="A1042" t="inlineStr">
        <is>
          <t>SIMULATED Food Waste Remote Study</t>
        </is>
      </c>
      <c r="B1042" t="inlineStr">
        <is>
          <t>RESP0150</t>
        </is>
      </c>
      <c r="C1042" t="inlineStr">
        <is>
          <t>Stimulus</t>
        </is>
      </c>
      <c r="D1042" t="inlineStr">
        <is>
          <t>foodwaste_narrative</t>
        </is>
      </c>
      <c r="E1042" t="n">
        <v>60</v>
      </c>
      <c r="F1042" t="inlineStr">
        <is>
          <t>Engagement</t>
        </is>
      </c>
      <c r="G1042" t="n">
        <v>50</v>
      </c>
      <c r="H1042" t="n">
        <v>4.39</v>
      </c>
      <c r="I1042" t="n">
        <v>3</v>
      </c>
      <c r="J1042" t="inlineStr">
        <is>
          <t>NA</t>
        </is>
      </c>
      <c r="K1042" t="n">
        <v>97.59999999999999</v>
      </c>
    </row>
    <row r="1043">
      <c r="A1043" t="inlineStr">
        <is>
          <t>SIMULATED Food Waste Remote Study</t>
        </is>
      </c>
      <c r="B1043" t="inlineStr">
        <is>
          <t>RESP0150</t>
        </is>
      </c>
      <c r="C1043" t="inlineStr">
        <is>
          <t>Stimulus</t>
        </is>
      </c>
      <c r="D1043" t="inlineStr">
        <is>
          <t>foodwaste_narrative</t>
        </is>
      </c>
      <c r="E1043" t="n">
        <v>60</v>
      </c>
      <c r="F1043" t="inlineStr">
        <is>
          <t>Joy</t>
        </is>
      </c>
      <c r="G1043" t="n">
        <v>50</v>
      </c>
      <c r="H1043" t="n">
        <v>1</v>
      </c>
      <c r="I1043" t="n">
        <v>1</v>
      </c>
      <c r="J1043" t="inlineStr">
        <is>
          <t>NA</t>
        </is>
      </c>
      <c r="K1043" t="n">
        <v>97.59999999999999</v>
      </c>
    </row>
    <row r="1044">
      <c r="A1044" t="inlineStr">
        <is>
          <t>SIMULATED Food Waste Remote Study</t>
        </is>
      </c>
      <c r="B1044" t="inlineStr">
        <is>
          <t>RESP0150</t>
        </is>
      </c>
      <c r="C1044" t="inlineStr">
        <is>
          <t>Stimulus</t>
        </is>
      </c>
      <c r="D1044" t="inlineStr">
        <is>
          <t>foodwaste_narrative</t>
        </is>
      </c>
      <c r="E1044" t="n">
        <v>60</v>
      </c>
      <c r="F1044" t="inlineStr">
        <is>
          <t>Brow Furrow</t>
        </is>
      </c>
      <c r="G1044" t="n">
        <v>50</v>
      </c>
      <c r="H1044" t="n">
        <v>0</v>
      </c>
      <c r="I1044" t="n">
        <v>0</v>
      </c>
      <c r="J1044" t="inlineStr">
        <is>
          <t>NA</t>
        </is>
      </c>
      <c r="K1044" t="n">
        <v>97.59999999999999</v>
      </c>
    </row>
    <row r="1045">
      <c r="A1045" t="inlineStr">
        <is>
          <t>SIMULATED Food Waste Remote Study</t>
        </is>
      </c>
      <c r="B1045" t="inlineStr">
        <is>
          <t>RESP0150</t>
        </is>
      </c>
      <c r="C1045" t="inlineStr">
        <is>
          <t>Stimulus</t>
        </is>
      </c>
      <c r="D1045" t="inlineStr">
        <is>
          <t>foodwaste_narrative</t>
        </is>
      </c>
      <c r="E1045" t="n">
        <v>60</v>
      </c>
      <c r="F1045" t="inlineStr">
        <is>
          <t>Positive Valence</t>
        </is>
      </c>
      <c r="G1045" t="n">
        <v>50</v>
      </c>
      <c r="H1045" t="n">
        <v>7.22</v>
      </c>
      <c r="I1045" t="n">
        <v>1</v>
      </c>
      <c r="J1045" t="inlineStr">
        <is>
          <t>NA</t>
        </is>
      </c>
      <c r="K1045" t="n">
        <v>97.59999999999999</v>
      </c>
    </row>
    <row r="1046">
      <c r="A1046" t="inlineStr">
        <is>
          <t>SIMULATED Food Waste Remote Study</t>
        </is>
      </c>
      <c r="B1046" t="inlineStr">
        <is>
          <t>RESP0150</t>
        </is>
      </c>
      <c r="C1046" t="inlineStr">
        <is>
          <t>Stimulus</t>
        </is>
      </c>
      <c r="D1046" t="inlineStr">
        <is>
          <t>foodwaste_narrative</t>
        </is>
      </c>
      <c r="E1046" t="n">
        <v>60</v>
      </c>
      <c r="F1046" t="inlineStr">
        <is>
          <t>Negative Valence</t>
        </is>
      </c>
      <c r="G1046" t="n">
        <v>-50</v>
      </c>
      <c r="H1046" t="n">
        <v>0</v>
      </c>
      <c r="I1046" t="n">
        <v>0</v>
      </c>
      <c r="J1046" t="inlineStr">
        <is>
          <t>NA</t>
        </is>
      </c>
      <c r="K1046" t="n">
        <v>97.59999999999999</v>
      </c>
    </row>
    <row r="1047">
      <c r="A1047" t="inlineStr">
        <is>
          <t>SIMULATED Food Waste Remote Study</t>
        </is>
      </c>
      <c r="B1047" t="inlineStr">
        <is>
          <t>RESP0150</t>
        </is>
      </c>
      <c r="C1047" t="inlineStr">
        <is>
          <t>Stimulus</t>
        </is>
      </c>
      <c r="D1047" t="inlineStr">
        <is>
          <t>foodwaste_visual</t>
        </is>
      </c>
      <c r="E1047" t="n">
        <v>62</v>
      </c>
      <c r="F1047" t="inlineStr">
        <is>
          <t>Engagement</t>
        </is>
      </c>
      <c r="G1047" t="n">
        <v>50</v>
      </c>
      <c r="H1047" t="n">
        <v>75.11</v>
      </c>
      <c r="I1047" t="n">
        <v>31</v>
      </c>
      <c r="J1047" t="inlineStr">
        <is>
          <t>NA</t>
        </is>
      </c>
      <c r="K1047" t="n">
        <v>97.8</v>
      </c>
    </row>
    <row r="1048">
      <c r="A1048" t="inlineStr">
        <is>
          <t>SIMULATED Food Waste Remote Study</t>
        </is>
      </c>
      <c r="B1048" t="inlineStr">
        <is>
          <t>RESP0150</t>
        </is>
      </c>
      <c r="C1048" t="inlineStr">
        <is>
          <t>Stimulus</t>
        </is>
      </c>
      <c r="D1048" t="inlineStr">
        <is>
          <t>foodwaste_visual</t>
        </is>
      </c>
      <c r="E1048" t="n">
        <v>62</v>
      </c>
      <c r="F1048" t="inlineStr">
        <is>
          <t>Joy</t>
        </is>
      </c>
      <c r="G1048" t="n">
        <v>50</v>
      </c>
      <c r="H1048" t="n">
        <v>0</v>
      </c>
      <c r="I1048" t="n">
        <v>0</v>
      </c>
      <c r="J1048" t="inlineStr">
        <is>
          <t>NA</t>
        </is>
      </c>
      <c r="K1048" t="n">
        <v>97.8</v>
      </c>
    </row>
    <row r="1049">
      <c r="A1049" t="inlineStr">
        <is>
          <t>SIMULATED Food Waste Remote Study</t>
        </is>
      </c>
      <c r="B1049" t="inlineStr">
        <is>
          <t>RESP0150</t>
        </is>
      </c>
      <c r="C1049" t="inlineStr">
        <is>
          <t>Stimulus</t>
        </is>
      </c>
      <c r="D1049" t="inlineStr">
        <is>
          <t>foodwaste_visual</t>
        </is>
      </c>
      <c r="E1049" t="n">
        <v>62</v>
      </c>
      <c r="F1049" t="inlineStr">
        <is>
          <t>Brow Furrow</t>
        </is>
      </c>
      <c r="G1049" t="n">
        <v>50</v>
      </c>
      <c r="H1049" t="n">
        <v>0</v>
      </c>
      <c r="I1049" t="n">
        <v>0</v>
      </c>
      <c r="J1049" t="inlineStr">
        <is>
          <t>NA</t>
        </is>
      </c>
      <c r="K1049" t="n">
        <v>97.8</v>
      </c>
    </row>
    <row r="1050">
      <c r="A1050" t="inlineStr">
        <is>
          <t>SIMULATED Food Waste Remote Study</t>
        </is>
      </c>
      <c r="B1050" t="inlineStr">
        <is>
          <t>RESP0150</t>
        </is>
      </c>
      <c r="C1050" t="inlineStr">
        <is>
          <t>Stimulus</t>
        </is>
      </c>
      <c r="D1050" t="inlineStr">
        <is>
          <t>foodwaste_visual</t>
        </is>
      </c>
      <c r="E1050" t="n">
        <v>62</v>
      </c>
      <c r="F1050" t="inlineStr">
        <is>
          <t>Positive Valence</t>
        </is>
      </c>
      <c r="G1050" t="n">
        <v>50</v>
      </c>
      <c r="H1050" t="n">
        <v>5.22</v>
      </c>
      <c r="I1050" t="n">
        <v>3</v>
      </c>
      <c r="J1050" t="inlineStr">
        <is>
          <t>NA</t>
        </is>
      </c>
      <c r="K1050" t="n">
        <v>97.8</v>
      </c>
    </row>
    <row r="1051">
      <c r="A1051" t="inlineStr">
        <is>
          <t>SIMULATED Food Waste Remote Study</t>
        </is>
      </c>
      <c r="B1051" t="inlineStr">
        <is>
          <t>RESP0150</t>
        </is>
      </c>
      <c r="C1051" t="inlineStr">
        <is>
          <t>Stimulus</t>
        </is>
      </c>
      <c r="D1051" t="inlineStr">
        <is>
          <t>foodwaste_visual</t>
        </is>
      </c>
      <c r="E1051" t="n">
        <v>62</v>
      </c>
      <c r="F1051" t="inlineStr">
        <is>
          <t>Negative Valence</t>
        </is>
      </c>
      <c r="G1051" t="n">
        <v>-50</v>
      </c>
      <c r="H1051" t="n">
        <v>0</v>
      </c>
      <c r="I1051" t="n">
        <v>0</v>
      </c>
      <c r="J1051" t="inlineStr">
        <is>
          <t>NA</t>
        </is>
      </c>
      <c r="K1051" t="n">
        <v>97.8</v>
      </c>
    </row>
    <row r="1052">
      <c r="A1052" t="inlineStr">
        <is>
          <t>SIMULATED Food Waste Remote Study</t>
        </is>
      </c>
      <c r="B1052" t="inlineStr">
        <is>
          <t>RESP0151</t>
        </is>
      </c>
      <c r="C1052" t="inlineStr">
        <is>
          <t>Stimulus</t>
        </is>
      </c>
      <c r="D1052" t="inlineStr">
        <is>
          <t>foodwaste_narrative</t>
        </is>
      </c>
      <c r="E1052" t="n">
        <v>60</v>
      </c>
      <c r="F1052" t="inlineStr">
        <is>
          <t>Engagement</t>
        </is>
      </c>
      <c r="G1052" t="n">
        <v>50</v>
      </c>
      <c r="H1052" t="n">
        <v>8.06</v>
      </c>
      <c r="I1052" t="n">
        <v>2</v>
      </c>
      <c r="J1052" t="inlineStr">
        <is>
          <t>NA</t>
        </is>
      </c>
      <c r="K1052" t="n">
        <v>99.7</v>
      </c>
    </row>
    <row r="1053">
      <c r="A1053" t="inlineStr">
        <is>
          <t>SIMULATED Food Waste Remote Study</t>
        </is>
      </c>
      <c r="B1053" t="inlineStr">
        <is>
          <t>RESP0151</t>
        </is>
      </c>
      <c r="C1053" t="inlineStr">
        <is>
          <t>Stimulus</t>
        </is>
      </c>
      <c r="D1053" t="inlineStr">
        <is>
          <t>foodwaste_narrative</t>
        </is>
      </c>
      <c r="E1053" t="n">
        <v>60</v>
      </c>
      <c r="F1053" t="inlineStr">
        <is>
          <t>Joy</t>
        </is>
      </c>
      <c r="G1053" t="n">
        <v>50</v>
      </c>
      <c r="H1053" t="n">
        <v>1.61</v>
      </c>
      <c r="I1053" t="n">
        <v>2</v>
      </c>
      <c r="J1053" t="inlineStr">
        <is>
          <t>NA</t>
        </is>
      </c>
      <c r="K1053" t="n">
        <v>99.7</v>
      </c>
    </row>
    <row r="1054">
      <c r="A1054" t="inlineStr">
        <is>
          <t>SIMULATED Food Waste Remote Study</t>
        </is>
      </c>
      <c r="B1054" t="inlineStr">
        <is>
          <t>RESP0151</t>
        </is>
      </c>
      <c r="C1054" t="inlineStr">
        <is>
          <t>Stimulus</t>
        </is>
      </c>
      <c r="D1054" t="inlineStr">
        <is>
          <t>foodwaste_narrative</t>
        </is>
      </c>
      <c r="E1054" t="n">
        <v>60</v>
      </c>
      <c r="F1054" t="inlineStr">
        <is>
          <t>Brow Furrow</t>
        </is>
      </c>
      <c r="G1054" t="n">
        <v>50</v>
      </c>
      <c r="H1054" t="n">
        <v>33.06</v>
      </c>
      <c r="I1054" t="n">
        <v>9</v>
      </c>
      <c r="J1054" t="inlineStr">
        <is>
          <t>NA</t>
        </is>
      </c>
      <c r="K1054" t="n">
        <v>99.7</v>
      </c>
    </row>
    <row r="1055">
      <c r="A1055" t="inlineStr">
        <is>
          <t>SIMULATED Food Waste Remote Study</t>
        </is>
      </c>
      <c r="B1055" t="inlineStr">
        <is>
          <t>RESP0151</t>
        </is>
      </c>
      <c r="C1055" t="inlineStr">
        <is>
          <t>Stimulus</t>
        </is>
      </c>
      <c r="D1055" t="inlineStr">
        <is>
          <t>foodwaste_narrative</t>
        </is>
      </c>
      <c r="E1055" t="n">
        <v>60</v>
      </c>
      <c r="F1055" t="inlineStr">
        <is>
          <t>Positive Valence</t>
        </is>
      </c>
      <c r="G1055" t="n">
        <v>50</v>
      </c>
      <c r="H1055" t="n">
        <v>0</v>
      </c>
      <c r="I1055" t="n">
        <v>0</v>
      </c>
      <c r="J1055" t="inlineStr">
        <is>
          <t>NA</t>
        </is>
      </c>
      <c r="K1055" t="n">
        <v>99.7</v>
      </c>
    </row>
    <row r="1056">
      <c r="A1056" t="inlineStr">
        <is>
          <t>SIMULATED Food Waste Remote Study</t>
        </is>
      </c>
      <c r="B1056" t="inlineStr">
        <is>
          <t>RESP0151</t>
        </is>
      </c>
      <c r="C1056" t="inlineStr">
        <is>
          <t>Stimulus</t>
        </is>
      </c>
      <c r="D1056" t="inlineStr">
        <is>
          <t>foodwaste_narrative</t>
        </is>
      </c>
      <c r="E1056" t="n">
        <v>60</v>
      </c>
      <c r="F1056" t="inlineStr">
        <is>
          <t>Negative Valence</t>
        </is>
      </c>
      <c r="G1056" t="n">
        <v>-50</v>
      </c>
      <c r="H1056" t="n">
        <v>2.89</v>
      </c>
      <c r="I1056" t="n">
        <v>1</v>
      </c>
      <c r="J1056" t="inlineStr">
        <is>
          <t>NA</t>
        </is>
      </c>
      <c r="K1056" t="n">
        <v>99.7</v>
      </c>
    </row>
    <row r="1057">
      <c r="A1057" t="inlineStr">
        <is>
          <t>SIMULATED Food Waste Remote Study</t>
        </is>
      </c>
      <c r="B1057" t="inlineStr">
        <is>
          <t>RESP0151</t>
        </is>
      </c>
      <c r="C1057" t="inlineStr">
        <is>
          <t>Stimulus</t>
        </is>
      </c>
      <c r="D1057" t="inlineStr">
        <is>
          <t>foodwaste_visual</t>
        </is>
      </c>
      <c r="E1057" t="n">
        <v>62</v>
      </c>
      <c r="F1057" t="inlineStr">
        <is>
          <t>Engagement</t>
        </is>
      </c>
      <c r="G1057" t="n">
        <v>50</v>
      </c>
      <c r="H1057" t="n">
        <v>48.06</v>
      </c>
      <c r="I1057" t="n">
        <v>12</v>
      </c>
      <c r="J1057" t="inlineStr">
        <is>
          <t>NA</t>
        </is>
      </c>
      <c r="K1057" t="n">
        <v>99.7</v>
      </c>
    </row>
    <row r="1058">
      <c r="A1058" t="inlineStr">
        <is>
          <t>SIMULATED Food Waste Remote Study</t>
        </is>
      </c>
      <c r="B1058" t="inlineStr">
        <is>
          <t>RESP0151</t>
        </is>
      </c>
      <c r="C1058" t="inlineStr">
        <is>
          <t>Stimulus</t>
        </is>
      </c>
      <c r="D1058" t="inlineStr">
        <is>
          <t>foodwaste_visual</t>
        </is>
      </c>
      <c r="E1058" t="n">
        <v>62</v>
      </c>
      <c r="F1058" t="inlineStr">
        <is>
          <t>Joy</t>
        </is>
      </c>
      <c r="G1058" t="n">
        <v>50</v>
      </c>
      <c r="H1058" t="n">
        <v>7.04</v>
      </c>
      <c r="I1058" t="n">
        <v>7</v>
      </c>
      <c r="J1058" t="inlineStr">
        <is>
          <t>NA</t>
        </is>
      </c>
      <c r="K1058" t="n">
        <v>99.7</v>
      </c>
    </row>
    <row r="1059">
      <c r="A1059" t="inlineStr">
        <is>
          <t>SIMULATED Food Waste Remote Study</t>
        </is>
      </c>
      <c r="B1059" t="inlineStr">
        <is>
          <t>RESP0151</t>
        </is>
      </c>
      <c r="C1059" t="inlineStr">
        <is>
          <t>Stimulus</t>
        </is>
      </c>
      <c r="D1059" t="inlineStr">
        <is>
          <t>foodwaste_visual</t>
        </is>
      </c>
      <c r="E1059" t="n">
        <v>62</v>
      </c>
      <c r="F1059" t="inlineStr">
        <is>
          <t>Brow Furrow</t>
        </is>
      </c>
      <c r="G1059" t="n">
        <v>50</v>
      </c>
      <c r="H1059" t="n">
        <v>23.17</v>
      </c>
      <c r="I1059" t="n">
        <v>6</v>
      </c>
      <c r="J1059" t="inlineStr">
        <is>
          <t>NA</t>
        </is>
      </c>
      <c r="K1059" t="n">
        <v>99.7</v>
      </c>
    </row>
    <row r="1060">
      <c r="A1060" t="inlineStr">
        <is>
          <t>SIMULATED Food Waste Remote Study</t>
        </is>
      </c>
      <c r="B1060" t="inlineStr">
        <is>
          <t>RESP0151</t>
        </is>
      </c>
      <c r="C1060" t="inlineStr">
        <is>
          <t>Stimulus</t>
        </is>
      </c>
      <c r="D1060" t="inlineStr">
        <is>
          <t>foodwaste_visual</t>
        </is>
      </c>
      <c r="E1060" t="n">
        <v>62</v>
      </c>
      <c r="F1060" t="inlineStr">
        <is>
          <t>Positive Valence</t>
        </is>
      </c>
      <c r="G1060" t="n">
        <v>50</v>
      </c>
      <c r="H1060" t="n">
        <v>24.46</v>
      </c>
      <c r="I1060" t="n">
        <v>11</v>
      </c>
      <c r="J1060" t="inlineStr">
        <is>
          <t>NA</t>
        </is>
      </c>
      <c r="K1060" t="n">
        <v>99.7</v>
      </c>
    </row>
    <row r="1061">
      <c r="A1061" t="inlineStr">
        <is>
          <t>SIMULATED Food Waste Remote Study</t>
        </is>
      </c>
      <c r="B1061" t="inlineStr">
        <is>
          <t>RESP0151</t>
        </is>
      </c>
      <c r="C1061" t="inlineStr">
        <is>
          <t>Stimulus</t>
        </is>
      </c>
      <c r="D1061" t="inlineStr">
        <is>
          <t>foodwaste_visual</t>
        </is>
      </c>
      <c r="E1061" t="n">
        <v>62</v>
      </c>
      <c r="F1061" t="inlineStr">
        <is>
          <t>Negative Valence</t>
        </is>
      </c>
      <c r="G1061" t="n">
        <v>-50</v>
      </c>
      <c r="H1061" t="n">
        <v>7.69</v>
      </c>
      <c r="I1061" t="n">
        <v>4</v>
      </c>
      <c r="J1061" t="inlineStr">
        <is>
          <t>NA</t>
        </is>
      </c>
      <c r="K1061" t="n">
        <v>99.7</v>
      </c>
    </row>
    <row r="1062">
      <c r="A1062" t="inlineStr">
        <is>
          <t>SIMULATED Food Waste Remote Study</t>
        </is>
      </c>
      <c r="B1062" t="inlineStr">
        <is>
          <t>RESP0154</t>
        </is>
      </c>
      <c r="C1062" t="inlineStr">
        <is>
          <t>Stimulus</t>
        </is>
      </c>
      <c r="D1062" t="inlineStr">
        <is>
          <t>foodwaste_narrative</t>
        </is>
      </c>
      <c r="E1062" t="n">
        <v>60</v>
      </c>
      <c r="F1062" t="inlineStr">
        <is>
          <t>Engagement</t>
        </is>
      </c>
      <c r="G1062" t="n">
        <v>50</v>
      </c>
      <c r="H1062" t="n">
        <v>61.56</v>
      </c>
      <c r="I1062" t="n">
        <v>13</v>
      </c>
      <c r="J1062" t="inlineStr">
        <is>
          <t>NA</t>
        </is>
      </c>
      <c r="K1062" t="n">
        <v>98.8</v>
      </c>
    </row>
    <row r="1063">
      <c r="A1063" t="inlineStr">
        <is>
          <t>SIMULATED Food Waste Remote Study</t>
        </is>
      </c>
      <c r="B1063" t="inlineStr">
        <is>
          <t>RESP0154</t>
        </is>
      </c>
      <c r="C1063" t="inlineStr">
        <is>
          <t>Stimulus</t>
        </is>
      </c>
      <c r="D1063" t="inlineStr">
        <is>
          <t>foodwaste_narrative</t>
        </is>
      </c>
      <c r="E1063" t="n">
        <v>60</v>
      </c>
      <c r="F1063" t="inlineStr">
        <is>
          <t>Joy</t>
        </is>
      </c>
      <c r="G1063" t="n">
        <v>50</v>
      </c>
      <c r="H1063" t="n">
        <v>0</v>
      </c>
      <c r="I1063" t="n">
        <v>0</v>
      </c>
      <c r="J1063" t="inlineStr">
        <is>
          <t>NA</t>
        </is>
      </c>
      <c r="K1063" t="n">
        <v>98.8</v>
      </c>
    </row>
    <row r="1064">
      <c r="A1064" t="inlineStr">
        <is>
          <t>SIMULATED Food Waste Remote Study</t>
        </is>
      </c>
      <c r="B1064" t="inlineStr">
        <is>
          <t>RESP0154</t>
        </is>
      </c>
      <c r="C1064" t="inlineStr">
        <is>
          <t>Stimulus</t>
        </is>
      </c>
      <c r="D1064" t="inlineStr">
        <is>
          <t>foodwaste_narrative</t>
        </is>
      </c>
      <c r="E1064" t="n">
        <v>60</v>
      </c>
      <c r="F1064" t="inlineStr">
        <is>
          <t>Brow Furrow</t>
        </is>
      </c>
      <c r="G1064" t="n">
        <v>50</v>
      </c>
      <c r="H1064" t="n">
        <v>0.17</v>
      </c>
      <c r="I1064" t="n">
        <v>1</v>
      </c>
      <c r="J1064" t="inlineStr">
        <is>
          <t>NA</t>
        </is>
      </c>
      <c r="K1064" t="n">
        <v>98.8</v>
      </c>
    </row>
    <row r="1065">
      <c r="A1065" t="inlineStr">
        <is>
          <t>SIMULATED Food Waste Remote Study</t>
        </is>
      </c>
      <c r="B1065" t="inlineStr">
        <is>
          <t>RESP0154</t>
        </is>
      </c>
      <c r="C1065" t="inlineStr">
        <is>
          <t>Stimulus</t>
        </is>
      </c>
      <c r="D1065" t="inlineStr">
        <is>
          <t>foodwaste_narrative</t>
        </is>
      </c>
      <c r="E1065" t="n">
        <v>60</v>
      </c>
      <c r="F1065" t="inlineStr">
        <is>
          <t>Positive Valence</t>
        </is>
      </c>
      <c r="G1065" t="n">
        <v>50</v>
      </c>
      <c r="H1065" t="n">
        <v>0.5600000000000001</v>
      </c>
      <c r="I1065" t="n">
        <v>1</v>
      </c>
      <c r="J1065" t="inlineStr">
        <is>
          <t>NA</t>
        </is>
      </c>
      <c r="K1065" t="n">
        <v>98.8</v>
      </c>
    </row>
    <row r="1066">
      <c r="A1066" t="inlineStr">
        <is>
          <t>SIMULATED Food Waste Remote Study</t>
        </is>
      </c>
      <c r="B1066" t="inlineStr">
        <is>
          <t>RESP0154</t>
        </is>
      </c>
      <c r="C1066" t="inlineStr">
        <is>
          <t>Stimulus</t>
        </is>
      </c>
      <c r="D1066" t="inlineStr">
        <is>
          <t>foodwaste_narrative</t>
        </is>
      </c>
      <c r="E1066" t="n">
        <v>60</v>
      </c>
      <c r="F1066" t="inlineStr">
        <is>
          <t>Negative Valence</t>
        </is>
      </c>
      <c r="G1066" t="n">
        <v>-50</v>
      </c>
      <c r="H1066" t="n">
        <v>2.39</v>
      </c>
      <c r="I1066" t="n">
        <v>1</v>
      </c>
      <c r="J1066" t="inlineStr">
        <is>
          <t>NA</t>
        </is>
      </c>
      <c r="K1066" t="n">
        <v>98.8</v>
      </c>
    </row>
    <row r="1067">
      <c r="A1067" t="inlineStr">
        <is>
          <t>SIMULATED Food Waste Remote Study</t>
        </is>
      </c>
      <c r="B1067" t="inlineStr">
        <is>
          <t>RESP0154</t>
        </is>
      </c>
      <c r="C1067" t="inlineStr">
        <is>
          <t>Stimulus</t>
        </is>
      </c>
      <c r="D1067" t="inlineStr">
        <is>
          <t>foodwaste_visual</t>
        </is>
      </c>
      <c r="E1067" t="n">
        <v>62</v>
      </c>
      <c r="F1067" t="inlineStr">
        <is>
          <t>Engagement</t>
        </is>
      </c>
      <c r="G1067" t="n">
        <v>50</v>
      </c>
      <c r="H1067" t="n">
        <v>33.98</v>
      </c>
      <c r="I1067" t="n">
        <v>5</v>
      </c>
      <c r="J1067" t="inlineStr">
        <is>
          <t>NA</t>
        </is>
      </c>
      <c r="K1067" t="n">
        <v>98.2</v>
      </c>
    </row>
    <row r="1068">
      <c r="A1068" t="inlineStr">
        <is>
          <t>SIMULATED Food Waste Remote Study</t>
        </is>
      </c>
      <c r="B1068" t="inlineStr">
        <is>
          <t>RESP0154</t>
        </is>
      </c>
      <c r="C1068" t="inlineStr">
        <is>
          <t>Stimulus</t>
        </is>
      </c>
      <c r="D1068" t="inlineStr">
        <is>
          <t>foodwaste_visual</t>
        </is>
      </c>
      <c r="E1068" t="n">
        <v>62</v>
      </c>
      <c r="F1068" t="inlineStr">
        <is>
          <t>Joy</t>
        </is>
      </c>
      <c r="G1068" t="n">
        <v>50</v>
      </c>
      <c r="H1068" t="n">
        <v>0</v>
      </c>
      <c r="I1068" t="n">
        <v>0</v>
      </c>
      <c r="J1068" t="inlineStr">
        <is>
          <t>NA</t>
        </is>
      </c>
      <c r="K1068" t="n">
        <v>98.2</v>
      </c>
    </row>
    <row r="1069">
      <c r="A1069" t="inlineStr">
        <is>
          <t>SIMULATED Food Waste Remote Study</t>
        </is>
      </c>
      <c r="B1069" t="inlineStr">
        <is>
          <t>RESP0154</t>
        </is>
      </c>
      <c r="C1069" t="inlineStr">
        <is>
          <t>Stimulus</t>
        </is>
      </c>
      <c r="D1069" t="inlineStr">
        <is>
          <t>foodwaste_visual</t>
        </is>
      </c>
      <c r="E1069" t="n">
        <v>62</v>
      </c>
      <c r="F1069" t="inlineStr">
        <is>
          <t>Brow Furrow</t>
        </is>
      </c>
      <c r="G1069" t="n">
        <v>50</v>
      </c>
      <c r="H1069" t="n">
        <v>0</v>
      </c>
      <c r="I1069" t="n">
        <v>0</v>
      </c>
      <c r="J1069" t="inlineStr">
        <is>
          <t>NA</t>
        </is>
      </c>
      <c r="K1069" t="n">
        <v>98.2</v>
      </c>
    </row>
    <row r="1070">
      <c r="A1070" t="inlineStr">
        <is>
          <t>SIMULATED Food Waste Remote Study</t>
        </is>
      </c>
      <c r="B1070" t="inlineStr">
        <is>
          <t>RESP0154</t>
        </is>
      </c>
      <c r="C1070" t="inlineStr">
        <is>
          <t>Stimulus</t>
        </is>
      </c>
      <c r="D1070" t="inlineStr">
        <is>
          <t>foodwaste_visual</t>
        </is>
      </c>
      <c r="E1070" t="n">
        <v>62</v>
      </c>
      <c r="F1070" t="inlineStr">
        <is>
          <t>Positive Valence</t>
        </is>
      </c>
      <c r="G1070" t="n">
        <v>50</v>
      </c>
      <c r="H1070" t="n">
        <v>20.05</v>
      </c>
      <c r="I1070" t="n">
        <v>4</v>
      </c>
      <c r="J1070" t="inlineStr">
        <is>
          <t>NA</t>
        </is>
      </c>
      <c r="K1070" t="n">
        <v>98.2</v>
      </c>
    </row>
    <row r="1071">
      <c r="A1071" t="inlineStr">
        <is>
          <t>SIMULATED Food Waste Remote Study</t>
        </is>
      </c>
      <c r="B1071" t="inlineStr">
        <is>
          <t>RESP0154</t>
        </is>
      </c>
      <c r="C1071" t="inlineStr">
        <is>
          <t>Stimulus</t>
        </is>
      </c>
      <c r="D1071" t="inlineStr">
        <is>
          <t>foodwaste_visual</t>
        </is>
      </c>
      <c r="E1071" t="n">
        <v>62</v>
      </c>
      <c r="F1071" t="inlineStr">
        <is>
          <t>Negative Valence</t>
        </is>
      </c>
      <c r="G1071" t="n">
        <v>-50</v>
      </c>
      <c r="H1071" t="n">
        <v>2.63</v>
      </c>
      <c r="I1071" t="n">
        <v>1</v>
      </c>
      <c r="J1071" t="inlineStr">
        <is>
          <t>NA</t>
        </is>
      </c>
      <c r="K1071" t="n">
        <v>98.2</v>
      </c>
    </row>
    <row r="1072">
      <c r="A1072" t="inlineStr">
        <is>
          <t>SIMULATED Food Waste Remote Study</t>
        </is>
      </c>
      <c r="B1072" t="inlineStr">
        <is>
          <t>RESP0155</t>
        </is>
      </c>
      <c r="C1072" t="inlineStr">
        <is>
          <t>Stimulus</t>
        </is>
      </c>
      <c r="D1072" t="inlineStr">
        <is>
          <t>foodwaste_narrative</t>
        </is>
      </c>
      <c r="E1072" t="n">
        <v>60</v>
      </c>
      <c r="F1072" t="inlineStr">
        <is>
          <t>Engagement</t>
        </is>
      </c>
      <c r="G1072" t="n">
        <v>50</v>
      </c>
      <c r="H1072" t="n">
        <v>8.890000000000001</v>
      </c>
      <c r="I1072" t="n">
        <v>7</v>
      </c>
      <c r="J1072" t="inlineStr">
        <is>
          <t>NA</t>
        </is>
      </c>
      <c r="K1072" t="n">
        <v>98.40000000000001</v>
      </c>
    </row>
    <row r="1073">
      <c r="A1073" t="inlineStr">
        <is>
          <t>SIMULATED Food Waste Remote Study</t>
        </is>
      </c>
      <c r="B1073" t="inlineStr">
        <is>
          <t>RESP0155</t>
        </is>
      </c>
      <c r="C1073" t="inlineStr">
        <is>
          <t>Stimulus</t>
        </is>
      </c>
      <c r="D1073" t="inlineStr">
        <is>
          <t>foodwaste_narrative</t>
        </is>
      </c>
      <c r="E1073" t="n">
        <v>60</v>
      </c>
      <c r="F1073" t="inlineStr">
        <is>
          <t>Joy</t>
        </is>
      </c>
      <c r="G1073" t="n">
        <v>50</v>
      </c>
      <c r="H1073" t="n">
        <v>8.67</v>
      </c>
      <c r="I1073" t="n">
        <v>2</v>
      </c>
      <c r="J1073" t="inlineStr">
        <is>
          <t>NA</t>
        </is>
      </c>
      <c r="K1073" t="n">
        <v>98.40000000000001</v>
      </c>
    </row>
    <row r="1074">
      <c r="A1074" t="inlineStr">
        <is>
          <t>SIMULATED Food Waste Remote Study</t>
        </is>
      </c>
      <c r="B1074" t="inlineStr">
        <is>
          <t>RESP0155</t>
        </is>
      </c>
      <c r="C1074" t="inlineStr">
        <is>
          <t>Stimulus</t>
        </is>
      </c>
      <c r="D1074" t="inlineStr">
        <is>
          <t>foodwaste_narrative</t>
        </is>
      </c>
      <c r="E1074" t="n">
        <v>60</v>
      </c>
      <c r="F1074" t="inlineStr">
        <is>
          <t>Brow Furrow</t>
        </is>
      </c>
      <c r="G1074" t="n">
        <v>50</v>
      </c>
      <c r="H1074" t="n">
        <v>0</v>
      </c>
      <c r="I1074" t="n">
        <v>0</v>
      </c>
      <c r="J1074" t="inlineStr">
        <is>
          <t>NA</t>
        </is>
      </c>
      <c r="K1074" t="n">
        <v>98.40000000000001</v>
      </c>
    </row>
    <row r="1075">
      <c r="A1075" t="inlineStr">
        <is>
          <t>SIMULATED Food Waste Remote Study</t>
        </is>
      </c>
      <c r="B1075" t="inlineStr">
        <is>
          <t>RESP0155</t>
        </is>
      </c>
      <c r="C1075" t="inlineStr">
        <is>
          <t>Stimulus</t>
        </is>
      </c>
      <c r="D1075" t="inlineStr">
        <is>
          <t>foodwaste_narrative</t>
        </is>
      </c>
      <c r="E1075" t="n">
        <v>60</v>
      </c>
      <c r="F1075" t="inlineStr">
        <is>
          <t>Positive Valence</t>
        </is>
      </c>
      <c r="G1075" t="n">
        <v>50</v>
      </c>
      <c r="H1075" t="n">
        <v>4.56</v>
      </c>
      <c r="I1075" t="n">
        <v>1</v>
      </c>
      <c r="J1075" t="inlineStr">
        <is>
          <t>NA</t>
        </is>
      </c>
      <c r="K1075" t="n">
        <v>98.40000000000001</v>
      </c>
    </row>
    <row r="1076">
      <c r="A1076" t="inlineStr">
        <is>
          <t>SIMULATED Food Waste Remote Study</t>
        </is>
      </c>
      <c r="B1076" t="inlineStr">
        <is>
          <t>RESP0155</t>
        </is>
      </c>
      <c r="C1076" t="inlineStr">
        <is>
          <t>Stimulus</t>
        </is>
      </c>
      <c r="D1076" t="inlineStr">
        <is>
          <t>foodwaste_narrative</t>
        </is>
      </c>
      <c r="E1076" t="n">
        <v>60</v>
      </c>
      <c r="F1076" t="inlineStr">
        <is>
          <t>Negative Valence</t>
        </is>
      </c>
      <c r="G1076" t="n">
        <v>-50</v>
      </c>
      <c r="H1076" t="n">
        <v>0</v>
      </c>
      <c r="I1076" t="n">
        <v>0</v>
      </c>
      <c r="J1076" t="inlineStr">
        <is>
          <t>NA</t>
        </is>
      </c>
      <c r="K1076" t="n">
        <v>98.40000000000001</v>
      </c>
    </row>
    <row r="1077">
      <c r="A1077" t="inlineStr">
        <is>
          <t>SIMULATED Food Waste Remote Study</t>
        </is>
      </c>
      <c r="B1077" t="inlineStr">
        <is>
          <t>RESP0155</t>
        </is>
      </c>
      <c r="C1077" t="inlineStr">
        <is>
          <t>Stimulus</t>
        </is>
      </c>
      <c r="D1077" t="inlineStr">
        <is>
          <t>foodwaste_visual</t>
        </is>
      </c>
      <c r="E1077" t="n">
        <v>62</v>
      </c>
      <c r="F1077" t="inlineStr">
        <is>
          <t>Engagement</t>
        </is>
      </c>
      <c r="G1077" t="n">
        <v>50</v>
      </c>
      <c r="H1077" t="n">
        <v>16.02</v>
      </c>
      <c r="I1077" t="n">
        <v>2</v>
      </c>
      <c r="J1077" t="inlineStr">
        <is>
          <t>NA</t>
        </is>
      </c>
      <c r="K1077" t="n">
        <v>97.7</v>
      </c>
    </row>
    <row r="1078">
      <c r="A1078" t="inlineStr">
        <is>
          <t>SIMULATED Food Waste Remote Study</t>
        </is>
      </c>
      <c r="B1078" t="inlineStr">
        <is>
          <t>RESP0155</t>
        </is>
      </c>
      <c r="C1078" t="inlineStr">
        <is>
          <t>Stimulus</t>
        </is>
      </c>
      <c r="D1078" t="inlineStr">
        <is>
          <t>foodwaste_visual</t>
        </is>
      </c>
      <c r="E1078" t="n">
        <v>62</v>
      </c>
      <c r="F1078" t="inlineStr">
        <is>
          <t>Joy</t>
        </is>
      </c>
      <c r="G1078" t="n">
        <v>50</v>
      </c>
      <c r="H1078" t="n">
        <v>10.43</v>
      </c>
      <c r="I1078" t="n">
        <v>3</v>
      </c>
      <c r="J1078" t="inlineStr">
        <is>
          <t>NA</t>
        </is>
      </c>
      <c r="K1078" t="n">
        <v>97.7</v>
      </c>
    </row>
    <row r="1079">
      <c r="A1079" t="inlineStr">
        <is>
          <t>SIMULATED Food Waste Remote Study</t>
        </is>
      </c>
      <c r="B1079" t="inlineStr">
        <is>
          <t>RESP0155</t>
        </is>
      </c>
      <c r="C1079" t="inlineStr">
        <is>
          <t>Stimulus</t>
        </is>
      </c>
      <c r="D1079" t="inlineStr">
        <is>
          <t>foodwaste_visual</t>
        </is>
      </c>
      <c r="E1079" t="n">
        <v>62</v>
      </c>
      <c r="F1079" t="inlineStr">
        <is>
          <t>Brow Furrow</t>
        </is>
      </c>
      <c r="G1079" t="n">
        <v>50</v>
      </c>
      <c r="H1079" t="n">
        <v>4.3</v>
      </c>
      <c r="I1079" t="n">
        <v>1</v>
      </c>
      <c r="J1079" t="inlineStr">
        <is>
          <t>NA</t>
        </is>
      </c>
      <c r="K1079" t="n">
        <v>97.7</v>
      </c>
    </row>
    <row r="1080">
      <c r="A1080" t="inlineStr">
        <is>
          <t>SIMULATED Food Waste Remote Study</t>
        </is>
      </c>
      <c r="B1080" t="inlineStr">
        <is>
          <t>RESP0155</t>
        </is>
      </c>
      <c r="C1080" t="inlineStr">
        <is>
          <t>Stimulus</t>
        </is>
      </c>
      <c r="D1080" t="inlineStr">
        <is>
          <t>foodwaste_visual</t>
        </is>
      </c>
      <c r="E1080" t="n">
        <v>62</v>
      </c>
      <c r="F1080" t="inlineStr">
        <is>
          <t>Positive Valence</t>
        </is>
      </c>
      <c r="G1080" t="n">
        <v>50</v>
      </c>
      <c r="H1080" t="n">
        <v>6.08</v>
      </c>
      <c r="I1080" t="n">
        <v>1</v>
      </c>
      <c r="J1080" t="inlineStr">
        <is>
          <t>NA</t>
        </is>
      </c>
      <c r="K1080" t="n">
        <v>97.7</v>
      </c>
    </row>
    <row r="1081">
      <c r="A1081" t="inlineStr">
        <is>
          <t>SIMULATED Food Waste Remote Study</t>
        </is>
      </c>
      <c r="B1081" t="inlineStr">
        <is>
          <t>RESP0155</t>
        </is>
      </c>
      <c r="C1081" t="inlineStr">
        <is>
          <t>Stimulus</t>
        </is>
      </c>
      <c r="D1081" t="inlineStr">
        <is>
          <t>foodwaste_visual</t>
        </is>
      </c>
      <c r="E1081" t="n">
        <v>62</v>
      </c>
      <c r="F1081" t="inlineStr">
        <is>
          <t>Negative Valence</t>
        </is>
      </c>
      <c r="G1081" t="n">
        <v>-50</v>
      </c>
      <c r="H1081" t="n">
        <v>0</v>
      </c>
      <c r="I1081" t="n">
        <v>0</v>
      </c>
      <c r="J1081" t="inlineStr">
        <is>
          <t>NA</t>
        </is>
      </c>
      <c r="K1081" t="n">
        <v>97.7</v>
      </c>
    </row>
    <row r="1082">
      <c r="A1082" t="inlineStr">
        <is>
          <t>SIMULATED Food Waste Remote Study</t>
        </is>
      </c>
      <c r="B1082" t="inlineStr">
        <is>
          <t>RESP0157</t>
        </is>
      </c>
      <c r="C1082" t="inlineStr">
        <is>
          <t>Stimulus</t>
        </is>
      </c>
      <c r="D1082" t="inlineStr">
        <is>
          <t>foodwaste_narrative</t>
        </is>
      </c>
      <c r="E1082" t="n">
        <v>60</v>
      </c>
      <c r="F1082" t="inlineStr">
        <is>
          <t>Engagement</t>
        </is>
      </c>
      <c r="G1082" t="n">
        <v>50</v>
      </c>
      <c r="H1082" t="n">
        <v>38.89</v>
      </c>
      <c r="I1082" t="n">
        <v>6</v>
      </c>
      <c r="J1082" t="inlineStr">
        <is>
          <t>NA</t>
        </is>
      </c>
      <c r="K1082" t="n">
        <v>78.59999999999999</v>
      </c>
    </row>
    <row r="1083">
      <c r="A1083" t="inlineStr">
        <is>
          <t>SIMULATED Food Waste Remote Study</t>
        </is>
      </c>
      <c r="B1083" t="inlineStr">
        <is>
          <t>RESP0157</t>
        </is>
      </c>
      <c r="C1083" t="inlineStr">
        <is>
          <t>Stimulus</t>
        </is>
      </c>
      <c r="D1083" t="inlineStr">
        <is>
          <t>foodwaste_narrative</t>
        </is>
      </c>
      <c r="E1083" t="n">
        <v>60</v>
      </c>
      <c r="F1083" t="inlineStr">
        <is>
          <t>Joy</t>
        </is>
      </c>
      <c r="G1083" t="n">
        <v>50</v>
      </c>
      <c r="H1083" t="n">
        <v>0</v>
      </c>
      <c r="I1083" t="n">
        <v>0</v>
      </c>
      <c r="J1083" t="inlineStr">
        <is>
          <t>NA</t>
        </is>
      </c>
      <c r="K1083" t="n">
        <v>78.59999999999999</v>
      </c>
    </row>
    <row r="1084">
      <c r="A1084" t="inlineStr">
        <is>
          <t>SIMULATED Food Waste Remote Study</t>
        </is>
      </c>
      <c r="B1084" t="inlineStr">
        <is>
          <t>RESP0157</t>
        </is>
      </c>
      <c r="C1084" t="inlineStr">
        <is>
          <t>Stimulus</t>
        </is>
      </c>
      <c r="D1084" t="inlineStr">
        <is>
          <t>foodwaste_narrative</t>
        </is>
      </c>
      <c r="E1084" t="n">
        <v>60</v>
      </c>
      <c r="F1084" t="inlineStr">
        <is>
          <t>Brow Furrow</t>
        </is>
      </c>
      <c r="G1084" t="n">
        <v>50</v>
      </c>
      <c r="H1084" t="n">
        <v>2.17</v>
      </c>
      <c r="I1084" t="n">
        <v>1</v>
      </c>
      <c r="J1084" t="inlineStr">
        <is>
          <t>NA</t>
        </is>
      </c>
      <c r="K1084" t="n">
        <v>78.59999999999999</v>
      </c>
    </row>
    <row r="1085">
      <c r="A1085" t="inlineStr">
        <is>
          <t>SIMULATED Food Waste Remote Study</t>
        </is>
      </c>
      <c r="B1085" t="inlineStr">
        <is>
          <t>RESP0157</t>
        </is>
      </c>
      <c r="C1085" t="inlineStr">
        <is>
          <t>Stimulus</t>
        </is>
      </c>
      <c r="D1085" t="inlineStr">
        <is>
          <t>foodwaste_narrative</t>
        </is>
      </c>
      <c r="E1085" t="n">
        <v>60</v>
      </c>
      <c r="F1085" t="inlineStr">
        <is>
          <t>Positive Valence</t>
        </is>
      </c>
      <c r="G1085" t="n">
        <v>50</v>
      </c>
      <c r="H1085" t="n">
        <v>0</v>
      </c>
      <c r="I1085" t="n">
        <v>0</v>
      </c>
      <c r="J1085" t="inlineStr">
        <is>
          <t>NA</t>
        </is>
      </c>
      <c r="K1085" t="n">
        <v>78.59999999999999</v>
      </c>
    </row>
    <row r="1086">
      <c r="A1086" t="inlineStr">
        <is>
          <t>SIMULATED Food Waste Remote Study</t>
        </is>
      </c>
      <c r="B1086" t="inlineStr">
        <is>
          <t>RESP0157</t>
        </is>
      </c>
      <c r="C1086" t="inlineStr">
        <is>
          <t>Stimulus</t>
        </is>
      </c>
      <c r="D1086" t="inlineStr">
        <is>
          <t>foodwaste_narrative</t>
        </is>
      </c>
      <c r="E1086" t="n">
        <v>60</v>
      </c>
      <c r="F1086" t="inlineStr">
        <is>
          <t>Negative Valence</t>
        </is>
      </c>
      <c r="G1086" t="n">
        <v>-50</v>
      </c>
      <c r="H1086" t="n">
        <v>0</v>
      </c>
      <c r="I1086" t="n">
        <v>0</v>
      </c>
      <c r="J1086" t="inlineStr">
        <is>
          <t>NA</t>
        </is>
      </c>
      <c r="K1086" t="n">
        <v>78.59999999999999</v>
      </c>
    </row>
    <row r="1087">
      <c r="A1087" t="inlineStr">
        <is>
          <t>SIMULATED Food Waste Remote Study</t>
        </is>
      </c>
      <c r="B1087" t="inlineStr">
        <is>
          <t>RESP0157</t>
        </is>
      </c>
      <c r="C1087" t="inlineStr">
        <is>
          <t>Stimulus</t>
        </is>
      </c>
      <c r="D1087" t="inlineStr">
        <is>
          <t>foodwaste_visual</t>
        </is>
      </c>
      <c r="E1087" t="n">
        <v>62</v>
      </c>
      <c r="F1087" t="inlineStr">
        <is>
          <t>Engagement</t>
        </is>
      </c>
      <c r="G1087" t="n">
        <v>50</v>
      </c>
      <c r="H1087" t="n">
        <v>48.55</v>
      </c>
      <c r="I1087" t="n">
        <v>53</v>
      </c>
      <c r="J1087" t="inlineStr">
        <is>
          <t>NA</t>
        </is>
      </c>
      <c r="K1087" t="n">
        <v>84.09999999999999</v>
      </c>
    </row>
    <row r="1088">
      <c r="A1088" t="inlineStr">
        <is>
          <t>SIMULATED Food Waste Remote Study</t>
        </is>
      </c>
      <c r="B1088" t="inlineStr">
        <is>
          <t>RESP0157</t>
        </is>
      </c>
      <c r="C1088" t="inlineStr">
        <is>
          <t>Stimulus</t>
        </is>
      </c>
      <c r="D1088" t="inlineStr">
        <is>
          <t>foodwaste_visual</t>
        </is>
      </c>
      <c r="E1088" t="n">
        <v>62</v>
      </c>
      <c r="F1088" t="inlineStr">
        <is>
          <t>Joy</t>
        </is>
      </c>
      <c r="G1088" t="n">
        <v>50</v>
      </c>
      <c r="H1088" t="n">
        <v>3.01</v>
      </c>
      <c r="I1088" t="n">
        <v>4</v>
      </c>
      <c r="J1088" t="inlineStr">
        <is>
          <t>NA</t>
        </is>
      </c>
      <c r="K1088" t="n">
        <v>84.09999999999999</v>
      </c>
    </row>
    <row r="1089">
      <c r="A1089" t="inlineStr">
        <is>
          <t>SIMULATED Food Waste Remote Study</t>
        </is>
      </c>
      <c r="B1089" t="inlineStr">
        <is>
          <t>RESP0157</t>
        </is>
      </c>
      <c r="C1089" t="inlineStr">
        <is>
          <t>Stimulus</t>
        </is>
      </c>
      <c r="D1089" t="inlineStr">
        <is>
          <t>foodwaste_visual</t>
        </is>
      </c>
      <c r="E1089" t="n">
        <v>62</v>
      </c>
      <c r="F1089" t="inlineStr">
        <is>
          <t>Brow Furrow</t>
        </is>
      </c>
      <c r="G1089" t="n">
        <v>50</v>
      </c>
      <c r="H1089" t="n">
        <v>6.02</v>
      </c>
      <c r="I1089" t="n">
        <v>6</v>
      </c>
      <c r="J1089" t="inlineStr">
        <is>
          <t>NA</t>
        </is>
      </c>
      <c r="K1089" t="n">
        <v>84.09999999999999</v>
      </c>
    </row>
    <row r="1090">
      <c r="A1090" t="inlineStr">
        <is>
          <t>SIMULATED Food Waste Remote Study</t>
        </is>
      </c>
      <c r="B1090" t="inlineStr">
        <is>
          <t>RESP0157</t>
        </is>
      </c>
      <c r="C1090" t="inlineStr">
        <is>
          <t>Stimulus</t>
        </is>
      </c>
      <c r="D1090" t="inlineStr">
        <is>
          <t>foodwaste_visual</t>
        </is>
      </c>
      <c r="E1090" t="n">
        <v>62</v>
      </c>
      <c r="F1090" t="inlineStr">
        <is>
          <t>Positive Valence</t>
        </is>
      </c>
      <c r="G1090" t="n">
        <v>50</v>
      </c>
      <c r="H1090" t="n">
        <v>1.56</v>
      </c>
      <c r="I1090" t="n">
        <v>4</v>
      </c>
      <c r="J1090" t="inlineStr">
        <is>
          <t>NA</t>
        </is>
      </c>
      <c r="K1090" t="n">
        <v>84.09999999999999</v>
      </c>
    </row>
    <row r="1091">
      <c r="A1091" t="inlineStr">
        <is>
          <t>SIMULATED Food Waste Remote Study</t>
        </is>
      </c>
      <c r="B1091" t="inlineStr">
        <is>
          <t>RESP0157</t>
        </is>
      </c>
      <c r="C1091" t="inlineStr">
        <is>
          <t>Stimulus</t>
        </is>
      </c>
      <c r="D1091" t="inlineStr">
        <is>
          <t>foodwaste_visual</t>
        </is>
      </c>
      <c r="E1091" t="n">
        <v>62</v>
      </c>
      <c r="F1091" t="inlineStr">
        <is>
          <t>Negative Valence</t>
        </is>
      </c>
      <c r="G1091" t="n">
        <v>-50</v>
      </c>
      <c r="H1091" t="n">
        <v>0</v>
      </c>
      <c r="I1091" t="n">
        <v>0</v>
      </c>
      <c r="J1091" t="inlineStr">
        <is>
          <t>NA</t>
        </is>
      </c>
      <c r="K1091" t="n">
        <v>84.09999999999999</v>
      </c>
    </row>
    <row r="1092">
      <c r="A1092" t="inlineStr">
        <is>
          <t>SIMULATED Food Waste Remote Study</t>
        </is>
      </c>
      <c r="B1092" t="inlineStr">
        <is>
          <t>RESP0161</t>
        </is>
      </c>
      <c r="C1092" t="inlineStr">
        <is>
          <t>Stimulus</t>
        </is>
      </c>
      <c r="D1092" t="inlineStr">
        <is>
          <t>foodwaste_narrative</t>
        </is>
      </c>
      <c r="E1092" t="n">
        <v>60</v>
      </c>
      <c r="F1092" t="inlineStr">
        <is>
          <t>Engagement</t>
        </is>
      </c>
      <c r="G1092" t="n">
        <v>50</v>
      </c>
      <c r="H1092" t="n">
        <v>2.67</v>
      </c>
      <c r="I1092" t="n">
        <v>2</v>
      </c>
      <c r="J1092" t="inlineStr">
        <is>
          <t>NA</t>
        </is>
      </c>
      <c r="K1092" t="n">
        <v>70.7</v>
      </c>
    </row>
    <row r="1093">
      <c r="A1093" t="inlineStr">
        <is>
          <t>SIMULATED Food Waste Remote Study</t>
        </is>
      </c>
      <c r="B1093" t="inlineStr">
        <is>
          <t>RESP0161</t>
        </is>
      </c>
      <c r="C1093" t="inlineStr">
        <is>
          <t>Stimulus</t>
        </is>
      </c>
      <c r="D1093" t="inlineStr">
        <is>
          <t>foodwaste_narrative</t>
        </is>
      </c>
      <c r="E1093" t="n">
        <v>60</v>
      </c>
      <c r="F1093" t="inlineStr">
        <is>
          <t>Joy</t>
        </is>
      </c>
      <c r="G1093" t="n">
        <v>50</v>
      </c>
      <c r="H1093" t="n">
        <v>0</v>
      </c>
      <c r="I1093" t="n">
        <v>0</v>
      </c>
      <c r="J1093" t="inlineStr">
        <is>
          <t>NA</t>
        </is>
      </c>
      <c r="K1093" t="n">
        <v>70.7</v>
      </c>
    </row>
    <row r="1094">
      <c r="A1094" t="inlineStr">
        <is>
          <t>SIMULATED Food Waste Remote Study</t>
        </is>
      </c>
      <c r="B1094" t="inlineStr">
        <is>
          <t>RESP0161</t>
        </is>
      </c>
      <c r="C1094" t="inlineStr">
        <is>
          <t>Stimulus</t>
        </is>
      </c>
      <c r="D1094" t="inlineStr">
        <is>
          <t>foodwaste_narrative</t>
        </is>
      </c>
      <c r="E1094" t="n">
        <v>60</v>
      </c>
      <c r="F1094" t="inlineStr">
        <is>
          <t>Brow Furrow</t>
        </is>
      </c>
      <c r="G1094" t="n">
        <v>50</v>
      </c>
      <c r="H1094" t="n">
        <v>5.17</v>
      </c>
      <c r="I1094" t="n">
        <v>2</v>
      </c>
      <c r="J1094" t="inlineStr">
        <is>
          <t>NA</t>
        </is>
      </c>
      <c r="K1094" t="n">
        <v>70.7</v>
      </c>
    </row>
    <row r="1095">
      <c r="A1095" t="inlineStr">
        <is>
          <t>SIMULATED Food Waste Remote Study</t>
        </is>
      </c>
      <c r="B1095" t="inlineStr">
        <is>
          <t>RESP0161</t>
        </is>
      </c>
      <c r="C1095" t="inlineStr">
        <is>
          <t>Stimulus</t>
        </is>
      </c>
      <c r="D1095" t="inlineStr">
        <is>
          <t>foodwaste_narrative</t>
        </is>
      </c>
      <c r="E1095" t="n">
        <v>60</v>
      </c>
      <c r="F1095" t="inlineStr">
        <is>
          <t>Positive Valence</t>
        </is>
      </c>
      <c r="G1095" t="n">
        <v>50</v>
      </c>
      <c r="H1095" t="n">
        <v>0</v>
      </c>
      <c r="I1095" t="n">
        <v>0</v>
      </c>
      <c r="J1095" t="inlineStr">
        <is>
          <t>NA</t>
        </is>
      </c>
      <c r="K1095" t="n">
        <v>70.7</v>
      </c>
    </row>
    <row r="1096">
      <c r="A1096" t="inlineStr">
        <is>
          <t>SIMULATED Food Waste Remote Study</t>
        </is>
      </c>
      <c r="B1096" t="inlineStr">
        <is>
          <t>RESP0161</t>
        </is>
      </c>
      <c r="C1096" t="inlineStr">
        <is>
          <t>Stimulus</t>
        </is>
      </c>
      <c r="D1096" t="inlineStr">
        <is>
          <t>foodwaste_narrative</t>
        </is>
      </c>
      <c r="E1096" t="n">
        <v>60</v>
      </c>
      <c r="F1096" t="inlineStr">
        <is>
          <t>Negative Valence</t>
        </is>
      </c>
      <c r="G1096" t="n">
        <v>-50</v>
      </c>
      <c r="H1096" t="n">
        <v>0</v>
      </c>
      <c r="I1096" t="n">
        <v>0</v>
      </c>
      <c r="J1096" t="inlineStr">
        <is>
          <t>NA</t>
        </is>
      </c>
      <c r="K1096" t="n">
        <v>70.7</v>
      </c>
    </row>
    <row r="1097">
      <c r="A1097" t="inlineStr">
        <is>
          <t>SIMULATED Food Waste Remote Study</t>
        </is>
      </c>
      <c r="B1097" t="inlineStr">
        <is>
          <t>RESP0161</t>
        </is>
      </c>
      <c r="C1097" t="inlineStr">
        <is>
          <t>Stimulus</t>
        </is>
      </c>
      <c r="D1097" t="inlineStr">
        <is>
          <t>foodwaste_visual</t>
        </is>
      </c>
      <c r="E1097" t="n">
        <v>62</v>
      </c>
      <c r="F1097" t="inlineStr">
        <is>
          <t>Engagement</t>
        </is>
      </c>
      <c r="G1097" t="n">
        <v>50</v>
      </c>
      <c r="H1097" t="n">
        <v>0.59</v>
      </c>
      <c r="I1097" t="n">
        <v>1</v>
      </c>
      <c r="J1097" t="inlineStr">
        <is>
          <t>NA</t>
        </is>
      </c>
      <c r="K1097" t="n">
        <v>58</v>
      </c>
    </row>
    <row r="1098">
      <c r="A1098" t="inlineStr">
        <is>
          <t>SIMULATED Food Waste Remote Study</t>
        </is>
      </c>
      <c r="B1098" t="inlineStr">
        <is>
          <t>RESP0161</t>
        </is>
      </c>
      <c r="C1098" t="inlineStr">
        <is>
          <t>Stimulus</t>
        </is>
      </c>
      <c r="D1098" t="inlineStr">
        <is>
          <t>foodwaste_visual</t>
        </is>
      </c>
      <c r="E1098" t="n">
        <v>62</v>
      </c>
      <c r="F1098" t="inlineStr">
        <is>
          <t>Joy</t>
        </is>
      </c>
      <c r="G1098" t="n">
        <v>50</v>
      </c>
      <c r="H1098" t="n">
        <v>1.83</v>
      </c>
      <c r="I1098" t="n">
        <v>1</v>
      </c>
      <c r="J1098" t="inlineStr">
        <is>
          <t>NA</t>
        </is>
      </c>
      <c r="K1098" t="n">
        <v>58</v>
      </c>
    </row>
    <row r="1099">
      <c r="A1099" t="inlineStr">
        <is>
          <t>SIMULATED Food Waste Remote Study</t>
        </is>
      </c>
      <c r="B1099" t="inlineStr">
        <is>
          <t>RESP0161</t>
        </is>
      </c>
      <c r="C1099" t="inlineStr">
        <is>
          <t>Stimulus</t>
        </is>
      </c>
      <c r="D1099" t="inlineStr">
        <is>
          <t>foodwaste_visual</t>
        </is>
      </c>
      <c r="E1099" t="n">
        <v>62</v>
      </c>
      <c r="F1099" t="inlineStr">
        <is>
          <t>Brow Furrow</t>
        </is>
      </c>
      <c r="G1099" t="n">
        <v>50</v>
      </c>
      <c r="H1099" t="n">
        <v>3.12</v>
      </c>
      <c r="I1099" t="n">
        <v>1</v>
      </c>
      <c r="J1099" t="inlineStr">
        <is>
          <t>NA</t>
        </is>
      </c>
      <c r="K1099" t="n">
        <v>58</v>
      </c>
    </row>
    <row r="1100">
      <c r="A1100" t="inlineStr">
        <is>
          <t>SIMULATED Food Waste Remote Study</t>
        </is>
      </c>
      <c r="B1100" t="inlineStr">
        <is>
          <t>RESP0161</t>
        </is>
      </c>
      <c r="C1100" t="inlineStr">
        <is>
          <t>Stimulus</t>
        </is>
      </c>
      <c r="D1100" t="inlineStr">
        <is>
          <t>foodwaste_visual</t>
        </is>
      </c>
      <c r="E1100" t="n">
        <v>62</v>
      </c>
      <c r="F1100" t="inlineStr">
        <is>
          <t>Positive Valence</t>
        </is>
      </c>
      <c r="G1100" t="n">
        <v>50</v>
      </c>
      <c r="H1100" t="n">
        <v>0</v>
      </c>
      <c r="I1100" t="n">
        <v>0</v>
      </c>
      <c r="J1100" t="inlineStr">
        <is>
          <t>NA</t>
        </is>
      </c>
      <c r="K1100" t="n">
        <v>58</v>
      </c>
    </row>
    <row r="1101">
      <c r="A1101" t="inlineStr">
        <is>
          <t>SIMULATED Food Waste Remote Study</t>
        </is>
      </c>
      <c r="B1101" t="inlineStr">
        <is>
          <t>RESP0161</t>
        </is>
      </c>
      <c r="C1101" t="inlineStr">
        <is>
          <t>Stimulus</t>
        </is>
      </c>
      <c r="D1101" t="inlineStr">
        <is>
          <t>foodwaste_visual</t>
        </is>
      </c>
      <c r="E1101" t="n">
        <v>62</v>
      </c>
      <c r="F1101" t="inlineStr">
        <is>
          <t>Negative Valence</t>
        </is>
      </c>
      <c r="G1101" t="n">
        <v>-50</v>
      </c>
      <c r="H1101" t="n">
        <v>22.58</v>
      </c>
      <c r="I1101" t="n">
        <v>12</v>
      </c>
      <c r="J1101" t="inlineStr">
        <is>
          <t>NA</t>
        </is>
      </c>
      <c r="K1101" t="n">
        <v>58</v>
      </c>
    </row>
    <row r="1102">
      <c r="A1102" t="inlineStr">
        <is>
          <t>SIMULATED Food Waste Remote Study</t>
        </is>
      </c>
      <c r="B1102" t="inlineStr">
        <is>
          <t>RESP0163</t>
        </is>
      </c>
      <c r="C1102" t="inlineStr">
        <is>
          <t>Stimulus</t>
        </is>
      </c>
      <c r="D1102" t="inlineStr">
        <is>
          <t>foodwaste_narrative</t>
        </is>
      </c>
      <c r="E1102" t="n">
        <v>60</v>
      </c>
      <c r="F1102" t="inlineStr">
        <is>
          <t>Engagement</t>
        </is>
      </c>
      <c r="G1102" t="n">
        <v>50</v>
      </c>
      <c r="H1102" t="n">
        <v>0</v>
      </c>
      <c r="I1102" t="n">
        <v>0</v>
      </c>
      <c r="J1102" t="inlineStr">
        <is>
          <t>NA</t>
        </is>
      </c>
      <c r="K1102" t="n">
        <v>92.90000000000001</v>
      </c>
    </row>
    <row r="1103">
      <c r="A1103" t="inlineStr">
        <is>
          <t>SIMULATED Food Waste Remote Study</t>
        </is>
      </c>
      <c r="B1103" t="inlineStr">
        <is>
          <t>RESP0163</t>
        </is>
      </c>
      <c r="C1103" t="inlineStr">
        <is>
          <t>Stimulus</t>
        </is>
      </c>
      <c r="D1103" t="inlineStr">
        <is>
          <t>foodwaste_narrative</t>
        </is>
      </c>
      <c r="E1103" t="n">
        <v>60</v>
      </c>
      <c r="F1103" t="inlineStr">
        <is>
          <t>Joy</t>
        </is>
      </c>
      <c r="G1103" t="n">
        <v>50</v>
      </c>
      <c r="H1103" t="n">
        <v>0.5600000000000001</v>
      </c>
      <c r="I1103" t="n">
        <v>1</v>
      </c>
      <c r="J1103" t="inlineStr">
        <is>
          <t>NA</t>
        </is>
      </c>
      <c r="K1103" t="n">
        <v>92.90000000000001</v>
      </c>
    </row>
    <row r="1104">
      <c r="A1104" t="inlineStr">
        <is>
          <t>SIMULATED Food Waste Remote Study</t>
        </is>
      </c>
      <c r="B1104" t="inlineStr">
        <is>
          <t>RESP0163</t>
        </is>
      </c>
      <c r="C1104" t="inlineStr">
        <is>
          <t>Stimulus</t>
        </is>
      </c>
      <c r="D1104" t="inlineStr">
        <is>
          <t>foodwaste_narrative</t>
        </is>
      </c>
      <c r="E1104" t="n">
        <v>60</v>
      </c>
      <c r="F1104" t="inlineStr">
        <is>
          <t>Brow Furrow</t>
        </is>
      </c>
      <c r="G1104" t="n">
        <v>50</v>
      </c>
      <c r="H1104" t="n">
        <v>10.06</v>
      </c>
      <c r="I1104" t="n">
        <v>2</v>
      </c>
      <c r="J1104" t="inlineStr">
        <is>
          <t>NA</t>
        </is>
      </c>
      <c r="K1104" t="n">
        <v>92.90000000000001</v>
      </c>
    </row>
    <row r="1105">
      <c r="A1105" t="inlineStr">
        <is>
          <t>SIMULATED Food Waste Remote Study</t>
        </is>
      </c>
      <c r="B1105" t="inlineStr">
        <is>
          <t>RESP0163</t>
        </is>
      </c>
      <c r="C1105" t="inlineStr">
        <is>
          <t>Stimulus</t>
        </is>
      </c>
      <c r="D1105" t="inlineStr">
        <is>
          <t>foodwaste_narrative</t>
        </is>
      </c>
      <c r="E1105" t="n">
        <v>60</v>
      </c>
      <c r="F1105" t="inlineStr">
        <is>
          <t>Positive Valence</t>
        </is>
      </c>
      <c r="G1105" t="n">
        <v>50</v>
      </c>
      <c r="H1105" t="n">
        <v>3.67</v>
      </c>
      <c r="I1105" t="n">
        <v>1</v>
      </c>
      <c r="J1105" t="inlineStr">
        <is>
          <t>NA</t>
        </is>
      </c>
      <c r="K1105" t="n">
        <v>92.90000000000001</v>
      </c>
    </row>
    <row r="1106">
      <c r="A1106" t="inlineStr">
        <is>
          <t>SIMULATED Food Waste Remote Study</t>
        </is>
      </c>
      <c r="B1106" t="inlineStr">
        <is>
          <t>RESP0163</t>
        </is>
      </c>
      <c r="C1106" t="inlineStr">
        <is>
          <t>Stimulus</t>
        </is>
      </c>
      <c r="D1106" t="inlineStr">
        <is>
          <t>foodwaste_narrative</t>
        </is>
      </c>
      <c r="E1106" t="n">
        <v>60</v>
      </c>
      <c r="F1106" t="inlineStr">
        <is>
          <t>Negative Valence</t>
        </is>
      </c>
      <c r="G1106" t="n">
        <v>-50</v>
      </c>
      <c r="H1106" t="n">
        <v>0</v>
      </c>
      <c r="I1106" t="n">
        <v>0</v>
      </c>
      <c r="J1106" t="inlineStr">
        <is>
          <t>NA</t>
        </is>
      </c>
      <c r="K1106" t="n">
        <v>92.90000000000001</v>
      </c>
    </row>
    <row r="1107">
      <c r="A1107" t="inlineStr">
        <is>
          <t>SIMULATED Food Waste Remote Study</t>
        </is>
      </c>
      <c r="B1107" t="inlineStr">
        <is>
          <t>RESP0163</t>
        </is>
      </c>
      <c r="C1107" t="inlineStr">
        <is>
          <t>Stimulus</t>
        </is>
      </c>
      <c r="D1107" t="inlineStr">
        <is>
          <t>foodwaste_visual</t>
        </is>
      </c>
      <c r="E1107" t="n">
        <v>62</v>
      </c>
      <c r="F1107" t="inlineStr">
        <is>
          <t>Engagement</t>
        </is>
      </c>
      <c r="G1107" t="n">
        <v>50</v>
      </c>
      <c r="H1107" t="n">
        <v>67.2</v>
      </c>
      <c r="I1107" t="n">
        <v>16</v>
      </c>
      <c r="J1107" t="inlineStr">
        <is>
          <t>NA</t>
        </is>
      </c>
      <c r="K1107" t="n">
        <v>95.3</v>
      </c>
    </row>
    <row r="1108">
      <c r="A1108" t="inlineStr">
        <is>
          <t>SIMULATED Food Waste Remote Study</t>
        </is>
      </c>
      <c r="B1108" t="inlineStr">
        <is>
          <t>RESP0163</t>
        </is>
      </c>
      <c r="C1108" t="inlineStr">
        <is>
          <t>Stimulus</t>
        </is>
      </c>
      <c r="D1108" t="inlineStr">
        <is>
          <t>foodwaste_visual</t>
        </is>
      </c>
      <c r="E1108" t="n">
        <v>62</v>
      </c>
      <c r="F1108" t="inlineStr">
        <is>
          <t>Joy</t>
        </is>
      </c>
      <c r="G1108" t="n">
        <v>50</v>
      </c>
      <c r="H1108" t="n">
        <v>2.63</v>
      </c>
      <c r="I1108" t="n">
        <v>1</v>
      </c>
      <c r="J1108" t="inlineStr">
        <is>
          <t>NA</t>
        </is>
      </c>
      <c r="K1108" t="n">
        <v>95.3</v>
      </c>
    </row>
    <row r="1109">
      <c r="A1109" t="inlineStr">
        <is>
          <t>SIMULATED Food Waste Remote Study</t>
        </is>
      </c>
      <c r="B1109" t="inlineStr">
        <is>
          <t>RESP0163</t>
        </is>
      </c>
      <c r="C1109" t="inlineStr">
        <is>
          <t>Stimulus</t>
        </is>
      </c>
      <c r="D1109" t="inlineStr">
        <is>
          <t>foodwaste_visual</t>
        </is>
      </c>
      <c r="E1109" t="n">
        <v>62</v>
      </c>
      <c r="F1109" t="inlineStr">
        <is>
          <t>Brow Furrow</t>
        </is>
      </c>
      <c r="G1109" t="n">
        <v>50</v>
      </c>
      <c r="H1109" t="n">
        <v>6.4</v>
      </c>
      <c r="I1109" t="n">
        <v>3</v>
      </c>
      <c r="J1109" t="inlineStr">
        <is>
          <t>NA</t>
        </is>
      </c>
      <c r="K1109" t="n">
        <v>95.3</v>
      </c>
    </row>
    <row r="1110">
      <c r="A1110" t="inlineStr">
        <is>
          <t>SIMULATED Food Waste Remote Study</t>
        </is>
      </c>
      <c r="B1110" t="inlineStr">
        <is>
          <t>RESP0163</t>
        </is>
      </c>
      <c r="C1110" t="inlineStr">
        <is>
          <t>Stimulus</t>
        </is>
      </c>
      <c r="D1110" t="inlineStr">
        <is>
          <t>foodwaste_visual</t>
        </is>
      </c>
      <c r="E1110" t="n">
        <v>62</v>
      </c>
      <c r="F1110" t="inlineStr">
        <is>
          <t>Positive Valence</t>
        </is>
      </c>
      <c r="G1110" t="n">
        <v>50</v>
      </c>
      <c r="H1110" t="n">
        <v>0</v>
      </c>
      <c r="I1110" t="n">
        <v>0</v>
      </c>
      <c r="J1110" t="inlineStr">
        <is>
          <t>NA</t>
        </is>
      </c>
      <c r="K1110" t="n">
        <v>95.3</v>
      </c>
    </row>
    <row r="1111">
      <c r="A1111" t="inlineStr">
        <is>
          <t>SIMULATED Food Waste Remote Study</t>
        </is>
      </c>
      <c r="B1111" t="inlineStr">
        <is>
          <t>RESP0163</t>
        </is>
      </c>
      <c r="C1111" t="inlineStr">
        <is>
          <t>Stimulus</t>
        </is>
      </c>
      <c r="D1111" t="inlineStr">
        <is>
          <t>foodwaste_visual</t>
        </is>
      </c>
      <c r="E1111" t="n">
        <v>62</v>
      </c>
      <c r="F1111" t="inlineStr">
        <is>
          <t>Negative Valence</t>
        </is>
      </c>
      <c r="G1111" t="n">
        <v>-50</v>
      </c>
      <c r="H1111" t="n">
        <v>0</v>
      </c>
      <c r="I1111" t="n">
        <v>0</v>
      </c>
      <c r="J1111" t="inlineStr">
        <is>
          <t>NA</t>
        </is>
      </c>
      <c r="K1111" t="n">
        <v>95.3</v>
      </c>
    </row>
    <row r="1112">
      <c r="A1112" t="inlineStr">
        <is>
          <t>SIMULATED Food Waste Remote Study</t>
        </is>
      </c>
      <c r="B1112" t="inlineStr">
        <is>
          <t>RESP0164</t>
        </is>
      </c>
      <c r="C1112" t="inlineStr">
        <is>
          <t>Stimulus</t>
        </is>
      </c>
      <c r="D1112" t="inlineStr">
        <is>
          <t>foodwaste_narrative</t>
        </is>
      </c>
      <c r="E1112" t="n">
        <v>60</v>
      </c>
      <c r="F1112" t="inlineStr">
        <is>
          <t>Engagement</t>
        </is>
      </c>
      <c r="G1112" t="n">
        <v>50</v>
      </c>
      <c r="H1112" t="n">
        <v>51.67</v>
      </c>
      <c r="I1112" t="n">
        <v>12</v>
      </c>
      <c r="J1112" t="inlineStr">
        <is>
          <t>NA</t>
        </is>
      </c>
      <c r="K1112" t="n">
        <v>97.2</v>
      </c>
    </row>
    <row r="1113">
      <c r="A1113" t="inlineStr">
        <is>
          <t>SIMULATED Food Waste Remote Study</t>
        </is>
      </c>
      <c r="B1113" t="inlineStr">
        <is>
          <t>RESP0164</t>
        </is>
      </c>
      <c r="C1113" t="inlineStr">
        <is>
          <t>Stimulus</t>
        </is>
      </c>
      <c r="D1113" t="inlineStr">
        <is>
          <t>foodwaste_narrative</t>
        </is>
      </c>
      <c r="E1113" t="n">
        <v>60</v>
      </c>
      <c r="F1113" t="inlineStr">
        <is>
          <t>Joy</t>
        </is>
      </c>
      <c r="G1113" t="n">
        <v>50</v>
      </c>
      <c r="H1113" t="n">
        <v>2.72</v>
      </c>
      <c r="I1113" t="n">
        <v>2</v>
      </c>
      <c r="J1113" t="inlineStr">
        <is>
          <t>NA</t>
        </is>
      </c>
      <c r="K1113" t="n">
        <v>97.2</v>
      </c>
    </row>
    <row r="1114">
      <c r="A1114" t="inlineStr">
        <is>
          <t>SIMULATED Food Waste Remote Study</t>
        </is>
      </c>
      <c r="B1114" t="inlineStr">
        <is>
          <t>RESP0164</t>
        </is>
      </c>
      <c r="C1114" t="inlineStr">
        <is>
          <t>Stimulus</t>
        </is>
      </c>
      <c r="D1114" t="inlineStr">
        <is>
          <t>foodwaste_narrative</t>
        </is>
      </c>
      <c r="E1114" t="n">
        <v>60</v>
      </c>
      <c r="F1114" t="inlineStr">
        <is>
          <t>Brow Furrow</t>
        </is>
      </c>
      <c r="G1114" t="n">
        <v>50</v>
      </c>
      <c r="H1114" t="n">
        <v>8.5</v>
      </c>
      <c r="I1114" t="n">
        <v>2</v>
      </c>
      <c r="J1114" t="inlineStr">
        <is>
          <t>NA</t>
        </is>
      </c>
      <c r="K1114" t="n">
        <v>97.2</v>
      </c>
    </row>
    <row r="1115">
      <c r="A1115" t="inlineStr">
        <is>
          <t>SIMULATED Food Waste Remote Study</t>
        </is>
      </c>
      <c r="B1115" t="inlineStr">
        <is>
          <t>RESP0164</t>
        </is>
      </c>
      <c r="C1115" t="inlineStr">
        <is>
          <t>Stimulus</t>
        </is>
      </c>
      <c r="D1115" t="inlineStr">
        <is>
          <t>foodwaste_narrative</t>
        </is>
      </c>
      <c r="E1115" t="n">
        <v>60</v>
      </c>
      <c r="F1115" t="inlineStr">
        <is>
          <t>Positive Valence</t>
        </is>
      </c>
      <c r="G1115" t="n">
        <v>50</v>
      </c>
      <c r="H1115" t="n">
        <v>0.06</v>
      </c>
      <c r="I1115" t="n">
        <v>1</v>
      </c>
      <c r="J1115" t="inlineStr">
        <is>
          <t>NA</t>
        </is>
      </c>
      <c r="K1115" t="n">
        <v>97.2</v>
      </c>
    </row>
    <row r="1116">
      <c r="A1116" t="inlineStr">
        <is>
          <t>SIMULATED Food Waste Remote Study</t>
        </is>
      </c>
      <c r="B1116" t="inlineStr">
        <is>
          <t>RESP0164</t>
        </is>
      </c>
      <c r="C1116" t="inlineStr">
        <is>
          <t>Stimulus</t>
        </is>
      </c>
      <c r="D1116" t="inlineStr">
        <is>
          <t>foodwaste_narrative</t>
        </is>
      </c>
      <c r="E1116" t="n">
        <v>60</v>
      </c>
      <c r="F1116" t="inlineStr">
        <is>
          <t>Negative Valence</t>
        </is>
      </c>
      <c r="G1116" t="n">
        <v>-50</v>
      </c>
      <c r="H1116" t="n">
        <v>2.67</v>
      </c>
      <c r="I1116" t="n">
        <v>2</v>
      </c>
      <c r="J1116" t="inlineStr">
        <is>
          <t>NA</t>
        </is>
      </c>
      <c r="K1116" t="n">
        <v>97.2</v>
      </c>
    </row>
    <row r="1117">
      <c r="A1117" t="inlineStr">
        <is>
          <t>SIMULATED Food Waste Remote Study</t>
        </is>
      </c>
      <c r="B1117" t="inlineStr">
        <is>
          <t>RESP0164</t>
        </is>
      </c>
      <c r="C1117" t="inlineStr">
        <is>
          <t>Stimulus</t>
        </is>
      </c>
      <c r="D1117" t="inlineStr">
        <is>
          <t>foodwaste_visual</t>
        </is>
      </c>
      <c r="E1117" t="n">
        <v>62</v>
      </c>
      <c r="F1117" t="inlineStr">
        <is>
          <t>Engagement</t>
        </is>
      </c>
      <c r="G1117" t="n">
        <v>50</v>
      </c>
      <c r="H1117" t="n">
        <v>49.19</v>
      </c>
      <c r="I1117" t="n">
        <v>11</v>
      </c>
      <c r="J1117" t="inlineStr">
        <is>
          <t>NA</t>
        </is>
      </c>
      <c r="K1117" t="n">
        <v>97</v>
      </c>
    </row>
    <row r="1118">
      <c r="A1118" t="inlineStr">
        <is>
          <t>SIMULATED Food Waste Remote Study</t>
        </is>
      </c>
      <c r="B1118" t="inlineStr">
        <is>
          <t>RESP0164</t>
        </is>
      </c>
      <c r="C1118" t="inlineStr">
        <is>
          <t>Stimulus</t>
        </is>
      </c>
      <c r="D1118" t="inlineStr">
        <is>
          <t>foodwaste_visual</t>
        </is>
      </c>
      <c r="E1118" t="n">
        <v>62</v>
      </c>
      <c r="F1118" t="inlineStr">
        <is>
          <t>Joy</t>
        </is>
      </c>
      <c r="G1118" t="n">
        <v>50</v>
      </c>
      <c r="H1118" t="n">
        <v>4.3</v>
      </c>
      <c r="I1118" t="n">
        <v>2</v>
      </c>
      <c r="J1118" t="inlineStr">
        <is>
          <t>NA</t>
        </is>
      </c>
      <c r="K1118" t="n">
        <v>97</v>
      </c>
    </row>
    <row r="1119">
      <c r="A1119" t="inlineStr">
        <is>
          <t>SIMULATED Food Waste Remote Study</t>
        </is>
      </c>
      <c r="B1119" t="inlineStr">
        <is>
          <t>RESP0164</t>
        </is>
      </c>
      <c r="C1119" t="inlineStr">
        <is>
          <t>Stimulus</t>
        </is>
      </c>
      <c r="D1119" t="inlineStr">
        <is>
          <t>foodwaste_visual</t>
        </is>
      </c>
      <c r="E1119" t="n">
        <v>62</v>
      </c>
      <c r="F1119" t="inlineStr">
        <is>
          <t>Brow Furrow</t>
        </is>
      </c>
      <c r="G1119" t="n">
        <v>50</v>
      </c>
      <c r="H1119" t="n">
        <v>53.76</v>
      </c>
      <c r="I1119" t="n">
        <v>16</v>
      </c>
      <c r="J1119" t="inlineStr">
        <is>
          <t>NA</t>
        </is>
      </c>
      <c r="K1119" t="n">
        <v>97</v>
      </c>
    </row>
    <row r="1120">
      <c r="A1120" t="inlineStr">
        <is>
          <t>SIMULATED Food Waste Remote Study</t>
        </is>
      </c>
      <c r="B1120" t="inlineStr">
        <is>
          <t>RESP0164</t>
        </is>
      </c>
      <c r="C1120" t="inlineStr">
        <is>
          <t>Stimulus</t>
        </is>
      </c>
      <c r="D1120" t="inlineStr">
        <is>
          <t>foodwaste_visual</t>
        </is>
      </c>
      <c r="E1120" t="n">
        <v>62</v>
      </c>
      <c r="F1120" t="inlineStr">
        <is>
          <t>Positive Valence</t>
        </is>
      </c>
      <c r="G1120" t="n">
        <v>50</v>
      </c>
      <c r="H1120" t="n">
        <v>4.19</v>
      </c>
      <c r="I1120" t="n">
        <v>2</v>
      </c>
      <c r="J1120" t="inlineStr">
        <is>
          <t>NA</t>
        </is>
      </c>
      <c r="K1120" t="n">
        <v>97</v>
      </c>
    </row>
    <row r="1121">
      <c r="A1121" t="inlineStr">
        <is>
          <t>SIMULATED Food Waste Remote Study</t>
        </is>
      </c>
      <c r="B1121" t="inlineStr">
        <is>
          <t>RESP0164</t>
        </is>
      </c>
      <c r="C1121" t="inlineStr">
        <is>
          <t>Stimulus</t>
        </is>
      </c>
      <c r="D1121" t="inlineStr">
        <is>
          <t>foodwaste_visual</t>
        </is>
      </c>
      <c r="E1121" t="n">
        <v>62</v>
      </c>
      <c r="F1121" t="inlineStr">
        <is>
          <t>Negative Valence</t>
        </is>
      </c>
      <c r="G1121" t="n">
        <v>-50</v>
      </c>
      <c r="H1121" t="n">
        <v>0</v>
      </c>
      <c r="I1121" t="n">
        <v>0</v>
      </c>
      <c r="J1121" t="inlineStr">
        <is>
          <t>NA</t>
        </is>
      </c>
      <c r="K1121" t="n">
        <v>97</v>
      </c>
    </row>
    <row r="1122">
      <c r="A1122" t="inlineStr">
        <is>
          <t>SIMULATED Food Waste Remote Study</t>
        </is>
      </c>
      <c r="B1122" t="inlineStr">
        <is>
          <t>RESP0165</t>
        </is>
      </c>
      <c r="C1122" t="inlineStr">
        <is>
          <t>Stimulus</t>
        </is>
      </c>
      <c r="D1122" t="inlineStr">
        <is>
          <t>foodwaste_narrative</t>
        </is>
      </c>
      <c r="E1122" t="n">
        <v>60</v>
      </c>
      <c r="F1122" t="inlineStr">
        <is>
          <t>Engagement</t>
        </is>
      </c>
      <c r="G1122" t="n">
        <v>50</v>
      </c>
      <c r="H1122" t="n">
        <v>15.72</v>
      </c>
      <c r="I1122" t="n">
        <v>5</v>
      </c>
      <c r="J1122" t="inlineStr">
        <is>
          <t>NA</t>
        </is>
      </c>
      <c r="K1122" t="n">
        <v>97.90000000000001</v>
      </c>
    </row>
    <row r="1123">
      <c r="A1123" t="inlineStr">
        <is>
          <t>SIMULATED Food Waste Remote Study</t>
        </is>
      </c>
      <c r="B1123" t="inlineStr">
        <is>
          <t>RESP0165</t>
        </is>
      </c>
      <c r="C1123" t="inlineStr">
        <is>
          <t>Stimulus</t>
        </is>
      </c>
      <c r="D1123" t="inlineStr">
        <is>
          <t>foodwaste_narrative</t>
        </is>
      </c>
      <c r="E1123" t="n">
        <v>60</v>
      </c>
      <c r="F1123" t="inlineStr">
        <is>
          <t>Joy</t>
        </is>
      </c>
      <c r="G1123" t="n">
        <v>50</v>
      </c>
      <c r="H1123" t="n">
        <v>0</v>
      </c>
      <c r="I1123" t="n">
        <v>0</v>
      </c>
      <c r="J1123" t="inlineStr">
        <is>
          <t>NA</t>
        </is>
      </c>
      <c r="K1123" t="n">
        <v>97.90000000000001</v>
      </c>
    </row>
    <row r="1124">
      <c r="A1124" t="inlineStr">
        <is>
          <t>SIMULATED Food Waste Remote Study</t>
        </is>
      </c>
      <c r="B1124" t="inlineStr">
        <is>
          <t>RESP0165</t>
        </is>
      </c>
      <c r="C1124" t="inlineStr">
        <is>
          <t>Stimulus</t>
        </is>
      </c>
      <c r="D1124" t="inlineStr">
        <is>
          <t>foodwaste_narrative</t>
        </is>
      </c>
      <c r="E1124" t="n">
        <v>60</v>
      </c>
      <c r="F1124" t="inlineStr">
        <is>
          <t>Brow Furrow</t>
        </is>
      </c>
      <c r="G1124" t="n">
        <v>50</v>
      </c>
      <c r="H1124" t="n">
        <v>1.06</v>
      </c>
      <c r="I1124" t="n">
        <v>1</v>
      </c>
      <c r="J1124" t="inlineStr">
        <is>
          <t>NA</t>
        </is>
      </c>
      <c r="K1124" t="n">
        <v>97.90000000000001</v>
      </c>
    </row>
    <row r="1125">
      <c r="A1125" t="inlineStr">
        <is>
          <t>SIMULATED Food Waste Remote Study</t>
        </is>
      </c>
      <c r="B1125" t="inlineStr">
        <is>
          <t>RESP0165</t>
        </is>
      </c>
      <c r="C1125" t="inlineStr">
        <is>
          <t>Stimulus</t>
        </is>
      </c>
      <c r="D1125" t="inlineStr">
        <is>
          <t>foodwaste_narrative</t>
        </is>
      </c>
      <c r="E1125" t="n">
        <v>60</v>
      </c>
      <c r="F1125" t="inlineStr">
        <is>
          <t>Positive Valence</t>
        </is>
      </c>
      <c r="G1125" t="n">
        <v>50</v>
      </c>
      <c r="H1125" t="n">
        <v>0</v>
      </c>
      <c r="I1125" t="n">
        <v>0</v>
      </c>
      <c r="J1125" t="inlineStr">
        <is>
          <t>NA</t>
        </is>
      </c>
      <c r="K1125" t="n">
        <v>97.90000000000001</v>
      </c>
    </row>
    <row r="1126">
      <c r="A1126" t="inlineStr">
        <is>
          <t>SIMULATED Food Waste Remote Study</t>
        </is>
      </c>
      <c r="B1126" t="inlineStr">
        <is>
          <t>RESP0165</t>
        </is>
      </c>
      <c r="C1126" t="inlineStr">
        <is>
          <t>Stimulus</t>
        </is>
      </c>
      <c r="D1126" t="inlineStr">
        <is>
          <t>foodwaste_narrative</t>
        </is>
      </c>
      <c r="E1126" t="n">
        <v>60</v>
      </c>
      <c r="F1126" t="inlineStr">
        <is>
          <t>Negative Valence</t>
        </is>
      </c>
      <c r="G1126" t="n">
        <v>-50</v>
      </c>
      <c r="H1126" t="n">
        <v>1.44</v>
      </c>
      <c r="I1126" t="n">
        <v>2</v>
      </c>
      <c r="J1126" t="inlineStr">
        <is>
          <t>NA</t>
        </is>
      </c>
      <c r="K1126" t="n">
        <v>97.90000000000001</v>
      </c>
    </row>
    <row r="1127">
      <c r="A1127" t="inlineStr">
        <is>
          <t>SIMULATED Food Waste Remote Study</t>
        </is>
      </c>
      <c r="B1127" t="inlineStr">
        <is>
          <t>RESP0165</t>
        </is>
      </c>
      <c r="C1127" t="inlineStr">
        <is>
          <t>Stimulus</t>
        </is>
      </c>
      <c r="D1127" t="inlineStr">
        <is>
          <t>foodwaste_visual</t>
        </is>
      </c>
      <c r="E1127" t="n">
        <v>62</v>
      </c>
      <c r="F1127" t="inlineStr">
        <is>
          <t>Engagement</t>
        </is>
      </c>
      <c r="G1127" t="n">
        <v>50</v>
      </c>
      <c r="H1127" t="n">
        <v>86.18000000000001</v>
      </c>
      <c r="I1127" t="n">
        <v>22</v>
      </c>
      <c r="J1127" t="inlineStr">
        <is>
          <t>NA</t>
        </is>
      </c>
      <c r="K1127" t="n">
        <v>97.7</v>
      </c>
    </row>
    <row r="1128">
      <c r="A1128" t="inlineStr">
        <is>
          <t>SIMULATED Food Waste Remote Study</t>
        </is>
      </c>
      <c r="B1128" t="inlineStr">
        <is>
          <t>RESP0165</t>
        </is>
      </c>
      <c r="C1128" t="inlineStr">
        <is>
          <t>Stimulus</t>
        </is>
      </c>
      <c r="D1128" t="inlineStr">
        <is>
          <t>foodwaste_visual</t>
        </is>
      </c>
      <c r="E1128" t="n">
        <v>62</v>
      </c>
      <c r="F1128" t="inlineStr">
        <is>
          <t>Joy</t>
        </is>
      </c>
      <c r="G1128" t="n">
        <v>50</v>
      </c>
      <c r="H1128" t="n">
        <v>0</v>
      </c>
      <c r="I1128" t="n">
        <v>0</v>
      </c>
      <c r="J1128" t="inlineStr">
        <is>
          <t>NA</t>
        </is>
      </c>
      <c r="K1128" t="n">
        <v>97.7</v>
      </c>
    </row>
    <row r="1129">
      <c r="A1129" t="inlineStr">
        <is>
          <t>SIMULATED Food Waste Remote Study</t>
        </is>
      </c>
      <c r="B1129" t="inlineStr">
        <is>
          <t>RESP0165</t>
        </is>
      </c>
      <c r="C1129" t="inlineStr">
        <is>
          <t>Stimulus</t>
        </is>
      </c>
      <c r="D1129" t="inlineStr">
        <is>
          <t>foodwaste_visual</t>
        </is>
      </c>
      <c r="E1129" t="n">
        <v>62</v>
      </c>
      <c r="F1129" t="inlineStr">
        <is>
          <t>Brow Furrow</t>
        </is>
      </c>
      <c r="G1129" t="n">
        <v>50</v>
      </c>
      <c r="H1129" t="n">
        <v>6.34</v>
      </c>
      <c r="I1129" t="n">
        <v>3</v>
      </c>
      <c r="J1129" t="inlineStr">
        <is>
          <t>NA</t>
        </is>
      </c>
      <c r="K1129" t="n">
        <v>97.7</v>
      </c>
    </row>
    <row r="1130">
      <c r="A1130" t="inlineStr">
        <is>
          <t>SIMULATED Food Waste Remote Study</t>
        </is>
      </c>
      <c r="B1130" t="inlineStr">
        <is>
          <t>RESP0165</t>
        </is>
      </c>
      <c r="C1130" t="inlineStr">
        <is>
          <t>Stimulus</t>
        </is>
      </c>
      <c r="D1130" t="inlineStr">
        <is>
          <t>foodwaste_visual</t>
        </is>
      </c>
      <c r="E1130" t="n">
        <v>62</v>
      </c>
      <c r="F1130" t="inlineStr">
        <is>
          <t>Positive Valence</t>
        </is>
      </c>
      <c r="G1130" t="n">
        <v>50</v>
      </c>
      <c r="H1130" t="n">
        <v>0</v>
      </c>
      <c r="I1130" t="n">
        <v>0</v>
      </c>
      <c r="J1130" t="inlineStr">
        <is>
          <t>NA</t>
        </is>
      </c>
      <c r="K1130" t="n">
        <v>97.7</v>
      </c>
    </row>
    <row r="1131">
      <c r="A1131" t="inlineStr">
        <is>
          <t>SIMULATED Food Waste Remote Study</t>
        </is>
      </c>
      <c r="B1131" t="inlineStr">
        <is>
          <t>RESP0165</t>
        </is>
      </c>
      <c r="C1131" t="inlineStr">
        <is>
          <t>Stimulus</t>
        </is>
      </c>
      <c r="D1131" t="inlineStr">
        <is>
          <t>foodwaste_visual</t>
        </is>
      </c>
      <c r="E1131" t="n">
        <v>62</v>
      </c>
      <c r="F1131" t="inlineStr">
        <is>
          <t>Negative Valence</t>
        </is>
      </c>
      <c r="G1131" t="n">
        <v>-50</v>
      </c>
      <c r="H1131" t="n">
        <v>13.28</v>
      </c>
      <c r="I1131" t="n">
        <v>5</v>
      </c>
      <c r="J1131" t="inlineStr">
        <is>
          <t>NA</t>
        </is>
      </c>
      <c r="K1131" t="n">
        <v>97.7</v>
      </c>
    </row>
    <row r="1132">
      <c r="A1132" t="inlineStr">
        <is>
          <t>SIMULATED Food Waste Remote Study</t>
        </is>
      </c>
      <c r="B1132" t="inlineStr">
        <is>
          <t>RESP0166</t>
        </is>
      </c>
      <c r="C1132" t="inlineStr">
        <is>
          <t>Stimulus</t>
        </is>
      </c>
      <c r="D1132" t="inlineStr">
        <is>
          <t>foodwaste_narrative</t>
        </is>
      </c>
      <c r="E1132" t="n">
        <v>60</v>
      </c>
      <c r="F1132" t="inlineStr">
        <is>
          <t>Engagement</t>
        </is>
      </c>
      <c r="G1132" t="n">
        <v>50</v>
      </c>
      <c r="H1132" t="n">
        <v>25</v>
      </c>
      <c r="I1132" t="n">
        <v>10</v>
      </c>
      <c r="J1132" t="inlineStr">
        <is>
          <t>NA</t>
        </is>
      </c>
      <c r="K1132" t="n">
        <v>91.8</v>
      </c>
    </row>
    <row r="1133">
      <c r="A1133" t="inlineStr">
        <is>
          <t>SIMULATED Food Waste Remote Study</t>
        </is>
      </c>
      <c r="B1133" t="inlineStr">
        <is>
          <t>RESP0166</t>
        </is>
      </c>
      <c r="C1133" t="inlineStr">
        <is>
          <t>Stimulus</t>
        </is>
      </c>
      <c r="D1133" t="inlineStr">
        <is>
          <t>foodwaste_narrative</t>
        </is>
      </c>
      <c r="E1133" t="n">
        <v>60</v>
      </c>
      <c r="F1133" t="inlineStr">
        <is>
          <t>Joy</t>
        </is>
      </c>
      <c r="G1133" t="n">
        <v>50</v>
      </c>
      <c r="H1133" t="n">
        <v>9.83</v>
      </c>
      <c r="I1133" t="n">
        <v>2</v>
      </c>
      <c r="J1133" t="inlineStr">
        <is>
          <t>NA</t>
        </is>
      </c>
      <c r="K1133" t="n">
        <v>91.8</v>
      </c>
    </row>
    <row r="1134">
      <c r="A1134" t="inlineStr">
        <is>
          <t>SIMULATED Food Waste Remote Study</t>
        </is>
      </c>
      <c r="B1134" t="inlineStr">
        <is>
          <t>RESP0166</t>
        </is>
      </c>
      <c r="C1134" t="inlineStr">
        <is>
          <t>Stimulus</t>
        </is>
      </c>
      <c r="D1134" t="inlineStr">
        <is>
          <t>foodwaste_narrative</t>
        </is>
      </c>
      <c r="E1134" t="n">
        <v>60</v>
      </c>
      <c r="F1134" t="inlineStr">
        <is>
          <t>Brow Furrow</t>
        </is>
      </c>
      <c r="G1134" t="n">
        <v>50</v>
      </c>
      <c r="H1134" t="n">
        <v>10.33</v>
      </c>
      <c r="I1134" t="n">
        <v>2</v>
      </c>
      <c r="J1134" t="inlineStr">
        <is>
          <t>NA</t>
        </is>
      </c>
      <c r="K1134" t="n">
        <v>91.8</v>
      </c>
    </row>
    <row r="1135">
      <c r="A1135" t="inlineStr">
        <is>
          <t>SIMULATED Food Waste Remote Study</t>
        </is>
      </c>
      <c r="B1135" t="inlineStr">
        <is>
          <t>RESP0166</t>
        </is>
      </c>
      <c r="C1135" t="inlineStr">
        <is>
          <t>Stimulus</t>
        </is>
      </c>
      <c r="D1135" t="inlineStr">
        <is>
          <t>foodwaste_narrative</t>
        </is>
      </c>
      <c r="E1135" t="n">
        <v>60</v>
      </c>
      <c r="F1135" t="inlineStr">
        <is>
          <t>Positive Valence</t>
        </is>
      </c>
      <c r="G1135" t="n">
        <v>50</v>
      </c>
      <c r="H1135" t="n">
        <v>1</v>
      </c>
      <c r="I1135" t="n">
        <v>1</v>
      </c>
      <c r="J1135" t="inlineStr">
        <is>
          <t>NA</t>
        </is>
      </c>
      <c r="K1135" t="n">
        <v>91.8</v>
      </c>
    </row>
    <row r="1136">
      <c r="A1136" t="inlineStr">
        <is>
          <t>SIMULATED Food Waste Remote Study</t>
        </is>
      </c>
      <c r="B1136" t="inlineStr">
        <is>
          <t>RESP0166</t>
        </is>
      </c>
      <c r="C1136" t="inlineStr">
        <is>
          <t>Stimulus</t>
        </is>
      </c>
      <c r="D1136" t="inlineStr">
        <is>
          <t>foodwaste_narrative</t>
        </is>
      </c>
      <c r="E1136" t="n">
        <v>60</v>
      </c>
      <c r="F1136" t="inlineStr">
        <is>
          <t>Negative Valence</t>
        </is>
      </c>
      <c r="G1136" t="n">
        <v>-50</v>
      </c>
      <c r="H1136" t="n">
        <v>11.89</v>
      </c>
      <c r="I1136" t="n">
        <v>6</v>
      </c>
      <c r="J1136" t="inlineStr">
        <is>
          <t>NA</t>
        </is>
      </c>
      <c r="K1136" t="n">
        <v>91.8</v>
      </c>
    </row>
    <row r="1137">
      <c r="A1137" t="inlineStr">
        <is>
          <t>SIMULATED Food Waste Remote Study</t>
        </is>
      </c>
      <c r="B1137" t="inlineStr">
        <is>
          <t>RESP0166</t>
        </is>
      </c>
      <c r="C1137" t="inlineStr">
        <is>
          <t>Stimulus</t>
        </is>
      </c>
      <c r="D1137" t="inlineStr">
        <is>
          <t>foodwaste_visual</t>
        </is>
      </c>
      <c r="E1137" t="n">
        <v>62</v>
      </c>
      <c r="F1137" t="inlineStr">
        <is>
          <t>Engagement</t>
        </is>
      </c>
      <c r="G1137" t="n">
        <v>50</v>
      </c>
      <c r="H1137" t="n">
        <v>76.56</v>
      </c>
      <c r="I1137" t="n">
        <v>13</v>
      </c>
      <c r="J1137" t="inlineStr">
        <is>
          <t>NA</t>
        </is>
      </c>
      <c r="K1137" t="n">
        <v>88.7</v>
      </c>
    </row>
    <row r="1138">
      <c r="A1138" t="inlineStr">
        <is>
          <t>SIMULATED Food Waste Remote Study</t>
        </is>
      </c>
      <c r="B1138" t="inlineStr">
        <is>
          <t>RESP0166</t>
        </is>
      </c>
      <c r="C1138" t="inlineStr">
        <is>
          <t>Stimulus</t>
        </is>
      </c>
      <c r="D1138" t="inlineStr">
        <is>
          <t>foodwaste_visual</t>
        </is>
      </c>
      <c r="E1138" t="n">
        <v>62</v>
      </c>
      <c r="F1138" t="inlineStr">
        <is>
          <t>Joy</t>
        </is>
      </c>
      <c r="G1138" t="n">
        <v>50</v>
      </c>
      <c r="H1138" t="n">
        <v>14.52</v>
      </c>
      <c r="I1138" t="n">
        <v>4</v>
      </c>
      <c r="J1138" t="inlineStr">
        <is>
          <t>NA</t>
        </is>
      </c>
      <c r="K1138" t="n">
        <v>88.7</v>
      </c>
    </row>
    <row r="1139">
      <c r="A1139" t="inlineStr">
        <is>
          <t>SIMULATED Food Waste Remote Study</t>
        </is>
      </c>
      <c r="B1139" t="inlineStr">
        <is>
          <t>RESP0166</t>
        </is>
      </c>
      <c r="C1139" t="inlineStr">
        <is>
          <t>Stimulus</t>
        </is>
      </c>
      <c r="D1139" t="inlineStr">
        <is>
          <t>foodwaste_visual</t>
        </is>
      </c>
      <c r="E1139" t="n">
        <v>62</v>
      </c>
      <c r="F1139" t="inlineStr">
        <is>
          <t>Brow Furrow</t>
        </is>
      </c>
      <c r="G1139" t="n">
        <v>50</v>
      </c>
      <c r="H1139" t="n">
        <v>20.75</v>
      </c>
      <c r="I1139" t="n">
        <v>8</v>
      </c>
      <c r="J1139" t="inlineStr">
        <is>
          <t>NA</t>
        </is>
      </c>
      <c r="K1139" t="n">
        <v>88.7</v>
      </c>
    </row>
    <row r="1140">
      <c r="A1140" t="inlineStr">
        <is>
          <t>SIMULATED Food Waste Remote Study</t>
        </is>
      </c>
      <c r="B1140" t="inlineStr">
        <is>
          <t>RESP0166</t>
        </is>
      </c>
      <c r="C1140" t="inlineStr">
        <is>
          <t>Stimulus</t>
        </is>
      </c>
      <c r="D1140" t="inlineStr">
        <is>
          <t>foodwaste_visual</t>
        </is>
      </c>
      <c r="E1140" t="n">
        <v>62</v>
      </c>
      <c r="F1140" t="inlineStr">
        <is>
          <t>Positive Valence</t>
        </is>
      </c>
      <c r="G1140" t="n">
        <v>50</v>
      </c>
      <c r="H1140" t="n">
        <v>7.63</v>
      </c>
      <c r="I1140" t="n">
        <v>3</v>
      </c>
      <c r="J1140" t="inlineStr">
        <is>
          <t>NA</t>
        </is>
      </c>
      <c r="K1140" t="n">
        <v>88.7</v>
      </c>
    </row>
    <row r="1141">
      <c r="A1141" t="inlineStr">
        <is>
          <t>SIMULATED Food Waste Remote Study</t>
        </is>
      </c>
      <c r="B1141" t="inlineStr">
        <is>
          <t>RESP0166</t>
        </is>
      </c>
      <c r="C1141" t="inlineStr">
        <is>
          <t>Stimulus</t>
        </is>
      </c>
      <c r="D1141" t="inlineStr">
        <is>
          <t>foodwaste_visual</t>
        </is>
      </c>
      <c r="E1141" t="n">
        <v>62</v>
      </c>
      <c r="F1141" t="inlineStr">
        <is>
          <t>Negative Valence</t>
        </is>
      </c>
      <c r="G1141" t="n">
        <v>-50</v>
      </c>
      <c r="H1141" t="n">
        <v>19.62</v>
      </c>
      <c r="I1141" t="n">
        <v>7</v>
      </c>
      <c r="J1141" t="inlineStr">
        <is>
          <t>NA</t>
        </is>
      </c>
      <c r="K1141" t="n">
        <v>88.7</v>
      </c>
    </row>
    <row r="1142">
      <c r="A1142" t="inlineStr">
        <is>
          <t>SIMULATED Food Waste Remote Study</t>
        </is>
      </c>
      <c r="B1142" t="inlineStr">
        <is>
          <t>RESP0167</t>
        </is>
      </c>
      <c r="C1142" t="inlineStr">
        <is>
          <t>Stimulus</t>
        </is>
      </c>
      <c r="D1142" t="inlineStr">
        <is>
          <t>foodwaste_narrative</t>
        </is>
      </c>
      <c r="E1142" t="n">
        <v>60</v>
      </c>
      <c r="F1142" t="inlineStr">
        <is>
          <t>Engagement</t>
        </is>
      </c>
      <c r="G1142" t="n">
        <v>50</v>
      </c>
      <c r="H1142" t="n">
        <v>28.56</v>
      </c>
      <c r="I1142" t="n">
        <v>4</v>
      </c>
      <c r="J1142" t="inlineStr">
        <is>
          <t>NA</t>
        </is>
      </c>
      <c r="K1142" t="n">
        <v>94.90000000000001</v>
      </c>
    </row>
    <row r="1143">
      <c r="A1143" t="inlineStr">
        <is>
          <t>SIMULATED Food Waste Remote Study</t>
        </is>
      </c>
      <c r="B1143" t="inlineStr">
        <is>
          <t>RESP0167</t>
        </is>
      </c>
      <c r="C1143" t="inlineStr">
        <is>
          <t>Stimulus</t>
        </is>
      </c>
      <c r="D1143" t="inlineStr">
        <is>
          <t>foodwaste_narrative</t>
        </is>
      </c>
      <c r="E1143" t="n">
        <v>60</v>
      </c>
      <c r="F1143" t="inlineStr">
        <is>
          <t>Joy</t>
        </is>
      </c>
      <c r="G1143" t="n">
        <v>50</v>
      </c>
      <c r="H1143" t="n">
        <v>0</v>
      </c>
      <c r="I1143" t="n">
        <v>0</v>
      </c>
      <c r="J1143" t="inlineStr">
        <is>
          <t>NA</t>
        </is>
      </c>
      <c r="K1143" t="n">
        <v>94.90000000000001</v>
      </c>
    </row>
    <row r="1144">
      <c r="A1144" t="inlineStr">
        <is>
          <t>SIMULATED Food Waste Remote Study</t>
        </is>
      </c>
      <c r="B1144" t="inlineStr">
        <is>
          <t>RESP0167</t>
        </is>
      </c>
      <c r="C1144" t="inlineStr">
        <is>
          <t>Stimulus</t>
        </is>
      </c>
      <c r="D1144" t="inlineStr">
        <is>
          <t>foodwaste_narrative</t>
        </is>
      </c>
      <c r="E1144" t="n">
        <v>60</v>
      </c>
      <c r="F1144" t="inlineStr">
        <is>
          <t>Brow Furrow</t>
        </is>
      </c>
      <c r="G1144" t="n">
        <v>50</v>
      </c>
      <c r="H1144" t="n">
        <v>0</v>
      </c>
      <c r="I1144" t="n">
        <v>0</v>
      </c>
      <c r="J1144" t="inlineStr">
        <is>
          <t>NA</t>
        </is>
      </c>
      <c r="K1144" t="n">
        <v>94.90000000000001</v>
      </c>
    </row>
    <row r="1145">
      <c r="A1145" t="inlineStr">
        <is>
          <t>SIMULATED Food Waste Remote Study</t>
        </is>
      </c>
      <c r="B1145" t="inlineStr">
        <is>
          <t>RESP0167</t>
        </is>
      </c>
      <c r="C1145" t="inlineStr">
        <is>
          <t>Stimulus</t>
        </is>
      </c>
      <c r="D1145" t="inlineStr">
        <is>
          <t>foodwaste_narrative</t>
        </is>
      </c>
      <c r="E1145" t="n">
        <v>60</v>
      </c>
      <c r="F1145" t="inlineStr">
        <is>
          <t>Positive Valence</t>
        </is>
      </c>
      <c r="G1145" t="n">
        <v>50</v>
      </c>
      <c r="H1145" t="n">
        <v>4.44</v>
      </c>
      <c r="I1145" t="n">
        <v>1</v>
      </c>
      <c r="J1145" t="inlineStr">
        <is>
          <t>NA</t>
        </is>
      </c>
      <c r="K1145" t="n">
        <v>94.90000000000001</v>
      </c>
    </row>
    <row r="1146">
      <c r="A1146" t="inlineStr">
        <is>
          <t>SIMULATED Food Waste Remote Study</t>
        </is>
      </c>
      <c r="B1146" t="inlineStr">
        <is>
          <t>RESP0167</t>
        </is>
      </c>
      <c r="C1146" t="inlineStr">
        <is>
          <t>Stimulus</t>
        </is>
      </c>
      <c r="D1146" t="inlineStr">
        <is>
          <t>foodwaste_narrative</t>
        </is>
      </c>
      <c r="E1146" t="n">
        <v>60</v>
      </c>
      <c r="F1146" t="inlineStr">
        <is>
          <t>Negative Valence</t>
        </is>
      </c>
      <c r="G1146" t="n">
        <v>-50</v>
      </c>
      <c r="H1146" t="n">
        <v>3.11</v>
      </c>
      <c r="I1146" t="n">
        <v>2</v>
      </c>
      <c r="J1146" t="inlineStr">
        <is>
          <t>NA</t>
        </is>
      </c>
      <c r="K1146" t="n">
        <v>94.90000000000001</v>
      </c>
    </row>
    <row r="1147">
      <c r="A1147" t="inlineStr">
        <is>
          <t>SIMULATED Food Waste Remote Study</t>
        </is>
      </c>
      <c r="B1147" t="inlineStr">
        <is>
          <t>RESP0167</t>
        </is>
      </c>
      <c r="C1147" t="inlineStr">
        <is>
          <t>Stimulus</t>
        </is>
      </c>
      <c r="D1147" t="inlineStr">
        <is>
          <t>foodwaste_visual</t>
        </is>
      </c>
      <c r="E1147" t="n">
        <v>62</v>
      </c>
      <c r="F1147" t="inlineStr">
        <is>
          <t>Engagement</t>
        </is>
      </c>
      <c r="G1147" t="n">
        <v>50</v>
      </c>
      <c r="H1147" t="n">
        <v>74.41</v>
      </c>
      <c r="I1147" t="n">
        <v>14</v>
      </c>
      <c r="J1147" t="inlineStr">
        <is>
          <t>NA</t>
        </is>
      </c>
      <c r="K1147" t="n">
        <v>95.7</v>
      </c>
    </row>
    <row r="1148">
      <c r="A1148" t="inlineStr">
        <is>
          <t>SIMULATED Food Waste Remote Study</t>
        </is>
      </c>
      <c r="B1148" t="inlineStr">
        <is>
          <t>RESP0167</t>
        </is>
      </c>
      <c r="C1148" t="inlineStr">
        <is>
          <t>Stimulus</t>
        </is>
      </c>
      <c r="D1148" t="inlineStr">
        <is>
          <t>foodwaste_visual</t>
        </is>
      </c>
      <c r="E1148" t="n">
        <v>62</v>
      </c>
      <c r="F1148" t="inlineStr">
        <is>
          <t>Joy</t>
        </is>
      </c>
      <c r="G1148" t="n">
        <v>50</v>
      </c>
      <c r="H1148" t="n">
        <v>0.05</v>
      </c>
      <c r="I1148" t="n">
        <v>1</v>
      </c>
      <c r="J1148" t="inlineStr">
        <is>
          <t>NA</t>
        </is>
      </c>
      <c r="K1148" t="n">
        <v>95.7</v>
      </c>
    </row>
    <row r="1149">
      <c r="A1149" t="inlineStr">
        <is>
          <t>SIMULATED Food Waste Remote Study</t>
        </is>
      </c>
      <c r="B1149" t="inlineStr">
        <is>
          <t>RESP0167</t>
        </is>
      </c>
      <c r="C1149" t="inlineStr">
        <is>
          <t>Stimulus</t>
        </is>
      </c>
      <c r="D1149" t="inlineStr">
        <is>
          <t>foodwaste_visual</t>
        </is>
      </c>
      <c r="E1149" t="n">
        <v>62</v>
      </c>
      <c r="F1149" t="inlineStr">
        <is>
          <t>Brow Furrow</t>
        </is>
      </c>
      <c r="G1149" t="n">
        <v>50</v>
      </c>
      <c r="H1149" t="n">
        <v>2.04</v>
      </c>
      <c r="I1149" t="n">
        <v>2</v>
      </c>
      <c r="J1149" t="inlineStr">
        <is>
          <t>NA</t>
        </is>
      </c>
      <c r="K1149" t="n">
        <v>95.7</v>
      </c>
    </row>
    <row r="1150">
      <c r="A1150" t="inlineStr">
        <is>
          <t>SIMULATED Food Waste Remote Study</t>
        </is>
      </c>
      <c r="B1150" t="inlineStr">
        <is>
          <t>RESP0167</t>
        </is>
      </c>
      <c r="C1150" t="inlineStr">
        <is>
          <t>Stimulus</t>
        </is>
      </c>
      <c r="D1150" t="inlineStr">
        <is>
          <t>foodwaste_visual</t>
        </is>
      </c>
      <c r="E1150" t="n">
        <v>62</v>
      </c>
      <c r="F1150" t="inlineStr">
        <is>
          <t>Positive Valence</t>
        </is>
      </c>
      <c r="G1150" t="n">
        <v>50</v>
      </c>
      <c r="H1150" t="n">
        <v>17.15</v>
      </c>
      <c r="I1150" t="n">
        <v>3</v>
      </c>
      <c r="J1150" t="inlineStr">
        <is>
          <t>NA</t>
        </is>
      </c>
      <c r="K1150" t="n">
        <v>95.7</v>
      </c>
    </row>
    <row r="1151">
      <c r="A1151" t="inlineStr">
        <is>
          <t>SIMULATED Food Waste Remote Study</t>
        </is>
      </c>
      <c r="B1151" t="inlineStr">
        <is>
          <t>RESP0167</t>
        </is>
      </c>
      <c r="C1151" t="inlineStr">
        <is>
          <t>Stimulus</t>
        </is>
      </c>
      <c r="D1151" t="inlineStr">
        <is>
          <t>foodwaste_visual</t>
        </is>
      </c>
      <c r="E1151" t="n">
        <v>62</v>
      </c>
      <c r="F1151" t="inlineStr">
        <is>
          <t>Negative Valence</t>
        </is>
      </c>
      <c r="G1151" t="n">
        <v>-50</v>
      </c>
      <c r="H1151" t="n">
        <v>3.01</v>
      </c>
      <c r="I1151" t="n">
        <v>3</v>
      </c>
      <c r="J1151" t="inlineStr">
        <is>
          <t>NA</t>
        </is>
      </c>
      <c r="K1151" t="n">
        <v>95.7</v>
      </c>
    </row>
    <row r="1152">
      <c r="A1152" t="inlineStr">
        <is>
          <t>SIMULATED Food Waste Remote Study</t>
        </is>
      </c>
      <c r="B1152" t="inlineStr">
        <is>
          <t>RESP0168</t>
        </is>
      </c>
      <c r="C1152" t="inlineStr">
        <is>
          <t>Stimulus</t>
        </is>
      </c>
      <c r="D1152" t="inlineStr">
        <is>
          <t>foodwaste_narrative</t>
        </is>
      </c>
      <c r="E1152" t="n">
        <v>60</v>
      </c>
      <c r="F1152" t="inlineStr">
        <is>
          <t>Engagement</t>
        </is>
      </c>
      <c r="G1152" t="n">
        <v>50</v>
      </c>
      <c r="H1152" t="n">
        <v>2.22</v>
      </c>
      <c r="I1152" t="n">
        <v>1</v>
      </c>
      <c r="J1152" t="inlineStr">
        <is>
          <t>NA</t>
        </is>
      </c>
      <c r="K1152" t="n">
        <v>99.2</v>
      </c>
    </row>
    <row r="1153">
      <c r="A1153" t="inlineStr">
        <is>
          <t>SIMULATED Food Waste Remote Study</t>
        </is>
      </c>
      <c r="B1153" t="inlineStr">
        <is>
          <t>RESP0168</t>
        </is>
      </c>
      <c r="C1153" t="inlineStr">
        <is>
          <t>Stimulus</t>
        </is>
      </c>
      <c r="D1153" t="inlineStr">
        <is>
          <t>foodwaste_narrative</t>
        </is>
      </c>
      <c r="E1153" t="n">
        <v>60</v>
      </c>
      <c r="F1153" t="inlineStr">
        <is>
          <t>Joy</t>
        </is>
      </c>
      <c r="G1153" t="n">
        <v>50</v>
      </c>
      <c r="H1153" t="n">
        <v>0</v>
      </c>
      <c r="I1153" t="n">
        <v>0</v>
      </c>
      <c r="J1153" t="inlineStr">
        <is>
          <t>NA</t>
        </is>
      </c>
      <c r="K1153" t="n">
        <v>99.2</v>
      </c>
    </row>
    <row r="1154">
      <c r="A1154" t="inlineStr">
        <is>
          <t>SIMULATED Food Waste Remote Study</t>
        </is>
      </c>
      <c r="B1154" t="inlineStr">
        <is>
          <t>RESP0168</t>
        </is>
      </c>
      <c r="C1154" t="inlineStr">
        <is>
          <t>Stimulus</t>
        </is>
      </c>
      <c r="D1154" t="inlineStr">
        <is>
          <t>foodwaste_narrative</t>
        </is>
      </c>
      <c r="E1154" t="n">
        <v>60</v>
      </c>
      <c r="F1154" t="inlineStr">
        <is>
          <t>Brow Furrow</t>
        </is>
      </c>
      <c r="G1154" t="n">
        <v>50</v>
      </c>
      <c r="H1154" t="n">
        <v>19.11</v>
      </c>
      <c r="I1154" t="n">
        <v>5</v>
      </c>
      <c r="J1154" t="inlineStr">
        <is>
          <t>NA</t>
        </is>
      </c>
      <c r="K1154" t="n">
        <v>99.2</v>
      </c>
    </row>
    <row r="1155">
      <c r="A1155" t="inlineStr">
        <is>
          <t>SIMULATED Food Waste Remote Study</t>
        </is>
      </c>
      <c r="B1155" t="inlineStr">
        <is>
          <t>RESP0168</t>
        </is>
      </c>
      <c r="C1155" t="inlineStr">
        <is>
          <t>Stimulus</t>
        </is>
      </c>
      <c r="D1155" t="inlineStr">
        <is>
          <t>foodwaste_narrative</t>
        </is>
      </c>
      <c r="E1155" t="n">
        <v>60</v>
      </c>
      <c r="F1155" t="inlineStr">
        <is>
          <t>Positive Valence</t>
        </is>
      </c>
      <c r="G1155" t="n">
        <v>50</v>
      </c>
      <c r="H1155" t="n">
        <v>0</v>
      </c>
      <c r="I1155" t="n">
        <v>0</v>
      </c>
      <c r="J1155" t="inlineStr">
        <is>
          <t>NA</t>
        </is>
      </c>
      <c r="K1155" t="n">
        <v>99.2</v>
      </c>
    </row>
    <row r="1156">
      <c r="A1156" t="inlineStr">
        <is>
          <t>SIMULATED Food Waste Remote Study</t>
        </is>
      </c>
      <c r="B1156" t="inlineStr">
        <is>
          <t>RESP0168</t>
        </is>
      </c>
      <c r="C1156" t="inlineStr">
        <is>
          <t>Stimulus</t>
        </is>
      </c>
      <c r="D1156" t="inlineStr">
        <is>
          <t>foodwaste_narrative</t>
        </is>
      </c>
      <c r="E1156" t="n">
        <v>60</v>
      </c>
      <c r="F1156" t="inlineStr">
        <is>
          <t>Negative Valence</t>
        </is>
      </c>
      <c r="G1156" t="n">
        <v>-50</v>
      </c>
      <c r="H1156" t="n">
        <v>8.67</v>
      </c>
      <c r="I1156" t="n">
        <v>4</v>
      </c>
      <c r="J1156" t="inlineStr">
        <is>
          <t>NA</t>
        </is>
      </c>
      <c r="K1156" t="n">
        <v>99.2</v>
      </c>
    </row>
    <row r="1157">
      <c r="A1157" t="inlineStr">
        <is>
          <t>SIMULATED Food Waste Remote Study</t>
        </is>
      </c>
      <c r="B1157" t="inlineStr">
        <is>
          <t>RESP0168</t>
        </is>
      </c>
      <c r="C1157" t="inlineStr">
        <is>
          <t>Stimulus</t>
        </is>
      </c>
      <c r="D1157" t="inlineStr">
        <is>
          <t>foodwaste_visual</t>
        </is>
      </c>
      <c r="E1157" t="n">
        <v>62</v>
      </c>
      <c r="F1157" t="inlineStr">
        <is>
          <t>Engagement</t>
        </is>
      </c>
      <c r="G1157" t="n">
        <v>50</v>
      </c>
      <c r="H1157" t="n">
        <v>25.75</v>
      </c>
      <c r="I1157" t="n">
        <v>7</v>
      </c>
      <c r="J1157" t="inlineStr">
        <is>
          <t>NA</t>
        </is>
      </c>
      <c r="K1157" t="n">
        <v>98.8</v>
      </c>
    </row>
    <row r="1158">
      <c r="A1158" t="inlineStr">
        <is>
          <t>SIMULATED Food Waste Remote Study</t>
        </is>
      </c>
      <c r="B1158" t="inlineStr">
        <is>
          <t>RESP0168</t>
        </is>
      </c>
      <c r="C1158" t="inlineStr">
        <is>
          <t>Stimulus</t>
        </is>
      </c>
      <c r="D1158" t="inlineStr">
        <is>
          <t>foodwaste_visual</t>
        </is>
      </c>
      <c r="E1158" t="n">
        <v>62</v>
      </c>
      <c r="F1158" t="inlineStr">
        <is>
          <t>Joy</t>
        </is>
      </c>
      <c r="G1158" t="n">
        <v>50</v>
      </c>
      <c r="H1158" t="n">
        <v>0.32</v>
      </c>
      <c r="I1158" t="n">
        <v>1</v>
      </c>
      <c r="J1158" t="inlineStr">
        <is>
          <t>NA</t>
        </is>
      </c>
      <c r="K1158" t="n">
        <v>98.8</v>
      </c>
    </row>
    <row r="1159">
      <c r="A1159" t="inlineStr">
        <is>
          <t>SIMULATED Food Waste Remote Study</t>
        </is>
      </c>
      <c r="B1159" t="inlineStr">
        <is>
          <t>RESP0168</t>
        </is>
      </c>
      <c r="C1159" t="inlineStr">
        <is>
          <t>Stimulus</t>
        </is>
      </c>
      <c r="D1159" t="inlineStr">
        <is>
          <t>foodwaste_visual</t>
        </is>
      </c>
      <c r="E1159" t="n">
        <v>62</v>
      </c>
      <c r="F1159" t="inlineStr">
        <is>
          <t>Brow Furrow</t>
        </is>
      </c>
      <c r="G1159" t="n">
        <v>50</v>
      </c>
      <c r="H1159" t="n">
        <v>2.63</v>
      </c>
      <c r="I1159" t="n">
        <v>2</v>
      </c>
      <c r="J1159" t="inlineStr">
        <is>
          <t>NA</t>
        </is>
      </c>
      <c r="K1159" t="n">
        <v>98.8</v>
      </c>
    </row>
    <row r="1160">
      <c r="A1160" t="inlineStr">
        <is>
          <t>SIMULATED Food Waste Remote Study</t>
        </is>
      </c>
      <c r="B1160" t="inlineStr">
        <is>
          <t>RESP0168</t>
        </is>
      </c>
      <c r="C1160" t="inlineStr">
        <is>
          <t>Stimulus</t>
        </is>
      </c>
      <c r="D1160" t="inlineStr">
        <is>
          <t>foodwaste_visual</t>
        </is>
      </c>
      <c r="E1160" t="n">
        <v>62</v>
      </c>
      <c r="F1160" t="inlineStr">
        <is>
          <t>Positive Valence</t>
        </is>
      </c>
      <c r="G1160" t="n">
        <v>50</v>
      </c>
      <c r="H1160" t="n">
        <v>0.8100000000000001</v>
      </c>
      <c r="I1160" t="n">
        <v>1</v>
      </c>
      <c r="J1160" t="inlineStr">
        <is>
          <t>NA</t>
        </is>
      </c>
      <c r="K1160" t="n">
        <v>98.8</v>
      </c>
    </row>
    <row r="1161">
      <c r="A1161" t="inlineStr">
        <is>
          <t>SIMULATED Food Waste Remote Study</t>
        </is>
      </c>
      <c r="B1161" t="inlineStr">
        <is>
          <t>RESP0168</t>
        </is>
      </c>
      <c r="C1161" t="inlineStr">
        <is>
          <t>Stimulus</t>
        </is>
      </c>
      <c r="D1161" t="inlineStr">
        <is>
          <t>foodwaste_visual</t>
        </is>
      </c>
      <c r="E1161" t="n">
        <v>62</v>
      </c>
      <c r="F1161" t="inlineStr">
        <is>
          <t>Negative Valence</t>
        </is>
      </c>
      <c r="G1161" t="n">
        <v>-50</v>
      </c>
      <c r="H1161" t="n">
        <v>4.68</v>
      </c>
      <c r="I1161" t="n">
        <v>2</v>
      </c>
      <c r="J1161" t="inlineStr">
        <is>
          <t>NA</t>
        </is>
      </c>
      <c r="K1161" t="n">
        <v>98.8</v>
      </c>
    </row>
    <row r="1162">
      <c r="A1162" t="inlineStr">
        <is>
          <t>SIMULATED Food Waste Remote Study</t>
        </is>
      </c>
      <c r="B1162" t="inlineStr">
        <is>
          <t>RESP0169</t>
        </is>
      </c>
      <c r="C1162" t="inlineStr">
        <is>
          <t>Stimulus</t>
        </is>
      </c>
      <c r="D1162" t="inlineStr">
        <is>
          <t>foodwaste_narrative</t>
        </is>
      </c>
      <c r="E1162" t="n">
        <v>60</v>
      </c>
      <c r="F1162" t="inlineStr">
        <is>
          <t>Engagement</t>
        </is>
      </c>
      <c r="G1162" t="n">
        <v>50</v>
      </c>
      <c r="H1162" t="n">
        <v>0</v>
      </c>
      <c r="I1162" t="n">
        <v>0</v>
      </c>
      <c r="J1162" t="inlineStr">
        <is>
          <t>NA</t>
        </is>
      </c>
      <c r="K1162" t="n">
        <v>93.59999999999999</v>
      </c>
    </row>
    <row r="1163">
      <c r="A1163" t="inlineStr">
        <is>
          <t>SIMULATED Food Waste Remote Study</t>
        </is>
      </c>
      <c r="B1163" t="inlineStr">
        <is>
          <t>RESP0169</t>
        </is>
      </c>
      <c r="C1163" t="inlineStr">
        <is>
          <t>Stimulus</t>
        </is>
      </c>
      <c r="D1163" t="inlineStr">
        <is>
          <t>foodwaste_narrative</t>
        </is>
      </c>
      <c r="E1163" t="n">
        <v>60</v>
      </c>
      <c r="F1163" t="inlineStr">
        <is>
          <t>Joy</t>
        </is>
      </c>
      <c r="G1163" t="n">
        <v>50</v>
      </c>
      <c r="H1163" t="n">
        <v>0</v>
      </c>
      <c r="I1163" t="n">
        <v>0</v>
      </c>
      <c r="J1163" t="inlineStr">
        <is>
          <t>NA</t>
        </is>
      </c>
      <c r="K1163" t="n">
        <v>93.59999999999999</v>
      </c>
    </row>
    <row r="1164">
      <c r="A1164" t="inlineStr">
        <is>
          <t>SIMULATED Food Waste Remote Study</t>
        </is>
      </c>
      <c r="B1164" t="inlineStr">
        <is>
          <t>RESP0169</t>
        </is>
      </c>
      <c r="C1164" t="inlineStr">
        <is>
          <t>Stimulus</t>
        </is>
      </c>
      <c r="D1164" t="inlineStr">
        <is>
          <t>foodwaste_narrative</t>
        </is>
      </c>
      <c r="E1164" t="n">
        <v>60</v>
      </c>
      <c r="F1164" t="inlineStr">
        <is>
          <t>Brow Furrow</t>
        </is>
      </c>
      <c r="G1164" t="n">
        <v>50</v>
      </c>
      <c r="H1164" t="n">
        <v>0</v>
      </c>
      <c r="I1164" t="n">
        <v>0</v>
      </c>
      <c r="J1164" t="inlineStr">
        <is>
          <t>NA</t>
        </is>
      </c>
      <c r="K1164" t="n">
        <v>93.59999999999999</v>
      </c>
    </row>
    <row r="1165">
      <c r="A1165" t="inlineStr">
        <is>
          <t>SIMULATED Food Waste Remote Study</t>
        </is>
      </c>
      <c r="B1165" t="inlineStr">
        <is>
          <t>RESP0169</t>
        </is>
      </c>
      <c r="C1165" t="inlineStr">
        <is>
          <t>Stimulus</t>
        </is>
      </c>
      <c r="D1165" t="inlineStr">
        <is>
          <t>foodwaste_narrative</t>
        </is>
      </c>
      <c r="E1165" t="n">
        <v>60</v>
      </c>
      <c r="F1165" t="inlineStr">
        <is>
          <t>Positive Valence</t>
        </is>
      </c>
      <c r="G1165" t="n">
        <v>50</v>
      </c>
      <c r="H1165" t="n">
        <v>0</v>
      </c>
      <c r="I1165" t="n">
        <v>0</v>
      </c>
      <c r="J1165" t="inlineStr">
        <is>
          <t>NA</t>
        </is>
      </c>
      <c r="K1165" t="n">
        <v>93.59999999999999</v>
      </c>
    </row>
    <row r="1166">
      <c r="A1166" t="inlineStr">
        <is>
          <t>SIMULATED Food Waste Remote Study</t>
        </is>
      </c>
      <c r="B1166" t="inlineStr">
        <is>
          <t>RESP0169</t>
        </is>
      </c>
      <c r="C1166" t="inlineStr">
        <is>
          <t>Stimulus</t>
        </is>
      </c>
      <c r="D1166" t="inlineStr">
        <is>
          <t>foodwaste_narrative</t>
        </is>
      </c>
      <c r="E1166" t="n">
        <v>60</v>
      </c>
      <c r="F1166" t="inlineStr">
        <is>
          <t>Negative Valence</t>
        </is>
      </c>
      <c r="G1166" t="n">
        <v>-50</v>
      </c>
      <c r="H1166" t="n">
        <v>0</v>
      </c>
      <c r="I1166" t="n">
        <v>0</v>
      </c>
      <c r="J1166" t="inlineStr">
        <is>
          <t>NA</t>
        </is>
      </c>
      <c r="K1166" t="n">
        <v>93.59999999999999</v>
      </c>
    </row>
    <row r="1167">
      <c r="A1167" t="inlineStr">
        <is>
          <t>SIMULATED Food Waste Remote Study</t>
        </is>
      </c>
      <c r="B1167" t="inlineStr">
        <is>
          <t>RESP0169</t>
        </is>
      </c>
      <c r="C1167" t="inlineStr">
        <is>
          <t>Stimulus</t>
        </is>
      </c>
      <c r="D1167" t="inlineStr">
        <is>
          <t>foodwaste_visual</t>
        </is>
      </c>
      <c r="E1167" t="n">
        <v>62</v>
      </c>
      <c r="F1167" t="inlineStr">
        <is>
          <t>Engagement</t>
        </is>
      </c>
      <c r="G1167" t="n">
        <v>50</v>
      </c>
      <c r="H1167" t="n">
        <v>8.92</v>
      </c>
      <c r="I1167" t="n">
        <v>2</v>
      </c>
      <c r="J1167" t="inlineStr">
        <is>
          <t>NA</t>
        </is>
      </c>
      <c r="K1167" t="n">
        <v>95.7</v>
      </c>
    </row>
    <row r="1168">
      <c r="A1168" t="inlineStr">
        <is>
          <t>SIMULATED Food Waste Remote Study</t>
        </is>
      </c>
      <c r="B1168" t="inlineStr">
        <is>
          <t>RESP0169</t>
        </is>
      </c>
      <c r="C1168" t="inlineStr">
        <is>
          <t>Stimulus</t>
        </is>
      </c>
      <c r="D1168" t="inlineStr">
        <is>
          <t>foodwaste_visual</t>
        </is>
      </c>
      <c r="E1168" t="n">
        <v>62</v>
      </c>
      <c r="F1168" t="inlineStr">
        <is>
          <t>Joy</t>
        </is>
      </c>
      <c r="G1168" t="n">
        <v>50</v>
      </c>
      <c r="H1168" t="n">
        <v>5.59</v>
      </c>
      <c r="I1168" t="n">
        <v>3</v>
      </c>
      <c r="J1168" t="inlineStr">
        <is>
          <t>NA</t>
        </is>
      </c>
      <c r="K1168" t="n">
        <v>95.7</v>
      </c>
    </row>
    <row r="1169">
      <c r="A1169" t="inlineStr">
        <is>
          <t>SIMULATED Food Waste Remote Study</t>
        </is>
      </c>
      <c r="B1169" t="inlineStr">
        <is>
          <t>RESP0169</t>
        </is>
      </c>
      <c r="C1169" t="inlineStr">
        <is>
          <t>Stimulus</t>
        </is>
      </c>
      <c r="D1169" t="inlineStr">
        <is>
          <t>foodwaste_visual</t>
        </is>
      </c>
      <c r="E1169" t="n">
        <v>62</v>
      </c>
      <c r="F1169" t="inlineStr">
        <is>
          <t>Brow Furrow</t>
        </is>
      </c>
      <c r="G1169" t="n">
        <v>50</v>
      </c>
      <c r="H1169" t="n">
        <v>4.14</v>
      </c>
      <c r="I1169" t="n">
        <v>1</v>
      </c>
      <c r="J1169" t="inlineStr">
        <is>
          <t>NA</t>
        </is>
      </c>
      <c r="K1169" t="n">
        <v>95.7</v>
      </c>
    </row>
    <row r="1170">
      <c r="A1170" t="inlineStr">
        <is>
          <t>SIMULATED Food Waste Remote Study</t>
        </is>
      </c>
      <c r="B1170" t="inlineStr">
        <is>
          <t>RESP0169</t>
        </is>
      </c>
      <c r="C1170" t="inlineStr">
        <is>
          <t>Stimulus</t>
        </is>
      </c>
      <c r="D1170" t="inlineStr">
        <is>
          <t>foodwaste_visual</t>
        </is>
      </c>
      <c r="E1170" t="n">
        <v>62</v>
      </c>
      <c r="F1170" t="inlineStr">
        <is>
          <t>Positive Valence</t>
        </is>
      </c>
      <c r="G1170" t="n">
        <v>50</v>
      </c>
      <c r="H1170" t="n">
        <v>2.47</v>
      </c>
      <c r="I1170" t="n">
        <v>3</v>
      </c>
      <c r="J1170" t="inlineStr">
        <is>
          <t>NA</t>
        </is>
      </c>
      <c r="K1170" t="n">
        <v>95.7</v>
      </c>
    </row>
    <row r="1171">
      <c r="A1171" t="inlineStr">
        <is>
          <t>SIMULATED Food Waste Remote Study</t>
        </is>
      </c>
      <c r="B1171" t="inlineStr">
        <is>
          <t>RESP0169</t>
        </is>
      </c>
      <c r="C1171" t="inlineStr">
        <is>
          <t>Stimulus</t>
        </is>
      </c>
      <c r="D1171" t="inlineStr">
        <is>
          <t>foodwaste_visual</t>
        </is>
      </c>
      <c r="E1171" t="n">
        <v>62</v>
      </c>
      <c r="F1171" t="inlineStr">
        <is>
          <t>Negative Valence</t>
        </is>
      </c>
      <c r="G1171" t="n">
        <v>-50</v>
      </c>
      <c r="H1171" t="n">
        <v>0</v>
      </c>
      <c r="I1171" t="n">
        <v>0</v>
      </c>
      <c r="J1171" t="inlineStr">
        <is>
          <t>NA</t>
        </is>
      </c>
      <c r="K1171" t="n">
        <v>95.7</v>
      </c>
    </row>
    <row r="1172">
      <c r="A1172" t="inlineStr">
        <is>
          <t>SIMULATED Food Waste Remote Study</t>
        </is>
      </c>
      <c r="B1172" t="inlineStr">
        <is>
          <t>RESP0170</t>
        </is>
      </c>
      <c r="C1172" t="inlineStr">
        <is>
          <t>Stimulus</t>
        </is>
      </c>
      <c r="D1172" t="inlineStr">
        <is>
          <t>foodwaste_narrative</t>
        </is>
      </c>
      <c r="E1172" t="n">
        <v>60</v>
      </c>
      <c r="F1172" t="inlineStr">
        <is>
          <t>Engagement</t>
        </is>
      </c>
      <c r="G1172" t="n">
        <v>50</v>
      </c>
      <c r="H1172" t="n">
        <v>11.72</v>
      </c>
      <c r="I1172" t="n">
        <v>2</v>
      </c>
      <c r="J1172" t="inlineStr">
        <is>
          <t>NA</t>
        </is>
      </c>
      <c r="K1172" t="n">
        <v>99.09999999999999</v>
      </c>
    </row>
    <row r="1173">
      <c r="A1173" t="inlineStr">
        <is>
          <t>SIMULATED Food Waste Remote Study</t>
        </is>
      </c>
      <c r="B1173" t="inlineStr">
        <is>
          <t>RESP0170</t>
        </is>
      </c>
      <c r="C1173" t="inlineStr">
        <is>
          <t>Stimulus</t>
        </is>
      </c>
      <c r="D1173" t="inlineStr">
        <is>
          <t>foodwaste_narrative</t>
        </is>
      </c>
      <c r="E1173" t="n">
        <v>60</v>
      </c>
      <c r="F1173" t="inlineStr">
        <is>
          <t>Joy</t>
        </is>
      </c>
      <c r="G1173" t="n">
        <v>50</v>
      </c>
      <c r="H1173" t="n">
        <v>0</v>
      </c>
      <c r="I1173" t="n">
        <v>0</v>
      </c>
      <c r="J1173" t="inlineStr">
        <is>
          <t>NA</t>
        </is>
      </c>
      <c r="K1173" t="n">
        <v>99.09999999999999</v>
      </c>
    </row>
    <row r="1174">
      <c r="A1174" t="inlineStr">
        <is>
          <t>SIMULATED Food Waste Remote Study</t>
        </is>
      </c>
      <c r="B1174" t="inlineStr">
        <is>
          <t>RESP0170</t>
        </is>
      </c>
      <c r="C1174" t="inlineStr">
        <is>
          <t>Stimulus</t>
        </is>
      </c>
      <c r="D1174" t="inlineStr">
        <is>
          <t>foodwaste_narrative</t>
        </is>
      </c>
      <c r="E1174" t="n">
        <v>60</v>
      </c>
      <c r="F1174" t="inlineStr">
        <is>
          <t>Brow Furrow</t>
        </is>
      </c>
      <c r="G1174" t="n">
        <v>50</v>
      </c>
      <c r="H1174" t="n">
        <v>0</v>
      </c>
      <c r="I1174" t="n">
        <v>0</v>
      </c>
      <c r="J1174" t="inlineStr">
        <is>
          <t>NA</t>
        </is>
      </c>
      <c r="K1174" t="n">
        <v>99.09999999999999</v>
      </c>
    </row>
    <row r="1175">
      <c r="A1175" t="inlineStr">
        <is>
          <t>SIMULATED Food Waste Remote Study</t>
        </is>
      </c>
      <c r="B1175" t="inlineStr">
        <is>
          <t>RESP0170</t>
        </is>
      </c>
      <c r="C1175" t="inlineStr">
        <is>
          <t>Stimulus</t>
        </is>
      </c>
      <c r="D1175" t="inlineStr">
        <is>
          <t>foodwaste_narrative</t>
        </is>
      </c>
      <c r="E1175" t="n">
        <v>60</v>
      </c>
      <c r="F1175" t="inlineStr">
        <is>
          <t>Positive Valence</t>
        </is>
      </c>
      <c r="G1175" t="n">
        <v>50</v>
      </c>
      <c r="H1175" t="n">
        <v>7.5</v>
      </c>
      <c r="I1175" t="n">
        <v>4</v>
      </c>
      <c r="J1175" t="inlineStr">
        <is>
          <t>NA</t>
        </is>
      </c>
      <c r="K1175" t="n">
        <v>99.09999999999999</v>
      </c>
    </row>
    <row r="1176">
      <c r="A1176" t="inlineStr">
        <is>
          <t>SIMULATED Food Waste Remote Study</t>
        </is>
      </c>
      <c r="B1176" t="inlineStr">
        <is>
          <t>RESP0170</t>
        </is>
      </c>
      <c r="C1176" t="inlineStr">
        <is>
          <t>Stimulus</t>
        </is>
      </c>
      <c r="D1176" t="inlineStr">
        <is>
          <t>foodwaste_narrative</t>
        </is>
      </c>
      <c r="E1176" t="n">
        <v>60</v>
      </c>
      <c r="F1176" t="inlineStr">
        <is>
          <t>Negative Valence</t>
        </is>
      </c>
      <c r="G1176" t="n">
        <v>-50</v>
      </c>
      <c r="H1176" t="n">
        <v>9.720000000000001</v>
      </c>
      <c r="I1176" t="n">
        <v>4</v>
      </c>
      <c r="J1176" t="inlineStr">
        <is>
          <t>NA</t>
        </is>
      </c>
      <c r="K1176" t="n">
        <v>99.09999999999999</v>
      </c>
    </row>
    <row r="1177">
      <c r="A1177" t="inlineStr">
        <is>
          <t>SIMULATED Food Waste Remote Study</t>
        </is>
      </c>
      <c r="B1177" t="inlineStr">
        <is>
          <t>RESP0170</t>
        </is>
      </c>
      <c r="C1177" t="inlineStr">
        <is>
          <t>Stimulus</t>
        </is>
      </c>
      <c r="D1177" t="inlineStr">
        <is>
          <t>foodwaste_visual</t>
        </is>
      </c>
      <c r="E1177" t="n">
        <v>62</v>
      </c>
      <c r="F1177" t="inlineStr">
        <is>
          <t>Engagement</t>
        </is>
      </c>
      <c r="G1177" t="n">
        <v>50</v>
      </c>
      <c r="H1177" t="n">
        <v>30.59</v>
      </c>
      <c r="I1177" t="n">
        <v>7</v>
      </c>
      <c r="J1177" t="inlineStr">
        <is>
          <t>NA</t>
        </is>
      </c>
      <c r="K1177" t="n">
        <v>98.40000000000001</v>
      </c>
    </row>
    <row r="1178">
      <c r="A1178" t="inlineStr">
        <is>
          <t>SIMULATED Food Waste Remote Study</t>
        </is>
      </c>
      <c r="B1178" t="inlineStr">
        <is>
          <t>RESP0170</t>
        </is>
      </c>
      <c r="C1178" t="inlineStr">
        <is>
          <t>Stimulus</t>
        </is>
      </c>
      <c r="D1178" t="inlineStr">
        <is>
          <t>foodwaste_visual</t>
        </is>
      </c>
      <c r="E1178" t="n">
        <v>62</v>
      </c>
      <c r="F1178" t="inlineStr">
        <is>
          <t>Joy</t>
        </is>
      </c>
      <c r="G1178" t="n">
        <v>50</v>
      </c>
      <c r="H1178" t="n">
        <v>4.73</v>
      </c>
      <c r="I1178" t="n">
        <v>5</v>
      </c>
      <c r="J1178" t="inlineStr">
        <is>
          <t>NA</t>
        </is>
      </c>
      <c r="K1178" t="n">
        <v>98.40000000000001</v>
      </c>
    </row>
    <row r="1179">
      <c r="A1179" t="inlineStr">
        <is>
          <t>SIMULATED Food Waste Remote Study</t>
        </is>
      </c>
      <c r="B1179" t="inlineStr">
        <is>
          <t>RESP0170</t>
        </is>
      </c>
      <c r="C1179" t="inlineStr">
        <is>
          <t>Stimulus</t>
        </is>
      </c>
      <c r="D1179" t="inlineStr">
        <is>
          <t>foodwaste_visual</t>
        </is>
      </c>
      <c r="E1179" t="n">
        <v>62</v>
      </c>
      <c r="F1179" t="inlineStr">
        <is>
          <t>Brow Furrow</t>
        </is>
      </c>
      <c r="G1179" t="n">
        <v>50</v>
      </c>
      <c r="H1179" t="n">
        <v>38.49</v>
      </c>
      <c r="I1179" t="n">
        <v>12</v>
      </c>
      <c r="J1179" t="inlineStr">
        <is>
          <t>NA</t>
        </is>
      </c>
      <c r="K1179" t="n">
        <v>98.40000000000001</v>
      </c>
    </row>
    <row r="1180">
      <c r="A1180" t="inlineStr">
        <is>
          <t>SIMULATED Food Waste Remote Study</t>
        </is>
      </c>
      <c r="B1180" t="inlineStr">
        <is>
          <t>RESP0170</t>
        </is>
      </c>
      <c r="C1180" t="inlineStr">
        <is>
          <t>Stimulus</t>
        </is>
      </c>
      <c r="D1180" t="inlineStr">
        <is>
          <t>foodwaste_visual</t>
        </is>
      </c>
      <c r="E1180" t="n">
        <v>62</v>
      </c>
      <c r="F1180" t="inlineStr">
        <is>
          <t>Positive Valence</t>
        </is>
      </c>
      <c r="G1180" t="n">
        <v>50</v>
      </c>
      <c r="H1180" t="n">
        <v>0</v>
      </c>
      <c r="I1180" t="n">
        <v>0</v>
      </c>
      <c r="J1180" t="inlineStr">
        <is>
          <t>NA</t>
        </is>
      </c>
      <c r="K1180" t="n">
        <v>98.40000000000001</v>
      </c>
    </row>
    <row r="1181">
      <c r="A1181" t="inlineStr">
        <is>
          <t>SIMULATED Food Waste Remote Study</t>
        </is>
      </c>
      <c r="B1181" t="inlineStr">
        <is>
          <t>RESP0170</t>
        </is>
      </c>
      <c r="C1181" t="inlineStr">
        <is>
          <t>Stimulus</t>
        </is>
      </c>
      <c r="D1181" t="inlineStr">
        <is>
          <t>foodwaste_visual</t>
        </is>
      </c>
      <c r="E1181" t="n">
        <v>62</v>
      </c>
      <c r="F1181" t="inlineStr">
        <is>
          <t>Negative Valence</t>
        </is>
      </c>
      <c r="G1181" t="n">
        <v>-50</v>
      </c>
      <c r="H1181" t="n">
        <v>0</v>
      </c>
      <c r="I1181" t="n">
        <v>0</v>
      </c>
      <c r="J1181" t="inlineStr">
        <is>
          <t>NA</t>
        </is>
      </c>
      <c r="K1181" t="n">
        <v>98.40000000000001</v>
      </c>
    </row>
    <row r="1182">
      <c r="A1182" t="inlineStr">
        <is>
          <t>SIMULATED Food Waste Remote Study</t>
        </is>
      </c>
      <c r="B1182" t="inlineStr">
        <is>
          <t>RESP0173</t>
        </is>
      </c>
      <c r="C1182" t="inlineStr">
        <is>
          <t>Stimulus</t>
        </is>
      </c>
      <c r="D1182" t="inlineStr">
        <is>
          <t>foodwaste_narrative</t>
        </is>
      </c>
      <c r="E1182" t="n">
        <v>60</v>
      </c>
      <c r="F1182" t="inlineStr">
        <is>
          <t>Engagement</t>
        </is>
      </c>
      <c r="G1182" t="n">
        <v>50</v>
      </c>
      <c r="H1182" t="n">
        <v>45.83</v>
      </c>
      <c r="I1182" t="n">
        <v>10</v>
      </c>
      <c r="J1182" t="inlineStr">
        <is>
          <t>NA</t>
        </is>
      </c>
      <c r="K1182" t="n">
        <v>99.2</v>
      </c>
    </row>
    <row r="1183">
      <c r="A1183" t="inlineStr">
        <is>
          <t>SIMULATED Food Waste Remote Study</t>
        </is>
      </c>
      <c r="B1183" t="inlineStr">
        <is>
          <t>RESP0173</t>
        </is>
      </c>
      <c r="C1183" t="inlineStr">
        <is>
          <t>Stimulus</t>
        </is>
      </c>
      <c r="D1183" t="inlineStr">
        <is>
          <t>foodwaste_narrative</t>
        </is>
      </c>
      <c r="E1183" t="n">
        <v>60</v>
      </c>
      <c r="F1183" t="inlineStr">
        <is>
          <t>Joy</t>
        </is>
      </c>
      <c r="G1183" t="n">
        <v>50</v>
      </c>
      <c r="H1183" t="n">
        <v>0</v>
      </c>
      <c r="I1183" t="n">
        <v>0</v>
      </c>
      <c r="J1183" t="inlineStr">
        <is>
          <t>NA</t>
        </is>
      </c>
      <c r="K1183" t="n">
        <v>99.2</v>
      </c>
    </row>
    <row r="1184">
      <c r="A1184" t="inlineStr">
        <is>
          <t>SIMULATED Food Waste Remote Study</t>
        </is>
      </c>
      <c r="B1184" t="inlineStr">
        <is>
          <t>RESP0173</t>
        </is>
      </c>
      <c r="C1184" t="inlineStr">
        <is>
          <t>Stimulus</t>
        </is>
      </c>
      <c r="D1184" t="inlineStr">
        <is>
          <t>foodwaste_narrative</t>
        </is>
      </c>
      <c r="E1184" t="n">
        <v>60</v>
      </c>
      <c r="F1184" t="inlineStr">
        <is>
          <t>Brow Furrow</t>
        </is>
      </c>
      <c r="G1184" t="n">
        <v>50</v>
      </c>
      <c r="H1184" t="n">
        <v>0</v>
      </c>
      <c r="I1184" t="n">
        <v>0</v>
      </c>
      <c r="J1184" t="inlineStr">
        <is>
          <t>NA</t>
        </is>
      </c>
      <c r="K1184" t="n">
        <v>99.2</v>
      </c>
    </row>
    <row r="1185">
      <c r="A1185" t="inlineStr">
        <is>
          <t>SIMULATED Food Waste Remote Study</t>
        </is>
      </c>
      <c r="B1185" t="inlineStr">
        <is>
          <t>RESP0173</t>
        </is>
      </c>
      <c r="C1185" t="inlineStr">
        <is>
          <t>Stimulus</t>
        </is>
      </c>
      <c r="D1185" t="inlineStr">
        <is>
          <t>foodwaste_narrative</t>
        </is>
      </c>
      <c r="E1185" t="n">
        <v>60</v>
      </c>
      <c r="F1185" t="inlineStr">
        <is>
          <t>Positive Valence</t>
        </is>
      </c>
      <c r="G1185" t="n">
        <v>50</v>
      </c>
      <c r="H1185" t="n">
        <v>0</v>
      </c>
      <c r="I1185" t="n">
        <v>0</v>
      </c>
      <c r="J1185" t="inlineStr">
        <is>
          <t>NA</t>
        </is>
      </c>
      <c r="K1185" t="n">
        <v>99.2</v>
      </c>
    </row>
    <row r="1186">
      <c r="A1186" t="inlineStr">
        <is>
          <t>SIMULATED Food Waste Remote Study</t>
        </is>
      </c>
      <c r="B1186" t="inlineStr">
        <is>
          <t>RESP0173</t>
        </is>
      </c>
      <c r="C1186" t="inlineStr">
        <is>
          <t>Stimulus</t>
        </is>
      </c>
      <c r="D1186" t="inlineStr">
        <is>
          <t>foodwaste_narrative</t>
        </is>
      </c>
      <c r="E1186" t="n">
        <v>60</v>
      </c>
      <c r="F1186" t="inlineStr">
        <is>
          <t>Negative Valence</t>
        </is>
      </c>
      <c r="G1186" t="n">
        <v>-50</v>
      </c>
      <c r="H1186" t="n">
        <v>0</v>
      </c>
      <c r="I1186" t="n">
        <v>0</v>
      </c>
      <c r="J1186" t="inlineStr">
        <is>
          <t>NA</t>
        </is>
      </c>
      <c r="K1186" t="n">
        <v>99.2</v>
      </c>
    </row>
    <row r="1187">
      <c r="A1187" t="inlineStr">
        <is>
          <t>SIMULATED Food Waste Remote Study</t>
        </is>
      </c>
      <c r="B1187" t="inlineStr">
        <is>
          <t>RESP0173</t>
        </is>
      </c>
      <c r="C1187" t="inlineStr">
        <is>
          <t>Stimulus</t>
        </is>
      </c>
      <c r="D1187" t="inlineStr">
        <is>
          <t>foodwaste_visual</t>
        </is>
      </c>
      <c r="E1187" t="n">
        <v>62</v>
      </c>
      <c r="F1187" t="inlineStr">
        <is>
          <t>Engagement</t>
        </is>
      </c>
      <c r="G1187" t="n">
        <v>50</v>
      </c>
      <c r="H1187" t="n">
        <v>20.05</v>
      </c>
      <c r="I1187" t="n">
        <v>7</v>
      </c>
      <c r="J1187" t="inlineStr">
        <is>
          <t>NA</t>
        </is>
      </c>
      <c r="K1187" t="n">
        <v>98.90000000000001</v>
      </c>
    </row>
    <row r="1188">
      <c r="A1188" t="inlineStr">
        <is>
          <t>SIMULATED Food Waste Remote Study</t>
        </is>
      </c>
      <c r="B1188" t="inlineStr">
        <is>
          <t>RESP0173</t>
        </is>
      </c>
      <c r="C1188" t="inlineStr">
        <is>
          <t>Stimulus</t>
        </is>
      </c>
      <c r="D1188" t="inlineStr">
        <is>
          <t>foodwaste_visual</t>
        </is>
      </c>
      <c r="E1188" t="n">
        <v>62</v>
      </c>
      <c r="F1188" t="inlineStr">
        <is>
          <t>Joy</t>
        </is>
      </c>
      <c r="G1188" t="n">
        <v>50</v>
      </c>
      <c r="H1188" t="n">
        <v>7.96</v>
      </c>
      <c r="I1188" t="n">
        <v>2</v>
      </c>
      <c r="J1188" t="inlineStr">
        <is>
          <t>NA</t>
        </is>
      </c>
      <c r="K1188" t="n">
        <v>98.90000000000001</v>
      </c>
    </row>
    <row r="1189">
      <c r="A1189" t="inlineStr">
        <is>
          <t>SIMULATED Food Waste Remote Study</t>
        </is>
      </c>
      <c r="B1189" t="inlineStr">
        <is>
          <t>RESP0173</t>
        </is>
      </c>
      <c r="C1189" t="inlineStr">
        <is>
          <t>Stimulus</t>
        </is>
      </c>
      <c r="D1189" t="inlineStr">
        <is>
          <t>foodwaste_visual</t>
        </is>
      </c>
      <c r="E1189" t="n">
        <v>62</v>
      </c>
      <c r="F1189" t="inlineStr">
        <is>
          <t>Brow Furrow</t>
        </is>
      </c>
      <c r="G1189" t="n">
        <v>50</v>
      </c>
      <c r="H1189" t="n">
        <v>0</v>
      </c>
      <c r="I1189" t="n">
        <v>0</v>
      </c>
      <c r="J1189" t="inlineStr">
        <is>
          <t>NA</t>
        </is>
      </c>
      <c r="K1189" t="n">
        <v>98.90000000000001</v>
      </c>
    </row>
    <row r="1190">
      <c r="A1190" t="inlineStr">
        <is>
          <t>SIMULATED Food Waste Remote Study</t>
        </is>
      </c>
      <c r="B1190" t="inlineStr">
        <is>
          <t>RESP0173</t>
        </is>
      </c>
      <c r="C1190" t="inlineStr">
        <is>
          <t>Stimulus</t>
        </is>
      </c>
      <c r="D1190" t="inlineStr">
        <is>
          <t>foodwaste_visual</t>
        </is>
      </c>
      <c r="E1190" t="n">
        <v>62</v>
      </c>
      <c r="F1190" t="inlineStr">
        <is>
          <t>Positive Valence</t>
        </is>
      </c>
      <c r="G1190" t="n">
        <v>50</v>
      </c>
      <c r="H1190" t="n">
        <v>1.61</v>
      </c>
      <c r="I1190" t="n">
        <v>1</v>
      </c>
      <c r="J1190" t="inlineStr">
        <is>
          <t>NA</t>
        </is>
      </c>
      <c r="K1190" t="n">
        <v>98.90000000000001</v>
      </c>
    </row>
    <row r="1191">
      <c r="A1191" t="inlineStr">
        <is>
          <t>SIMULATED Food Waste Remote Study</t>
        </is>
      </c>
      <c r="B1191" t="inlineStr">
        <is>
          <t>RESP0173</t>
        </is>
      </c>
      <c r="C1191" t="inlineStr">
        <is>
          <t>Stimulus</t>
        </is>
      </c>
      <c r="D1191" t="inlineStr">
        <is>
          <t>foodwaste_visual</t>
        </is>
      </c>
      <c r="E1191" t="n">
        <v>62</v>
      </c>
      <c r="F1191" t="inlineStr">
        <is>
          <t>Negative Valence</t>
        </is>
      </c>
      <c r="G1191" t="n">
        <v>-50</v>
      </c>
      <c r="H1191" t="n">
        <v>0</v>
      </c>
      <c r="I1191" t="n">
        <v>0</v>
      </c>
      <c r="J1191" t="inlineStr">
        <is>
          <t>NA</t>
        </is>
      </c>
      <c r="K1191" t="n">
        <v>98.90000000000001</v>
      </c>
    </row>
    <row r="1192">
      <c r="A1192" t="inlineStr">
        <is>
          <t>SIMULATED Food Waste Remote Study</t>
        </is>
      </c>
      <c r="B1192" t="inlineStr">
        <is>
          <t>RESP0174</t>
        </is>
      </c>
      <c r="C1192" t="inlineStr">
        <is>
          <t>Stimulus</t>
        </is>
      </c>
      <c r="D1192" t="inlineStr">
        <is>
          <t>foodwaste_narrative</t>
        </is>
      </c>
      <c r="E1192" t="n">
        <v>60</v>
      </c>
      <c r="F1192" t="inlineStr">
        <is>
          <t>Engagement</t>
        </is>
      </c>
      <c r="G1192" t="n">
        <v>50</v>
      </c>
      <c r="H1192" t="n">
        <v>5.33</v>
      </c>
      <c r="I1192" t="n">
        <v>3</v>
      </c>
      <c r="J1192" t="inlineStr">
        <is>
          <t>NA</t>
        </is>
      </c>
      <c r="K1192" t="n">
        <v>98.7</v>
      </c>
    </row>
    <row r="1193">
      <c r="A1193" t="inlineStr">
        <is>
          <t>SIMULATED Food Waste Remote Study</t>
        </is>
      </c>
      <c r="B1193" t="inlineStr">
        <is>
          <t>RESP0174</t>
        </is>
      </c>
      <c r="C1193" t="inlineStr">
        <is>
          <t>Stimulus</t>
        </is>
      </c>
      <c r="D1193" t="inlineStr">
        <is>
          <t>foodwaste_narrative</t>
        </is>
      </c>
      <c r="E1193" t="n">
        <v>60</v>
      </c>
      <c r="F1193" t="inlineStr">
        <is>
          <t>Joy</t>
        </is>
      </c>
      <c r="G1193" t="n">
        <v>50</v>
      </c>
      <c r="H1193" t="n">
        <v>0</v>
      </c>
      <c r="I1193" t="n">
        <v>0</v>
      </c>
      <c r="J1193" t="inlineStr">
        <is>
          <t>NA</t>
        </is>
      </c>
      <c r="K1193" t="n">
        <v>98.7</v>
      </c>
    </row>
    <row r="1194">
      <c r="A1194" t="inlineStr">
        <is>
          <t>SIMULATED Food Waste Remote Study</t>
        </is>
      </c>
      <c r="B1194" t="inlineStr">
        <is>
          <t>RESP0174</t>
        </is>
      </c>
      <c r="C1194" t="inlineStr">
        <is>
          <t>Stimulus</t>
        </is>
      </c>
      <c r="D1194" t="inlineStr">
        <is>
          <t>foodwaste_narrative</t>
        </is>
      </c>
      <c r="E1194" t="n">
        <v>60</v>
      </c>
      <c r="F1194" t="inlineStr">
        <is>
          <t>Brow Furrow</t>
        </is>
      </c>
      <c r="G1194" t="n">
        <v>50</v>
      </c>
      <c r="H1194" t="n">
        <v>0</v>
      </c>
      <c r="I1194" t="n">
        <v>0</v>
      </c>
      <c r="J1194" t="inlineStr">
        <is>
          <t>NA</t>
        </is>
      </c>
      <c r="K1194" t="n">
        <v>98.7</v>
      </c>
    </row>
    <row r="1195">
      <c r="A1195" t="inlineStr">
        <is>
          <t>SIMULATED Food Waste Remote Study</t>
        </is>
      </c>
      <c r="B1195" t="inlineStr">
        <is>
          <t>RESP0174</t>
        </is>
      </c>
      <c r="C1195" t="inlineStr">
        <is>
          <t>Stimulus</t>
        </is>
      </c>
      <c r="D1195" t="inlineStr">
        <is>
          <t>foodwaste_narrative</t>
        </is>
      </c>
      <c r="E1195" t="n">
        <v>60</v>
      </c>
      <c r="F1195" t="inlineStr">
        <is>
          <t>Positive Valence</t>
        </is>
      </c>
      <c r="G1195" t="n">
        <v>50</v>
      </c>
      <c r="H1195" t="n">
        <v>0</v>
      </c>
      <c r="I1195" t="n">
        <v>0</v>
      </c>
      <c r="J1195" t="inlineStr">
        <is>
          <t>NA</t>
        </is>
      </c>
      <c r="K1195" t="n">
        <v>98.7</v>
      </c>
    </row>
    <row r="1196">
      <c r="A1196" t="inlineStr">
        <is>
          <t>SIMULATED Food Waste Remote Study</t>
        </is>
      </c>
      <c r="B1196" t="inlineStr">
        <is>
          <t>RESP0174</t>
        </is>
      </c>
      <c r="C1196" t="inlineStr">
        <is>
          <t>Stimulus</t>
        </is>
      </c>
      <c r="D1196" t="inlineStr">
        <is>
          <t>foodwaste_narrative</t>
        </is>
      </c>
      <c r="E1196" t="n">
        <v>60</v>
      </c>
      <c r="F1196" t="inlineStr">
        <is>
          <t>Negative Valence</t>
        </is>
      </c>
      <c r="G1196" t="n">
        <v>-50</v>
      </c>
      <c r="H1196" t="n">
        <v>0</v>
      </c>
      <c r="I1196" t="n">
        <v>0</v>
      </c>
      <c r="J1196" t="inlineStr">
        <is>
          <t>NA</t>
        </is>
      </c>
      <c r="K1196" t="n">
        <v>98.7</v>
      </c>
    </row>
    <row r="1197">
      <c r="A1197" t="inlineStr">
        <is>
          <t>SIMULATED Food Waste Remote Study</t>
        </is>
      </c>
      <c r="B1197" t="inlineStr">
        <is>
          <t>RESP0174</t>
        </is>
      </c>
      <c r="C1197" t="inlineStr">
        <is>
          <t>Stimulus</t>
        </is>
      </c>
      <c r="D1197" t="inlineStr">
        <is>
          <t>foodwaste_visual</t>
        </is>
      </c>
      <c r="E1197" t="n">
        <v>62</v>
      </c>
      <c r="F1197" t="inlineStr">
        <is>
          <t>Engagement</t>
        </is>
      </c>
      <c r="G1197" t="n">
        <v>50</v>
      </c>
      <c r="H1197" t="n">
        <v>26.34</v>
      </c>
      <c r="I1197" t="n">
        <v>8</v>
      </c>
      <c r="J1197" t="inlineStr">
        <is>
          <t>NA</t>
        </is>
      </c>
      <c r="K1197" t="n">
        <v>98.7</v>
      </c>
    </row>
    <row r="1198">
      <c r="A1198" t="inlineStr">
        <is>
          <t>SIMULATED Food Waste Remote Study</t>
        </is>
      </c>
      <c r="B1198" t="inlineStr">
        <is>
          <t>RESP0174</t>
        </is>
      </c>
      <c r="C1198" t="inlineStr">
        <is>
          <t>Stimulus</t>
        </is>
      </c>
      <c r="D1198" t="inlineStr">
        <is>
          <t>foodwaste_visual</t>
        </is>
      </c>
      <c r="E1198" t="n">
        <v>62</v>
      </c>
      <c r="F1198" t="inlineStr">
        <is>
          <t>Joy</t>
        </is>
      </c>
      <c r="G1198" t="n">
        <v>50</v>
      </c>
      <c r="H1198" t="n">
        <v>2.96</v>
      </c>
      <c r="I1198" t="n">
        <v>1</v>
      </c>
      <c r="J1198" t="inlineStr">
        <is>
          <t>NA</t>
        </is>
      </c>
      <c r="K1198" t="n">
        <v>98.7</v>
      </c>
    </row>
    <row r="1199">
      <c r="A1199" t="inlineStr">
        <is>
          <t>SIMULATED Food Waste Remote Study</t>
        </is>
      </c>
      <c r="B1199" t="inlineStr">
        <is>
          <t>RESP0174</t>
        </is>
      </c>
      <c r="C1199" t="inlineStr">
        <is>
          <t>Stimulus</t>
        </is>
      </c>
      <c r="D1199" t="inlineStr">
        <is>
          <t>foodwaste_visual</t>
        </is>
      </c>
      <c r="E1199" t="n">
        <v>62</v>
      </c>
      <c r="F1199" t="inlineStr">
        <is>
          <t>Brow Furrow</t>
        </is>
      </c>
      <c r="G1199" t="n">
        <v>50</v>
      </c>
      <c r="H1199" t="n">
        <v>1.08</v>
      </c>
      <c r="I1199" t="n">
        <v>1</v>
      </c>
      <c r="J1199" t="inlineStr">
        <is>
          <t>NA</t>
        </is>
      </c>
      <c r="K1199" t="n">
        <v>98.7</v>
      </c>
    </row>
    <row r="1200">
      <c r="A1200" t="inlineStr">
        <is>
          <t>SIMULATED Food Waste Remote Study</t>
        </is>
      </c>
      <c r="B1200" t="inlineStr">
        <is>
          <t>RESP0174</t>
        </is>
      </c>
      <c r="C1200" t="inlineStr">
        <is>
          <t>Stimulus</t>
        </is>
      </c>
      <c r="D1200" t="inlineStr">
        <is>
          <t>foodwaste_visual</t>
        </is>
      </c>
      <c r="E1200" t="n">
        <v>62</v>
      </c>
      <c r="F1200" t="inlineStr">
        <is>
          <t>Positive Valence</t>
        </is>
      </c>
      <c r="G1200" t="n">
        <v>50</v>
      </c>
      <c r="H1200" t="n">
        <v>7.58</v>
      </c>
      <c r="I1200" t="n">
        <v>2</v>
      </c>
      <c r="J1200" t="inlineStr">
        <is>
          <t>NA</t>
        </is>
      </c>
      <c r="K1200" t="n">
        <v>98.7</v>
      </c>
    </row>
    <row r="1201">
      <c r="A1201" t="inlineStr">
        <is>
          <t>SIMULATED Food Waste Remote Study</t>
        </is>
      </c>
      <c r="B1201" t="inlineStr">
        <is>
          <t>RESP0174</t>
        </is>
      </c>
      <c r="C1201" t="inlineStr">
        <is>
          <t>Stimulus</t>
        </is>
      </c>
      <c r="D1201" t="inlineStr">
        <is>
          <t>foodwaste_visual</t>
        </is>
      </c>
      <c r="E1201" t="n">
        <v>62</v>
      </c>
      <c r="F1201" t="inlineStr">
        <is>
          <t>Negative Valence</t>
        </is>
      </c>
      <c r="G1201" t="n">
        <v>-50</v>
      </c>
      <c r="H1201" t="n">
        <v>0</v>
      </c>
      <c r="I1201" t="n">
        <v>0</v>
      </c>
      <c r="J1201" t="inlineStr">
        <is>
          <t>NA</t>
        </is>
      </c>
      <c r="K1201" t="n">
        <v>98.7</v>
      </c>
    </row>
    <row r="1202">
      <c r="A1202" t="inlineStr">
        <is>
          <t>SIMULATED Food Waste Remote Study</t>
        </is>
      </c>
      <c r="B1202" t="inlineStr">
        <is>
          <t>RESP0175</t>
        </is>
      </c>
      <c r="C1202" t="inlineStr">
        <is>
          <t>Stimulus</t>
        </is>
      </c>
      <c r="D1202" t="inlineStr">
        <is>
          <t>foodwaste_narrative</t>
        </is>
      </c>
      <c r="E1202" t="n">
        <v>60</v>
      </c>
      <c r="F1202" t="inlineStr">
        <is>
          <t>Engagement</t>
        </is>
      </c>
      <c r="G1202" t="n">
        <v>50</v>
      </c>
      <c r="H1202" t="n">
        <v>3.11</v>
      </c>
      <c r="I1202" t="n">
        <v>4</v>
      </c>
      <c r="J1202" t="inlineStr">
        <is>
          <t>NA</t>
        </is>
      </c>
      <c r="K1202" t="n">
        <v>92.59999999999999</v>
      </c>
    </row>
    <row r="1203">
      <c r="A1203" t="inlineStr">
        <is>
          <t>SIMULATED Food Waste Remote Study</t>
        </is>
      </c>
      <c r="B1203" t="inlineStr">
        <is>
          <t>RESP0175</t>
        </is>
      </c>
      <c r="C1203" t="inlineStr">
        <is>
          <t>Stimulus</t>
        </is>
      </c>
      <c r="D1203" t="inlineStr">
        <is>
          <t>foodwaste_narrative</t>
        </is>
      </c>
      <c r="E1203" t="n">
        <v>60</v>
      </c>
      <c r="F1203" t="inlineStr">
        <is>
          <t>Joy</t>
        </is>
      </c>
      <c r="G1203" t="n">
        <v>50</v>
      </c>
      <c r="H1203" t="n">
        <v>2.61</v>
      </c>
      <c r="I1203" t="n">
        <v>1</v>
      </c>
      <c r="J1203" t="inlineStr">
        <is>
          <t>NA</t>
        </is>
      </c>
      <c r="K1203" t="n">
        <v>92.59999999999999</v>
      </c>
    </row>
    <row r="1204">
      <c r="A1204" t="inlineStr">
        <is>
          <t>SIMULATED Food Waste Remote Study</t>
        </is>
      </c>
      <c r="B1204" t="inlineStr">
        <is>
          <t>RESP0175</t>
        </is>
      </c>
      <c r="C1204" t="inlineStr">
        <is>
          <t>Stimulus</t>
        </is>
      </c>
      <c r="D1204" t="inlineStr">
        <is>
          <t>foodwaste_narrative</t>
        </is>
      </c>
      <c r="E1204" t="n">
        <v>60</v>
      </c>
      <c r="F1204" t="inlineStr">
        <is>
          <t>Brow Furrow</t>
        </is>
      </c>
      <c r="G1204" t="n">
        <v>50</v>
      </c>
      <c r="H1204" t="n">
        <v>1.67</v>
      </c>
      <c r="I1204" t="n">
        <v>1</v>
      </c>
      <c r="J1204" t="inlineStr">
        <is>
          <t>NA</t>
        </is>
      </c>
      <c r="K1204" t="n">
        <v>92.59999999999999</v>
      </c>
    </row>
    <row r="1205">
      <c r="A1205" t="inlineStr">
        <is>
          <t>SIMULATED Food Waste Remote Study</t>
        </is>
      </c>
      <c r="B1205" t="inlineStr">
        <is>
          <t>RESP0175</t>
        </is>
      </c>
      <c r="C1205" t="inlineStr">
        <is>
          <t>Stimulus</t>
        </is>
      </c>
      <c r="D1205" t="inlineStr">
        <is>
          <t>foodwaste_narrative</t>
        </is>
      </c>
      <c r="E1205" t="n">
        <v>60</v>
      </c>
      <c r="F1205" t="inlineStr">
        <is>
          <t>Positive Valence</t>
        </is>
      </c>
      <c r="G1205" t="n">
        <v>50</v>
      </c>
      <c r="H1205" t="n">
        <v>2.33</v>
      </c>
      <c r="I1205" t="n">
        <v>1</v>
      </c>
      <c r="J1205" t="inlineStr">
        <is>
          <t>NA</t>
        </is>
      </c>
      <c r="K1205" t="n">
        <v>92.59999999999999</v>
      </c>
    </row>
    <row r="1206">
      <c r="A1206" t="inlineStr">
        <is>
          <t>SIMULATED Food Waste Remote Study</t>
        </is>
      </c>
      <c r="B1206" t="inlineStr">
        <is>
          <t>RESP0175</t>
        </is>
      </c>
      <c r="C1206" t="inlineStr">
        <is>
          <t>Stimulus</t>
        </is>
      </c>
      <c r="D1206" t="inlineStr">
        <is>
          <t>foodwaste_narrative</t>
        </is>
      </c>
      <c r="E1206" t="n">
        <v>60</v>
      </c>
      <c r="F1206" t="inlineStr">
        <is>
          <t>Negative Valence</t>
        </is>
      </c>
      <c r="G1206" t="n">
        <v>-50</v>
      </c>
      <c r="H1206" t="n">
        <v>1.61</v>
      </c>
      <c r="I1206" t="n">
        <v>1</v>
      </c>
      <c r="J1206" t="inlineStr">
        <is>
          <t>NA</t>
        </is>
      </c>
      <c r="K1206" t="n">
        <v>92.59999999999999</v>
      </c>
    </row>
    <row r="1207">
      <c r="A1207" t="inlineStr">
        <is>
          <t>SIMULATED Food Waste Remote Study</t>
        </is>
      </c>
      <c r="B1207" t="inlineStr">
        <is>
          <t>RESP0175</t>
        </is>
      </c>
      <c r="C1207" t="inlineStr">
        <is>
          <t>Stimulus</t>
        </is>
      </c>
      <c r="D1207" t="inlineStr">
        <is>
          <t>foodwaste_visual</t>
        </is>
      </c>
      <c r="E1207" t="n">
        <v>62</v>
      </c>
      <c r="F1207" t="inlineStr">
        <is>
          <t>Engagement</t>
        </is>
      </c>
      <c r="G1207" t="n">
        <v>50</v>
      </c>
      <c r="H1207" t="n">
        <v>2.31</v>
      </c>
      <c r="I1207" t="n">
        <v>1</v>
      </c>
      <c r="J1207" t="inlineStr">
        <is>
          <t>NA</t>
        </is>
      </c>
      <c r="K1207" t="n">
        <v>94</v>
      </c>
    </row>
    <row r="1208">
      <c r="A1208" t="inlineStr">
        <is>
          <t>SIMULATED Food Waste Remote Study</t>
        </is>
      </c>
      <c r="B1208" t="inlineStr">
        <is>
          <t>RESP0175</t>
        </is>
      </c>
      <c r="C1208" t="inlineStr">
        <is>
          <t>Stimulus</t>
        </is>
      </c>
      <c r="D1208" t="inlineStr">
        <is>
          <t>foodwaste_visual</t>
        </is>
      </c>
      <c r="E1208" t="n">
        <v>62</v>
      </c>
      <c r="F1208" t="inlineStr">
        <is>
          <t>Joy</t>
        </is>
      </c>
      <c r="G1208" t="n">
        <v>50</v>
      </c>
      <c r="H1208" t="n">
        <v>0.54</v>
      </c>
      <c r="I1208" t="n">
        <v>1</v>
      </c>
      <c r="J1208" t="inlineStr">
        <is>
          <t>NA</t>
        </is>
      </c>
      <c r="K1208" t="n">
        <v>94</v>
      </c>
    </row>
    <row r="1209">
      <c r="A1209" t="inlineStr">
        <is>
          <t>SIMULATED Food Waste Remote Study</t>
        </is>
      </c>
      <c r="B1209" t="inlineStr">
        <is>
          <t>RESP0175</t>
        </is>
      </c>
      <c r="C1209" t="inlineStr">
        <is>
          <t>Stimulus</t>
        </is>
      </c>
      <c r="D1209" t="inlineStr">
        <is>
          <t>foodwaste_visual</t>
        </is>
      </c>
      <c r="E1209" t="n">
        <v>62</v>
      </c>
      <c r="F1209" t="inlineStr">
        <is>
          <t>Brow Furrow</t>
        </is>
      </c>
      <c r="G1209" t="n">
        <v>50</v>
      </c>
      <c r="H1209" t="n">
        <v>3.55</v>
      </c>
      <c r="I1209" t="n">
        <v>2</v>
      </c>
      <c r="J1209" t="inlineStr">
        <is>
          <t>NA</t>
        </is>
      </c>
      <c r="K1209" t="n">
        <v>94</v>
      </c>
    </row>
    <row r="1210">
      <c r="A1210" t="inlineStr">
        <is>
          <t>SIMULATED Food Waste Remote Study</t>
        </is>
      </c>
      <c r="B1210" t="inlineStr">
        <is>
          <t>RESP0175</t>
        </is>
      </c>
      <c r="C1210" t="inlineStr">
        <is>
          <t>Stimulus</t>
        </is>
      </c>
      <c r="D1210" t="inlineStr">
        <is>
          <t>foodwaste_visual</t>
        </is>
      </c>
      <c r="E1210" t="n">
        <v>62</v>
      </c>
      <c r="F1210" t="inlineStr">
        <is>
          <t>Positive Valence</t>
        </is>
      </c>
      <c r="G1210" t="n">
        <v>50</v>
      </c>
      <c r="H1210" t="n">
        <v>12.69</v>
      </c>
      <c r="I1210" t="n">
        <v>6</v>
      </c>
      <c r="J1210" t="inlineStr">
        <is>
          <t>NA</t>
        </is>
      </c>
      <c r="K1210" t="n">
        <v>94</v>
      </c>
    </row>
    <row r="1211">
      <c r="A1211" t="inlineStr">
        <is>
          <t>SIMULATED Food Waste Remote Study</t>
        </is>
      </c>
      <c r="B1211" t="inlineStr">
        <is>
          <t>RESP0175</t>
        </is>
      </c>
      <c r="C1211" t="inlineStr">
        <is>
          <t>Stimulus</t>
        </is>
      </c>
      <c r="D1211" t="inlineStr">
        <is>
          <t>foodwaste_visual</t>
        </is>
      </c>
      <c r="E1211" t="n">
        <v>62</v>
      </c>
      <c r="F1211" t="inlineStr">
        <is>
          <t>Negative Valence</t>
        </is>
      </c>
      <c r="G1211" t="n">
        <v>-50</v>
      </c>
      <c r="H1211" t="n">
        <v>0</v>
      </c>
      <c r="I1211" t="n">
        <v>0</v>
      </c>
      <c r="J1211" t="inlineStr">
        <is>
          <t>NA</t>
        </is>
      </c>
      <c r="K1211" t="n">
        <v>94</v>
      </c>
    </row>
    <row r="1212">
      <c r="A1212" t="inlineStr">
        <is>
          <t>SIMULATED Food Waste Remote Study</t>
        </is>
      </c>
      <c r="B1212" t="inlineStr">
        <is>
          <t>RESP0176</t>
        </is>
      </c>
      <c r="C1212" t="inlineStr">
        <is>
          <t>Stimulus</t>
        </is>
      </c>
      <c r="D1212" t="inlineStr">
        <is>
          <t>foodwaste_narrative</t>
        </is>
      </c>
      <c r="E1212" t="n">
        <v>60</v>
      </c>
      <c r="F1212" t="inlineStr">
        <is>
          <t>Engagement</t>
        </is>
      </c>
      <c r="G1212" t="n">
        <v>50</v>
      </c>
      <c r="H1212" t="n">
        <v>0.89</v>
      </c>
      <c r="I1212" t="n">
        <v>1</v>
      </c>
      <c r="J1212" t="inlineStr">
        <is>
          <t>NA</t>
        </is>
      </c>
      <c r="K1212" t="n">
        <v>94.2</v>
      </c>
    </row>
    <row r="1213">
      <c r="A1213" t="inlineStr">
        <is>
          <t>SIMULATED Food Waste Remote Study</t>
        </is>
      </c>
      <c r="B1213" t="inlineStr">
        <is>
          <t>RESP0176</t>
        </is>
      </c>
      <c r="C1213" t="inlineStr">
        <is>
          <t>Stimulus</t>
        </is>
      </c>
      <c r="D1213" t="inlineStr">
        <is>
          <t>foodwaste_narrative</t>
        </is>
      </c>
      <c r="E1213" t="n">
        <v>60</v>
      </c>
      <c r="F1213" t="inlineStr">
        <is>
          <t>Joy</t>
        </is>
      </c>
      <c r="G1213" t="n">
        <v>50</v>
      </c>
      <c r="H1213" t="n">
        <v>0</v>
      </c>
      <c r="I1213" t="n">
        <v>0</v>
      </c>
      <c r="J1213" t="inlineStr">
        <is>
          <t>NA</t>
        </is>
      </c>
      <c r="K1213" t="n">
        <v>94.2</v>
      </c>
    </row>
    <row r="1214">
      <c r="A1214" t="inlineStr">
        <is>
          <t>SIMULATED Food Waste Remote Study</t>
        </is>
      </c>
      <c r="B1214" t="inlineStr">
        <is>
          <t>RESP0176</t>
        </is>
      </c>
      <c r="C1214" t="inlineStr">
        <is>
          <t>Stimulus</t>
        </is>
      </c>
      <c r="D1214" t="inlineStr">
        <is>
          <t>foodwaste_narrative</t>
        </is>
      </c>
      <c r="E1214" t="n">
        <v>60</v>
      </c>
      <c r="F1214" t="inlineStr">
        <is>
          <t>Brow Furrow</t>
        </is>
      </c>
      <c r="G1214" t="n">
        <v>50</v>
      </c>
      <c r="H1214" t="n">
        <v>3.17</v>
      </c>
      <c r="I1214" t="n">
        <v>2</v>
      </c>
      <c r="J1214" t="inlineStr">
        <is>
          <t>NA</t>
        </is>
      </c>
      <c r="K1214" t="n">
        <v>94.2</v>
      </c>
    </row>
    <row r="1215">
      <c r="A1215" t="inlineStr">
        <is>
          <t>SIMULATED Food Waste Remote Study</t>
        </is>
      </c>
      <c r="B1215" t="inlineStr">
        <is>
          <t>RESP0176</t>
        </is>
      </c>
      <c r="C1215" t="inlineStr">
        <is>
          <t>Stimulus</t>
        </is>
      </c>
      <c r="D1215" t="inlineStr">
        <is>
          <t>foodwaste_narrative</t>
        </is>
      </c>
      <c r="E1215" t="n">
        <v>60</v>
      </c>
      <c r="F1215" t="inlineStr">
        <is>
          <t>Positive Valence</t>
        </is>
      </c>
      <c r="G1215" t="n">
        <v>50</v>
      </c>
      <c r="H1215" t="n">
        <v>0</v>
      </c>
      <c r="I1215" t="n">
        <v>0</v>
      </c>
      <c r="J1215" t="inlineStr">
        <is>
          <t>NA</t>
        </is>
      </c>
      <c r="K1215" t="n">
        <v>94.2</v>
      </c>
    </row>
    <row r="1216">
      <c r="A1216" t="inlineStr">
        <is>
          <t>SIMULATED Food Waste Remote Study</t>
        </is>
      </c>
      <c r="B1216" t="inlineStr">
        <is>
          <t>RESP0176</t>
        </is>
      </c>
      <c r="C1216" t="inlineStr">
        <is>
          <t>Stimulus</t>
        </is>
      </c>
      <c r="D1216" t="inlineStr">
        <is>
          <t>foodwaste_narrative</t>
        </is>
      </c>
      <c r="E1216" t="n">
        <v>60</v>
      </c>
      <c r="F1216" t="inlineStr">
        <is>
          <t>Negative Valence</t>
        </is>
      </c>
      <c r="G1216" t="n">
        <v>-50</v>
      </c>
      <c r="H1216" t="n">
        <v>0</v>
      </c>
      <c r="I1216" t="n">
        <v>0</v>
      </c>
      <c r="J1216" t="inlineStr">
        <is>
          <t>NA</t>
        </is>
      </c>
      <c r="K1216" t="n">
        <v>94.2</v>
      </c>
    </row>
    <row r="1217">
      <c r="A1217" t="inlineStr">
        <is>
          <t>SIMULATED Food Waste Remote Study</t>
        </is>
      </c>
      <c r="B1217" t="inlineStr">
        <is>
          <t>RESP0176</t>
        </is>
      </c>
      <c r="C1217" t="inlineStr">
        <is>
          <t>Stimulus</t>
        </is>
      </c>
      <c r="D1217" t="inlineStr">
        <is>
          <t>foodwaste_visual</t>
        </is>
      </c>
      <c r="E1217" t="n">
        <v>62</v>
      </c>
      <c r="F1217" t="inlineStr">
        <is>
          <t>Engagement</t>
        </is>
      </c>
      <c r="G1217" t="n">
        <v>50</v>
      </c>
      <c r="H1217" t="n">
        <v>21.72</v>
      </c>
      <c r="I1217" t="n">
        <v>7</v>
      </c>
      <c r="J1217" t="inlineStr">
        <is>
          <t>NA</t>
        </is>
      </c>
      <c r="K1217" t="n">
        <v>98.8</v>
      </c>
    </row>
    <row r="1218">
      <c r="A1218" t="inlineStr">
        <is>
          <t>SIMULATED Food Waste Remote Study</t>
        </is>
      </c>
      <c r="B1218" t="inlineStr">
        <is>
          <t>RESP0176</t>
        </is>
      </c>
      <c r="C1218" t="inlineStr">
        <is>
          <t>Stimulus</t>
        </is>
      </c>
      <c r="D1218" t="inlineStr">
        <is>
          <t>foodwaste_visual</t>
        </is>
      </c>
      <c r="E1218" t="n">
        <v>62</v>
      </c>
      <c r="F1218" t="inlineStr">
        <is>
          <t>Joy</t>
        </is>
      </c>
      <c r="G1218" t="n">
        <v>50</v>
      </c>
      <c r="H1218" t="n">
        <v>0</v>
      </c>
      <c r="I1218" t="n">
        <v>0</v>
      </c>
      <c r="J1218" t="inlineStr">
        <is>
          <t>NA</t>
        </is>
      </c>
      <c r="K1218" t="n">
        <v>98.8</v>
      </c>
    </row>
    <row r="1219">
      <c r="A1219" t="inlineStr">
        <is>
          <t>SIMULATED Food Waste Remote Study</t>
        </is>
      </c>
      <c r="B1219" t="inlineStr">
        <is>
          <t>RESP0176</t>
        </is>
      </c>
      <c r="C1219" t="inlineStr">
        <is>
          <t>Stimulus</t>
        </is>
      </c>
      <c r="D1219" t="inlineStr">
        <is>
          <t>foodwaste_visual</t>
        </is>
      </c>
      <c r="E1219" t="n">
        <v>62</v>
      </c>
      <c r="F1219" t="inlineStr">
        <is>
          <t>Brow Furrow</t>
        </is>
      </c>
      <c r="G1219" t="n">
        <v>50</v>
      </c>
      <c r="H1219" t="n">
        <v>4.19</v>
      </c>
      <c r="I1219" t="n">
        <v>2</v>
      </c>
      <c r="J1219" t="inlineStr">
        <is>
          <t>NA</t>
        </is>
      </c>
      <c r="K1219" t="n">
        <v>98.8</v>
      </c>
    </row>
    <row r="1220">
      <c r="A1220" t="inlineStr">
        <is>
          <t>SIMULATED Food Waste Remote Study</t>
        </is>
      </c>
      <c r="B1220" t="inlineStr">
        <is>
          <t>RESP0176</t>
        </is>
      </c>
      <c r="C1220" t="inlineStr">
        <is>
          <t>Stimulus</t>
        </is>
      </c>
      <c r="D1220" t="inlineStr">
        <is>
          <t>foodwaste_visual</t>
        </is>
      </c>
      <c r="E1220" t="n">
        <v>62</v>
      </c>
      <c r="F1220" t="inlineStr">
        <is>
          <t>Positive Valence</t>
        </is>
      </c>
      <c r="G1220" t="n">
        <v>50</v>
      </c>
      <c r="H1220" t="n">
        <v>0</v>
      </c>
      <c r="I1220" t="n">
        <v>0</v>
      </c>
      <c r="J1220" t="inlineStr">
        <is>
          <t>NA</t>
        </is>
      </c>
      <c r="K1220" t="n">
        <v>98.8</v>
      </c>
    </row>
    <row r="1221">
      <c r="A1221" t="inlineStr">
        <is>
          <t>SIMULATED Food Waste Remote Study</t>
        </is>
      </c>
      <c r="B1221" t="inlineStr">
        <is>
          <t>RESP0176</t>
        </is>
      </c>
      <c r="C1221" t="inlineStr">
        <is>
          <t>Stimulus</t>
        </is>
      </c>
      <c r="D1221" t="inlineStr">
        <is>
          <t>foodwaste_visual</t>
        </is>
      </c>
      <c r="E1221" t="n">
        <v>62</v>
      </c>
      <c r="F1221" t="inlineStr">
        <is>
          <t>Negative Valence</t>
        </is>
      </c>
      <c r="G1221" t="n">
        <v>-50</v>
      </c>
      <c r="H1221" t="n">
        <v>10.65</v>
      </c>
      <c r="I1221" t="n">
        <v>1</v>
      </c>
      <c r="J1221" t="inlineStr">
        <is>
          <t>NA</t>
        </is>
      </c>
      <c r="K1221" t="n">
        <v>98.8</v>
      </c>
    </row>
    <row r="1222">
      <c r="A1222" t="inlineStr">
        <is>
          <t>SIMULATED Food Waste Remote Study</t>
        </is>
      </c>
      <c r="B1222" t="inlineStr">
        <is>
          <t>RESP0177</t>
        </is>
      </c>
      <c r="C1222" t="inlineStr">
        <is>
          <t>Stimulus</t>
        </is>
      </c>
      <c r="D1222" t="inlineStr">
        <is>
          <t>foodwaste_narrative</t>
        </is>
      </c>
      <c r="E1222" t="n">
        <v>60</v>
      </c>
      <c r="F1222" t="inlineStr">
        <is>
          <t>Engagement</t>
        </is>
      </c>
      <c r="G1222" t="n">
        <v>50</v>
      </c>
      <c r="H1222" t="n">
        <v>4.67</v>
      </c>
      <c r="I1222" t="n">
        <v>2</v>
      </c>
      <c r="J1222" t="inlineStr">
        <is>
          <t>NA</t>
        </is>
      </c>
      <c r="K1222" t="n">
        <v>95</v>
      </c>
    </row>
    <row r="1223">
      <c r="A1223" t="inlineStr">
        <is>
          <t>SIMULATED Food Waste Remote Study</t>
        </is>
      </c>
      <c r="B1223" t="inlineStr">
        <is>
          <t>RESP0177</t>
        </is>
      </c>
      <c r="C1223" t="inlineStr">
        <is>
          <t>Stimulus</t>
        </is>
      </c>
      <c r="D1223" t="inlineStr">
        <is>
          <t>foodwaste_narrative</t>
        </is>
      </c>
      <c r="E1223" t="n">
        <v>60</v>
      </c>
      <c r="F1223" t="inlineStr">
        <is>
          <t>Joy</t>
        </is>
      </c>
      <c r="G1223" t="n">
        <v>50</v>
      </c>
      <c r="H1223" t="n">
        <v>0</v>
      </c>
      <c r="I1223" t="n">
        <v>0</v>
      </c>
      <c r="J1223" t="inlineStr">
        <is>
          <t>NA</t>
        </is>
      </c>
      <c r="K1223" t="n">
        <v>95</v>
      </c>
    </row>
    <row r="1224">
      <c r="A1224" t="inlineStr">
        <is>
          <t>SIMULATED Food Waste Remote Study</t>
        </is>
      </c>
      <c r="B1224" t="inlineStr">
        <is>
          <t>RESP0177</t>
        </is>
      </c>
      <c r="C1224" t="inlineStr">
        <is>
          <t>Stimulus</t>
        </is>
      </c>
      <c r="D1224" t="inlineStr">
        <is>
          <t>foodwaste_narrative</t>
        </is>
      </c>
      <c r="E1224" t="n">
        <v>60</v>
      </c>
      <c r="F1224" t="inlineStr">
        <is>
          <t>Brow Furrow</t>
        </is>
      </c>
      <c r="G1224" t="n">
        <v>50</v>
      </c>
      <c r="H1224" t="n">
        <v>0</v>
      </c>
      <c r="I1224" t="n">
        <v>0</v>
      </c>
      <c r="J1224" t="inlineStr">
        <is>
          <t>NA</t>
        </is>
      </c>
      <c r="K1224" t="n">
        <v>95</v>
      </c>
    </row>
    <row r="1225">
      <c r="A1225" t="inlineStr">
        <is>
          <t>SIMULATED Food Waste Remote Study</t>
        </is>
      </c>
      <c r="B1225" t="inlineStr">
        <is>
          <t>RESP0177</t>
        </is>
      </c>
      <c r="C1225" t="inlineStr">
        <is>
          <t>Stimulus</t>
        </is>
      </c>
      <c r="D1225" t="inlineStr">
        <is>
          <t>foodwaste_narrative</t>
        </is>
      </c>
      <c r="E1225" t="n">
        <v>60</v>
      </c>
      <c r="F1225" t="inlineStr">
        <is>
          <t>Positive Valence</t>
        </is>
      </c>
      <c r="G1225" t="n">
        <v>50</v>
      </c>
      <c r="H1225" t="n">
        <v>0</v>
      </c>
      <c r="I1225" t="n">
        <v>0</v>
      </c>
      <c r="J1225" t="inlineStr">
        <is>
          <t>NA</t>
        </is>
      </c>
      <c r="K1225" t="n">
        <v>95</v>
      </c>
    </row>
    <row r="1226">
      <c r="A1226" t="inlineStr">
        <is>
          <t>SIMULATED Food Waste Remote Study</t>
        </is>
      </c>
      <c r="B1226" t="inlineStr">
        <is>
          <t>RESP0177</t>
        </is>
      </c>
      <c r="C1226" t="inlineStr">
        <is>
          <t>Stimulus</t>
        </is>
      </c>
      <c r="D1226" t="inlineStr">
        <is>
          <t>foodwaste_narrative</t>
        </is>
      </c>
      <c r="E1226" t="n">
        <v>60</v>
      </c>
      <c r="F1226" t="inlineStr">
        <is>
          <t>Negative Valence</t>
        </is>
      </c>
      <c r="G1226" t="n">
        <v>-50</v>
      </c>
      <c r="H1226" t="n">
        <v>0</v>
      </c>
      <c r="I1226" t="n">
        <v>0</v>
      </c>
      <c r="J1226" t="inlineStr">
        <is>
          <t>NA</t>
        </is>
      </c>
      <c r="K1226" t="n">
        <v>95</v>
      </c>
    </row>
    <row r="1227">
      <c r="A1227" t="inlineStr">
        <is>
          <t>SIMULATED Food Waste Remote Study</t>
        </is>
      </c>
      <c r="B1227" t="inlineStr">
        <is>
          <t>RESP0177</t>
        </is>
      </c>
      <c r="C1227" t="inlineStr">
        <is>
          <t>Stimulus</t>
        </is>
      </c>
      <c r="D1227" t="inlineStr">
        <is>
          <t>foodwaste_visual</t>
        </is>
      </c>
      <c r="E1227" t="n">
        <v>62</v>
      </c>
      <c r="F1227" t="inlineStr">
        <is>
          <t>Engagement</t>
        </is>
      </c>
      <c r="G1227" t="n">
        <v>50</v>
      </c>
      <c r="H1227" t="n">
        <v>78.59999999999999</v>
      </c>
      <c r="I1227" t="n">
        <v>19</v>
      </c>
      <c r="J1227" t="inlineStr">
        <is>
          <t>NA</t>
        </is>
      </c>
      <c r="K1227" t="n">
        <v>92.8</v>
      </c>
    </row>
    <row r="1228">
      <c r="A1228" t="inlineStr">
        <is>
          <t>SIMULATED Food Waste Remote Study</t>
        </is>
      </c>
      <c r="B1228" t="inlineStr">
        <is>
          <t>RESP0177</t>
        </is>
      </c>
      <c r="C1228" t="inlineStr">
        <is>
          <t>Stimulus</t>
        </is>
      </c>
      <c r="D1228" t="inlineStr">
        <is>
          <t>foodwaste_visual</t>
        </is>
      </c>
      <c r="E1228" t="n">
        <v>62</v>
      </c>
      <c r="F1228" t="inlineStr">
        <is>
          <t>Joy</t>
        </is>
      </c>
      <c r="G1228" t="n">
        <v>50</v>
      </c>
      <c r="H1228" t="n">
        <v>0</v>
      </c>
      <c r="I1228" t="n">
        <v>0</v>
      </c>
      <c r="J1228" t="inlineStr">
        <is>
          <t>NA</t>
        </is>
      </c>
      <c r="K1228" t="n">
        <v>92.8</v>
      </c>
    </row>
    <row r="1229">
      <c r="A1229" t="inlineStr">
        <is>
          <t>SIMULATED Food Waste Remote Study</t>
        </is>
      </c>
      <c r="B1229" t="inlineStr">
        <is>
          <t>RESP0177</t>
        </is>
      </c>
      <c r="C1229" t="inlineStr">
        <is>
          <t>Stimulus</t>
        </is>
      </c>
      <c r="D1229" t="inlineStr">
        <is>
          <t>foodwaste_visual</t>
        </is>
      </c>
      <c r="E1229" t="n">
        <v>62</v>
      </c>
      <c r="F1229" t="inlineStr">
        <is>
          <t>Brow Furrow</t>
        </is>
      </c>
      <c r="G1229" t="n">
        <v>50</v>
      </c>
      <c r="H1229" t="n">
        <v>0</v>
      </c>
      <c r="I1229" t="n">
        <v>0</v>
      </c>
      <c r="J1229" t="inlineStr">
        <is>
          <t>NA</t>
        </is>
      </c>
      <c r="K1229" t="n">
        <v>92.8</v>
      </c>
    </row>
    <row r="1230">
      <c r="A1230" t="inlineStr">
        <is>
          <t>SIMULATED Food Waste Remote Study</t>
        </is>
      </c>
      <c r="B1230" t="inlineStr">
        <is>
          <t>RESP0177</t>
        </is>
      </c>
      <c r="C1230" t="inlineStr">
        <is>
          <t>Stimulus</t>
        </is>
      </c>
      <c r="D1230" t="inlineStr">
        <is>
          <t>foodwaste_visual</t>
        </is>
      </c>
      <c r="E1230" t="n">
        <v>62</v>
      </c>
      <c r="F1230" t="inlineStr">
        <is>
          <t>Positive Valence</t>
        </is>
      </c>
      <c r="G1230" t="n">
        <v>50</v>
      </c>
      <c r="H1230" t="n">
        <v>0.16</v>
      </c>
      <c r="I1230" t="n">
        <v>1</v>
      </c>
      <c r="J1230" t="inlineStr">
        <is>
          <t>NA</t>
        </is>
      </c>
      <c r="K1230" t="n">
        <v>92.8</v>
      </c>
    </row>
    <row r="1231">
      <c r="A1231" t="inlineStr">
        <is>
          <t>SIMULATED Food Waste Remote Study</t>
        </is>
      </c>
      <c r="B1231" t="inlineStr">
        <is>
          <t>RESP0177</t>
        </is>
      </c>
      <c r="C1231" t="inlineStr">
        <is>
          <t>Stimulus</t>
        </is>
      </c>
      <c r="D1231" t="inlineStr">
        <is>
          <t>foodwaste_visual</t>
        </is>
      </c>
      <c r="E1231" t="n">
        <v>62</v>
      </c>
      <c r="F1231" t="inlineStr">
        <is>
          <t>Negative Valence</t>
        </is>
      </c>
      <c r="G1231" t="n">
        <v>-50</v>
      </c>
      <c r="H1231" t="n">
        <v>45.59</v>
      </c>
      <c r="I1231" t="n">
        <v>19</v>
      </c>
      <c r="J1231" t="inlineStr">
        <is>
          <t>NA</t>
        </is>
      </c>
      <c r="K1231" t="n">
        <v>92.8</v>
      </c>
    </row>
    <row r="1232">
      <c r="A1232" t="inlineStr">
        <is>
          <t>SIMULATED Food Waste Remote Study</t>
        </is>
      </c>
      <c r="B1232" t="inlineStr">
        <is>
          <t>RESP0178</t>
        </is>
      </c>
      <c r="C1232" t="inlineStr">
        <is>
          <t>Stimulus</t>
        </is>
      </c>
      <c r="D1232" t="inlineStr">
        <is>
          <t>foodwaste_narrative</t>
        </is>
      </c>
      <c r="E1232" t="n">
        <v>60</v>
      </c>
      <c r="F1232" t="inlineStr">
        <is>
          <t>Engagement</t>
        </is>
      </c>
      <c r="G1232" t="n">
        <v>50</v>
      </c>
      <c r="H1232" t="n">
        <v>10.44</v>
      </c>
      <c r="I1232" t="n">
        <v>2</v>
      </c>
      <c r="J1232" t="inlineStr">
        <is>
          <t>NA</t>
        </is>
      </c>
      <c r="K1232" t="n">
        <v>97.8</v>
      </c>
    </row>
    <row r="1233">
      <c r="A1233" t="inlineStr">
        <is>
          <t>SIMULATED Food Waste Remote Study</t>
        </is>
      </c>
      <c r="B1233" t="inlineStr">
        <is>
          <t>RESP0178</t>
        </is>
      </c>
      <c r="C1233" t="inlineStr">
        <is>
          <t>Stimulus</t>
        </is>
      </c>
      <c r="D1233" t="inlineStr">
        <is>
          <t>foodwaste_narrative</t>
        </is>
      </c>
      <c r="E1233" t="n">
        <v>60</v>
      </c>
      <c r="F1233" t="inlineStr">
        <is>
          <t>Joy</t>
        </is>
      </c>
      <c r="G1233" t="n">
        <v>50</v>
      </c>
      <c r="H1233" t="n">
        <v>0</v>
      </c>
      <c r="I1233" t="n">
        <v>0</v>
      </c>
      <c r="J1233" t="inlineStr">
        <is>
          <t>NA</t>
        </is>
      </c>
      <c r="K1233" t="n">
        <v>97.8</v>
      </c>
    </row>
    <row r="1234">
      <c r="A1234" t="inlineStr">
        <is>
          <t>SIMULATED Food Waste Remote Study</t>
        </is>
      </c>
      <c r="B1234" t="inlineStr">
        <is>
          <t>RESP0178</t>
        </is>
      </c>
      <c r="C1234" t="inlineStr">
        <is>
          <t>Stimulus</t>
        </is>
      </c>
      <c r="D1234" t="inlineStr">
        <is>
          <t>foodwaste_narrative</t>
        </is>
      </c>
      <c r="E1234" t="n">
        <v>60</v>
      </c>
      <c r="F1234" t="inlineStr">
        <is>
          <t>Brow Furrow</t>
        </is>
      </c>
      <c r="G1234" t="n">
        <v>50</v>
      </c>
      <c r="H1234" t="n">
        <v>16.56</v>
      </c>
      <c r="I1234" t="n">
        <v>2</v>
      </c>
      <c r="J1234" t="inlineStr">
        <is>
          <t>NA</t>
        </is>
      </c>
      <c r="K1234" t="n">
        <v>97.8</v>
      </c>
    </row>
    <row r="1235">
      <c r="A1235" t="inlineStr">
        <is>
          <t>SIMULATED Food Waste Remote Study</t>
        </is>
      </c>
      <c r="B1235" t="inlineStr">
        <is>
          <t>RESP0178</t>
        </is>
      </c>
      <c r="C1235" t="inlineStr">
        <is>
          <t>Stimulus</t>
        </is>
      </c>
      <c r="D1235" t="inlineStr">
        <is>
          <t>foodwaste_narrative</t>
        </is>
      </c>
      <c r="E1235" t="n">
        <v>60</v>
      </c>
      <c r="F1235" t="inlineStr">
        <is>
          <t>Positive Valence</t>
        </is>
      </c>
      <c r="G1235" t="n">
        <v>50</v>
      </c>
      <c r="H1235" t="n">
        <v>0</v>
      </c>
      <c r="I1235" t="n">
        <v>0</v>
      </c>
      <c r="J1235" t="inlineStr">
        <is>
          <t>NA</t>
        </is>
      </c>
      <c r="K1235" t="n">
        <v>97.8</v>
      </c>
    </row>
    <row r="1236">
      <c r="A1236" t="inlineStr">
        <is>
          <t>SIMULATED Food Waste Remote Study</t>
        </is>
      </c>
      <c r="B1236" t="inlineStr">
        <is>
          <t>RESP0178</t>
        </is>
      </c>
      <c r="C1236" t="inlineStr">
        <is>
          <t>Stimulus</t>
        </is>
      </c>
      <c r="D1236" t="inlineStr">
        <is>
          <t>foodwaste_narrative</t>
        </is>
      </c>
      <c r="E1236" t="n">
        <v>60</v>
      </c>
      <c r="F1236" t="inlineStr">
        <is>
          <t>Negative Valence</t>
        </is>
      </c>
      <c r="G1236" t="n">
        <v>-50</v>
      </c>
      <c r="H1236" t="n">
        <v>2.94</v>
      </c>
      <c r="I1236" t="n">
        <v>2</v>
      </c>
      <c r="J1236" t="inlineStr">
        <is>
          <t>NA</t>
        </is>
      </c>
      <c r="K1236" t="n">
        <v>97.8</v>
      </c>
    </row>
    <row r="1237">
      <c r="A1237" t="inlineStr">
        <is>
          <t>SIMULATED Food Waste Remote Study</t>
        </is>
      </c>
      <c r="B1237" t="inlineStr">
        <is>
          <t>RESP0178</t>
        </is>
      </c>
      <c r="C1237" t="inlineStr">
        <is>
          <t>Stimulus</t>
        </is>
      </c>
      <c r="D1237" t="inlineStr">
        <is>
          <t>foodwaste_visual</t>
        </is>
      </c>
      <c r="E1237" t="n">
        <v>62</v>
      </c>
      <c r="F1237" t="inlineStr">
        <is>
          <t>Engagement</t>
        </is>
      </c>
      <c r="G1237" t="n">
        <v>50</v>
      </c>
      <c r="H1237" t="n">
        <v>1.56</v>
      </c>
      <c r="I1237" t="n">
        <v>1</v>
      </c>
      <c r="J1237" t="inlineStr">
        <is>
          <t>NA</t>
        </is>
      </c>
      <c r="K1237" t="n">
        <v>97.8</v>
      </c>
    </row>
    <row r="1238">
      <c r="A1238" t="inlineStr">
        <is>
          <t>SIMULATED Food Waste Remote Study</t>
        </is>
      </c>
      <c r="B1238" t="inlineStr">
        <is>
          <t>RESP0178</t>
        </is>
      </c>
      <c r="C1238" t="inlineStr">
        <is>
          <t>Stimulus</t>
        </is>
      </c>
      <c r="D1238" t="inlineStr">
        <is>
          <t>foodwaste_visual</t>
        </is>
      </c>
      <c r="E1238" t="n">
        <v>62</v>
      </c>
      <c r="F1238" t="inlineStr">
        <is>
          <t>Joy</t>
        </is>
      </c>
      <c r="G1238" t="n">
        <v>50</v>
      </c>
      <c r="H1238" t="n">
        <v>0.54</v>
      </c>
      <c r="I1238" t="n">
        <v>1</v>
      </c>
      <c r="J1238" t="inlineStr">
        <is>
          <t>NA</t>
        </is>
      </c>
      <c r="K1238" t="n">
        <v>97.8</v>
      </c>
    </row>
    <row r="1239">
      <c r="A1239" t="inlineStr">
        <is>
          <t>SIMULATED Food Waste Remote Study</t>
        </is>
      </c>
      <c r="B1239" t="inlineStr">
        <is>
          <t>RESP0178</t>
        </is>
      </c>
      <c r="C1239" t="inlineStr">
        <is>
          <t>Stimulus</t>
        </is>
      </c>
      <c r="D1239" t="inlineStr">
        <is>
          <t>foodwaste_visual</t>
        </is>
      </c>
      <c r="E1239" t="n">
        <v>62</v>
      </c>
      <c r="F1239" t="inlineStr">
        <is>
          <t>Brow Furrow</t>
        </is>
      </c>
      <c r="G1239" t="n">
        <v>50</v>
      </c>
      <c r="H1239" t="n">
        <v>0</v>
      </c>
      <c r="I1239" t="n">
        <v>0</v>
      </c>
      <c r="J1239" t="inlineStr">
        <is>
          <t>NA</t>
        </is>
      </c>
      <c r="K1239" t="n">
        <v>97.8</v>
      </c>
    </row>
    <row r="1240">
      <c r="A1240" t="inlineStr">
        <is>
          <t>SIMULATED Food Waste Remote Study</t>
        </is>
      </c>
      <c r="B1240" t="inlineStr">
        <is>
          <t>RESP0178</t>
        </is>
      </c>
      <c r="C1240" t="inlineStr">
        <is>
          <t>Stimulus</t>
        </is>
      </c>
      <c r="D1240" t="inlineStr">
        <is>
          <t>foodwaste_visual</t>
        </is>
      </c>
      <c r="E1240" t="n">
        <v>62</v>
      </c>
      <c r="F1240" t="inlineStr">
        <is>
          <t>Positive Valence</t>
        </is>
      </c>
      <c r="G1240" t="n">
        <v>50</v>
      </c>
      <c r="H1240" t="n">
        <v>0</v>
      </c>
      <c r="I1240" t="n">
        <v>0</v>
      </c>
      <c r="J1240" t="inlineStr">
        <is>
          <t>NA</t>
        </is>
      </c>
      <c r="K1240" t="n">
        <v>97.8</v>
      </c>
    </row>
    <row r="1241">
      <c r="A1241" t="inlineStr">
        <is>
          <t>SIMULATED Food Waste Remote Study</t>
        </is>
      </c>
      <c r="B1241" t="inlineStr">
        <is>
          <t>RESP0178</t>
        </is>
      </c>
      <c r="C1241" t="inlineStr">
        <is>
          <t>Stimulus</t>
        </is>
      </c>
      <c r="D1241" t="inlineStr">
        <is>
          <t>foodwaste_visual</t>
        </is>
      </c>
      <c r="E1241" t="n">
        <v>62</v>
      </c>
      <c r="F1241" t="inlineStr">
        <is>
          <t>Negative Valence</t>
        </is>
      </c>
      <c r="G1241" t="n">
        <v>-50</v>
      </c>
      <c r="H1241" t="n">
        <v>0</v>
      </c>
      <c r="I1241" t="n">
        <v>0</v>
      </c>
      <c r="J1241" t="inlineStr">
        <is>
          <t>NA</t>
        </is>
      </c>
      <c r="K1241" t="n">
        <v>97.8</v>
      </c>
    </row>
    <row r="1242">
      <c r="A1242" t="inlineStr">
        <is>
          <t>SIMULATED Food Waste Remote Study</t>
        </is>
      </c>
      <c r="B1242" t="inlineStr">
        <is>
          <t>RESP0179</t>
        </is>
      </c>
      <c r="C1242" t="inlineStr">
        <is>
          <t>Stimulus</t>
        </is>
      </c>
      <c r="D1242" t="inlineStr">
        <is>
          <t>foodwaste_narrative</t>
        </is>
      </c>
      <c r="E1242" t="n">
        <v>60</v>
      </c>
      <c r="F1242" t="inlineStr">
        <is>
          <t>Engagement</t>
        </is>
      </c>
      <c r="G1242" t="n">
        <v>50</v>
      </c>
      <c r="H1242" t="n">
        <v>52.33</v>
      </c>
      <c r="I1242" t="n">
        <v>49</v>
      </c>
      <c r="J1242" t="inlineStr">
        <is>
          <t>NA</t>
        </is>
      </c>
      <c r="K1242" t="n">
        <v>83.59999999999999</v>
      </c>
    </row>
    <row r="1243">
      <c r="A1243" t="inlineStr">
        <is>
          <t>SIMULATED Food Waste Remote Study</t>
        </is>
      </c>
      <c r="B1243" t="inlineStr">
        <is>
          <t>RESP0179</t>
        </is>
      </c>
      <c r="C1243" t="inlineStr">
        <is>
          <t>Stimulus</t>
        </is>
      </c>
      <c r="D1243" t="inlineStr">
        <is>
          <t>foodwaste_narrative</t>
        </is>
      </c>
      <c r="E1243" t="n">
        <v>60</v>
      </c>
      <c r="F1243" t="inlineStr">
        <is>
          <t>Joy</t>
        </is>
      </c>
      <c r="G1243" t="n">
        <v>50</v>
      </c>
      <c r="H1243" t="n">
        <v>0</v>
      </c>
      <c r="I1243" t="n">
        <v>0</v>
      </c>
      <c r="J1243" t="inlineStr">
        <is>
          <t>NA</t>
        </is>
      </c>
      <c r="K1243" t="n">
        <v>83.59999999999999</v>
      </c>
    </row>
    <row r="1244">
      <c r="A1244" t="inlineStr">
        <is>
          <t>SIMULATED Food Waste Remote Study</t>
        </is>
      </c>
      <c r="B1244" t="inlineStr">
        <is>
          <t>RESP0179</t>
        </is>
      </c>
      <c r="C1244" t="inlineStr">
        <is>
          <t>Stimulus</t>
        </is>
      </c>
      <c r="D1244" t="inlineStr">
        <is>
          <t>foodwaste_narrative</t>
        </is>
      </c>
      <c r="E1244" t="n">
        <v>60</v>
      </c>
      <c r="F1244" t="inlineStr">
        <is>
          <t>Brow Furrow</t>
        </is>
      </c>
      <c r="G1244" t="n">
        <v>50</v>
      </c>
      <c r="H1244" t="n">
        <v>3.83</v>
      </c>
      <c r="I1244" t="n">
        <v>4</v>
      </c>
      <c r="J1244" t="inlineStr">
        <is>
          <t>NA</t>
        </is>
      </c>
      <c r="K1244" t="n">
        <v>83.59999999999999</v>
      </c>
    </row>
    <row r="1245">
      <c r="A1245" t="inlineStr">
        <is>
          <t>SIMULATED Food Waste Remote Study</t>
        </is>
      </c>
      <c r="B1245" t="inlineStr">
        <is>
          <t>RESP0179</t>
        </is>
      </c>
      <c r="C1245" t="inlineStr">
        <is>
          <t>Stimulus</t>
        </is>
      </c>
      <c r="D1245" t="inlineStr">
        <is>
          <t>foodwaste_narrative</t>
        </is>
      </c>
      <c r="E1245" t="n">
        <v>60</v>
      </c>
      <c r="F1245" t="inlineStr">
        <is>
          <t>Positive Valence</t>
        </is>
      </c>
      <c r="G1245" t="n">
        <v>50</v>
      </c>
      <c r="H1245" t="n">
        <v>18.94</v>
      </c>
      <c r="I1245" t="n">
        <v>9</v>
      </c>
      <c r="J1245" t="inlineStr">
        <is>
          <t>NA</t>
        </is>
      </c>
      <c r="K1245" t="n">
        <v>83.59999999999999</v>
      </c>
    </row>
    <row r="1246">
      <c r="A1246" t="inlineStr">
        <is>
          <t>SIMULATED Food Waste Remote Study</t>
        </is>
      </c>
      <c r="B1246" t="inlineStr">
        <is>
          <t>RESP0179</t>
        </is>
      </c>
      <c r="C1246" t="inlineStr">
        <is>
          <t>Stimulus</t>
        </is>
      </c>
      <c r="D1246" t="inlineStr">
        <is>
          <t>foodwaste_narrative</t>
        </is>
      </c>
      <c r="E1246" t="n">
        <v>60</v>
      </c>
      <c r="F1246" t="inlineStr">
        <is>
          <t>Negative Valence</t>
        </is>
      </c>
      <c r="G1246" t="n">
        <v>-50</v>
      </c>
      <c r="H1246" t="n">
        <v>4.78</v>
      </c>
      <c r="I1246" t="n">
        <v>8</v>
      </c>
      <c r="J1246" t="inlineStr">
        <is>
          <t>NA</t>
        </is>
      </c>
      <c r="K1246" t="n">
        <v>83.59999999999999</v>
      </c>
    </row>
    <row r="1247">
      <c r="A1247" t="inlineStr">
        <is>
          <t>SIMULATED Food Waste Remote Study</t>
        </is>
      </c>
      <c r="B1247" t="inlineStr">
        <is>
          <t>RESP0179</t>
        </is>
      </c>
      <c r="C1247" t="inlineStr">
        <is>
          <t>Stimulus</t>
        </is>
      </c>
      <c r="D1247" t="inlineStr">
        <is>
          <t>foodwaste_visual</t>
        </is>
      </c>
      <c r="E1247" t="n">
        <v>62</v>
      </c>
      <c r="F1247" t="inlineStr">
        <is>
          <t>Engagement</t>
        </is>
      </c>
      <c r="G1247" t="n">
        <v>50</v>
      </c>
      <c r="H1247" t="n">
        <v>63.92</v>
      </c>
      <c r="I1247" t="n">
        <v>70</v>
      </c>
      <c r="J1247" t="inlineStr">
        <is>
          <t>NA</t>
        </is>
      </c>
      <c r="K1247" t="n">
        <v>86.5</v>
      </c>
    </row>
    <row r="1248">
      <c r="A1248" t="inlineStr">
        <is>
          <t>SIMULATED Food Waste Remote Study</t>
        </is>
      </c>
      <c r="B1248" t="inlineStr">
        <is>
          <t>RESP0179</t>
        </is>
      </c>
      <c r="C1248" t="inlineStr">
        <is>
          <t>Stimulus</t>
        </is>
      </c>
      <c r="D1248" t="inlineStr">
        <is>
          <t>foodwaste_visual</t>
        </is>
      </c>
      <c r="E1248" t="n">
        <v>62</v>
      </c>
      <c r="F1248" t="inlineStr">
        <is>
          <t>Joy</t>
        </is>
      </c>
      <c r="G1248" t="n">
        <v>50</v>
      </c>
      <c r="H1248" t="n">
        <v>0</v>
      </c>
      <c r="I1248" t="n">
        <v>0</v>
      </c>
      <c r="J1248" t="inlineStr">
        <is>
          <t>NA</t>
        </is>
      </c>
      <c r="K1248" t="n">
        <v>86.5</v>
      </c>
    </row>
    <row r="1249">
      <c r="A1249" t="inlineStr">
        <is>
          <t>SIMULATED Food Waste Remote Study</t>
        </is>
      </c>
      <c r="B1249" t="inlineStr">
        <is>
          <t>RESP0179</t>
        </is>
      </c>
      <c r="C1249" t="inlineStr">
        <is>
          <t>Stimulus</t>
        </is>
      </c>
      <c r="D1249" t="inlineStr">
        <is>
          <t>foodwaste_visual</t>
        </is>
      </c>
      <c r="E1249" t="n">
        <v>62</v>
      </c>
      <c r="F1249" t="inlineStr">
        <is>
          <t>Brow Furrow</t>
        </is>
      </c>
      <c r="G1249" t="n">
        <v>50</v>
      </c>
      <c r="H1249" t="n">
        <v>5.91</v>
      </c>
      <c r="I1249" t="n">
        <v>4</v>
      </c>
      <c r="J1249" t="inlineStr">
        <is>
          <t>NA</t>
        </is>
      </c>
      <c r="K1249" t="n">
        <v>86.5</v>
      </c>
    </row>
    <row r="1250">
      <c r="A1250" t="inlineStr">
        <is>
          <t>SIMULATED Food Waste Remote Study</t>
        </is>
      </c>
      <c r="B1250" t="inlineStr">
        <is>
          <t>RESP0179</t>
        </is>
      </c>
      <c r="C1250" t="inlineStr">
        <is>
          <t>Stimulus</t>
        </is>
      </c>
      <c r="D1250" t="inlineStr">
        <is>
          <t>foodwaste_visual</t>
        </is>
      </c>
      <c r="E1250" t="n">
        <v>62</v>
      </c>
      <c r="F1250" t="inlineStr">
        <is>
          <t>Positive Valence</t>
        </is>
      </c>
      <c r="G1250" t="n">
        <v>50</v>
      </c>
      <c r="H1250" t="n">
        <v>11.29</v>
      </c>
      <c r="I1250" t="n">
        <v>6</v>
      </c>
      <c r="J1250" t="inlineStr">
        <is>
          <t>NA</t>
        </is>
      </c>
      <c r="K1250" t="n">
        <v>86.5</v>
      </c>
    </row>
    <row r="1251">
      <c r="A1251" t="inlineStr">
        <is>
          <t>SIMULATED Food Waste Remote Study</t>
        </is>
      </c>
      <c r="B1251" t="inlineStr">
        <is>
          <t>RESP0179</t>
        </is>
      </c>
      <c r="C1251" t="inlineStr">
        <is>
          <t>Stimulus</t>
        </is>
      </c>
      <c r="D1251" t="inlineStr">
        <is>
          <t>foodwaste_visual</t>
        </is>
      </c>
      <c r="E1251" t="n">
        <v>62</v>
      </c>
      <c r="F1251" t="inlineStr">
        <is>
          <t>Negative Valence</t>
        </is>
      </c>
      <c r="G1251" t="n">
        <v>-50</v>
      </c>
      <c r="H1251" t="n">
        <v>1.94</v>
      </c>
      <c r="I1251" t="n">
        <v>4</v>
      </c>
      <c r="J1251" t="inlineStr">
        <is>
          <t>NA</t>
        </is>
      </c>
      <c r="K1251" t="n">
        <v>86.5</v>
      </c>
    </row>
    <row r="1252">
      <c r="A1252" t="inlineStr">
        <is>
          <t>SIMULATED Food Waste Remote Study</t>
        </is>
      </c>
      <c r="B1252" t="inlineStr">
        <is>
          <t>RESP0180</t>
        </is>
      </c>
      <c r="C1252" t="inlineStr">
        <is>
          <t>Stimulus</t>
        </is>
      </c>
      <c r="D1252" t="inlineStr">
        <is>
          <t>foodwaste_narrative</t>
        </is>
      </c>
      <c r="E1252" t="n">
        <v>60</v>
      </c>
      <c r="F1252" t="inlineStr">
        <is>
          <t>Engagement</t>
        </is>
      </c>
      <c r="G1252" t="n">
        <v>50</v>
      </c>
      <c r="H1252" t="n">
        <v>36.06</v>
      </c>
      <c r="I1252" t="n">
        <v>10</v>
      </c>
      <c r="J1252" t="inlineStr">
        <is>
          <t>NA</t>
        </is>
      </c>
      <c r="K1252" t="n">
        <v>99.59999999999999</v>
      </c>
    </row>
    <row r="1253">
      <c r="A1253" t="inlineStr">
        <is>
          <t>SIMULATED Food Waste Remote Study</t>
        </is>
      </c>
      <c r="B1253" t="inlineStr">
        <is>
          <t>RESP0180</t>
        </is>
      </c>
      <c r="C1253" t="inlineStr">
        <is>
          <t>Stimulus</t>
        </is>
      </c>
      <c r="D1253" t="inlineStr">
        <is>
          <t>foodwaste_narrative</t>
        </is>
      </c>
      <c r="E1253" t="n">
        <v>60</v>
      </c>
      <c r="F1253" t="inlineStr">
        <is>
          <t>Joy</t>
        </is>
      </c>
      <c r="G1253" t="n">
        <v>50</v>
      </c>
      <c r="H1253" t="n">
        <v>0</v>
      </c>
      <c r="I1253" t="n">
        <v>0</v>
      </c>
      <c r="J1253" t="inlineStr">
        <is>
          <t>NA</t>
        </is>
      </c>
      <c r="K1253" t="n">
        <v>99.59999999999999</v>
      </c>
    </row>
    <row r="1254">
      <c r="A1254" t="inlineStr">
        <is>
          <t>SIMULATED Food Waste Remote Study</t>
        </is>
      </c>
      <c r="B1254" t="inlineStr">
        <is>
          <t>RESP0180</t>
        </is>
      </c>
      <c r="C1254" t="inlineStr">
        <is>
          <t>Stimulus</t>
        </is>
      </c>
      <c r="D1254" t="inlineStr">
        <is>
          <t>foodwaste_narrative</t>
        </is>
      </c>
      <c r="E1254" t="n">
        <v>60</v>
      </c>
      <c r="F1254" t="inlineStr">
        <is>
          <t>Brow Furrow</t>
        </is>
      </c>
      <c r="G1254" t="n">
        <v>50</v>
      </c>
      <c r="H1254" t="n">
        <v>0</v>
      </c>
      <c r="I1254" t="n">
        <v>0</v>
      </c>
      <c r="J1254" t="inlineStr">
        <is>
          <t>NA</t>
        </is>
      </c>
      <c r="K1254" t="n">
        <v>99.59999999999999</v>
      </c>
    </row>
    <row r="1255">
      <c r="A1255" t="inlineStr">
        <is>
          <t>SIMULATED Food Waste Remote Study</t>
        </is>
      </c>
      <c r="B1255" t="inlineStr">
        <is>
          <t>RESP0180</t>
        </is>
      </c>
      <c r="C1255" t="inlineStr">
        <is>
          <t>Stimulus</t>
        </is>
      </c>
      <c r="D1255" t="inlineStr">
        <is>
          <t>foodwaste_narrative</t>
        </is>
      </c>
      <c r="E1255" t="n">
        <v>60</v>
      </c>
      <c r="F1255" t="inlineStr">
        <is>
          <t>Positive Valence</t>
        </is>
      </c>
      <c r="G1255" t="n">
        <v>50</v>
      </c>
      <c r="H1255" t="n">
        <v>5.61</v>
      </c>
      <c r="I1255" t="n">
        <v>3</v>
      </c>
      <c r="J1255" t="inlineStr">
        <is>
          <t>NA</t>
        </is>
      </c>
      <c r="K1255" t="n">
        <v>99.59999999999999</v>
      </c>
    </row>
    <row r="1256">
      <c r="A1256" t="inlineStr">
        <is>
          <t>SIMULATED Food Waste Remote Study</t>
        </is>
      </c>
      <c r="B1256" t="inlineStr">
        <is>
          <t>RESP0180</t>
        </is>
      </c>
      <c r="C1256" t="inlineStr">
        <is>
          <t>Stimulus</t>
        </is>
      </c>
      <c r="D1256" t="inlineStr">
        <is>
          <t>foodwaste_narrative</t>
        </is>
      </c>
      <c r="E1256" t="n">
        <v>60</v>
      </c>
      <c r="F1256" t="inlineStr">
        <is>
          <t>Negative Valence</t>
        </is>
      </c>
      <c r="G1256" t="n">
        <v>-50</v>
      </c>
      <c r="H1256" t="n">
        <v>1.06</v>
      </c>
      <c r="I1256" t="n">
        <v>1</v>
      </c>
      <c r="J1256" t="inlineStr">
        <is>
          <t>NA</t>
        </is>
      </c>
      <c r="K1256" t="n">
        <v>99.59999999999999</v>
      </c>
    </row>
    <row r="1257">
      <c r="A1257" t="inlineStr">
        <is>
          <t>SIMULATED Food Waste Remote Study</t>
        </is>
      </c>
      <c r="B1257" t="inlineStr">
        <is>
          <t>RESP0180</t>
        </is>
      </c>
      <c r="C1257" t="inlineStr">
        <is>
          <t>Stimulus</t>
        </is>
      </c>
      <c r="D1257" t="inlineStr">
        <is>
          <t>foodwaste_visual</t>
        </is>
      </c>
      <c r="E1257" t="n">
        <v>62</v>
      </c>
      <c r="F1257" t="inlineStr">
        <is>
          <t>Engagement</t>
        </is>
      </c>
      <c r="G1257" t="n">
        <v>50</v>
      </c>
      <c r="H1257" t="n">
        <v>60.11</v>
      </c>
      <c r="I1257" t="n">
        <v>17</v>
      </c>
      <c r="J1257" t="inlineStr">
        <is>
          <t>NA</t>
        </is>
      </c>
      <c r="K1257" t="n">
        <v>99.5</v>
      </c>
    </row>
    <row r="1258">
      <c r="A1258" t="inlineStr">
        <is>
          <t>SIMULATED Food Waste Remote Study</t>
        </is>
      </c>
      <c r="B1258" t="inlineStr">
        <is>
          <t>RESP0180</t>
        </is>
      </c>
      <c r="C1258" t="inlineStr">
        <is>
          <t>Stimulus</t>
        </is>
      </c>
      <c r="D1258" t="inlineStr">
        <is>
          <t>foodwaste_visual</t>
        </is>
      </c>
      <c r="E1258" t="n">
        <v>62</v>
      </c>
      <c r="F1258" t="inlineStr">
        <is>
          <t>Joy</t>
        </is>
      </c>
      <c r="G1258" t="n">
        <v>50</v>
      </c>
      <c r="H1258" t="n">
        <v>7.42</v>
      </c>
      <c r="I1258" t="n">
        <v>2</v>
      </c>
      <c r="J1258" t="inlineStr">
        <is>
          <t>NA</t>
        </is>
      </c>
      <c r="K1258" t="n">
        <v>99.5</v>
      </c>
    </row>
    <row r="1259">
      <c r="A1259" t="inlineStr">
        <is>
          <t>SIMULATED Food Waste Remote Study</t>
        </is>
      </c>
      <c r="B1259" t="inlineStr">
        <is>
          <t>RESP0180</t>
        </is>
      </c>
      <c r="C1259" t="inlineStr">
        <is>
          <t>Stimulus</t>
        </is>
      </c>
      <c r="D1259" t="inlineStr">
        <is>
          <t>foodwaste_visual</t>
        </is>
      </c>
      <c r="E1259" t="n">
        <v>62</v>
      </c>
      <c r="F1259" t="inlineStr">
        <is>
          <t>Brow Furrow</t>
        </is>
      </c>
      <c r="G1259" t="n">
        <v>50</v>
      </c>
      <c r="H1259" t="n">
        <v>0.54</v>
      </c>
      <c r="I1259" t="n">
        <v>1</v>
      </c>
      <c r="J1259" t="inlineStr">
        <is>
          <t>NA</t>
        </is>
      </c>
      <c r="K1259" t="n">
        <v>99.5</v>
      </c>
    </row>
    <row r="1260">
      <c r="A1260" t="inlineStr">
        <is>
          <t>SIMULATED Food Waste Remote Study</t>
        </is>
      </c>
      <c r="B1260" t="inlineStr">
        <is>
          <t>RESP0180</t>
        </is>
      </c>
      <c r="C1260" t="inlineStr">
        <is>
          <t>Stimulus</t>
        </is>
      </c>
      <c r="D1260" t="inlineStr">
        <is>
          <t>foodwaste_visual</t>
        </is>
      </c>
      <c r="E1260" t="n">
        <v>62</v>
      </c>
      <c r="F1260" t="inlineStr">
        <is>
          <t>Positive Valence</t>
        </is>
      </c>
      <c r="G1260" t="n">
        <v>50</v>
      </c>
      <c r="H1260" t="n">
        <v>0</v>
      </c>
      <c r="I1260" t="n">
        <v>0</v>
      </c>
      <c r="J1260" t="inlineStr">
        <is>
          <t>NA</t>
        </is>
      </c>
      <c r="K1260" t="n">
        <v>99.5</v>
      </c>
    </row>
    <row r="1261">
      <c r="A1261" t="inlineStr">
        <is>
          <t>SIMULATED Food Waste Remote Study</t>
        </is>
      </c>
      <c r="B1261" t="inlineStr">
        <is>
          <t>RESP0180</t>
        </is>
      </c>
      <c r="C1261" t="inlineStr">
        <is>
          <t>Stimulus</t>
        </is>
      </c>
      <c r="D1261" t="inlineStr">
        <is>
          <t>foodwaste_visual</t>
        </is>
      </c>
      <c r="E1261" t="n">
        <v>62</v>
      </c>
      <c r="F1261" t="inlineStr">
        <is>
          <t>Negative Valence</t>
        </is>
      </c>
      <c r="G1261" t="n">
        <v>-50</v>
      </c>
      <c r="H1261" t="n">
        <v>7.31</v>
      </c>
      <c r="I1261" t="n">
        <v>1</v>
      </c>
      <c r="J1261" t="inlineStr">
        <is>
          <t>NA</t>
        </is>
      </c>
      <c r="K1261" t="n">
        <v>99.5</v>
      </c>
    </row>
    <row r="1262">
      <c r="A1262" t="inlineStr">
        <is>
          <t>SIMULATED Food Waste Remote Study</t>
        </is>
      </c>
      <c r="B1262" t="inlineStr">
        <is>
          <t>RESP0181</t>
        </is>
      </c>
      <c r="C1262" t="inlineStr">
        <is>
          <t>Stimulus</t>
        </is>
      </c>
      <c r="D1262" t="inlineStr">
        <is>
          <t>foodwaste_narrative</t>
        </is>
      </c>
      <c r="E1262" t="n">
        <v>60</v>
      </c>
      <c r="F1262" t="inlineStr">
        <is>
          <t>Engagement</t>
        </is>
      </c>
      <c r="G1262" t="n">
        <v>50</v>
      </c>
      <c r="H1262" t="n">
        <v>24.56</v>
      </c>
      <c r="I1262" t="n">
        <v>5</v>
      </c>
      <c r="J1262" t="inlineStr">
        <is>
          <t>NA</t>
        </is>
      </c>
      <c r="K1262" t="n">
        <v>98.3</v>
      </c>
    </row>
    <row r="1263">
      <c r="A1263" t="inlineStr">
        <is>
          <t>SIMULATED Food Waste Remote Study</t>
        </is>
      </c>
      <c r="B1263" t="inlineStr">
        <is>
          <t>RESP0181</t>
        </is>
      </c>
      <c r="C1263" t="inlineStr">
        <is>
          <t>Stimulus</t>
        </is>
      </c>
      <c r="D1263" t="inlineStr">
        <is>
          <t>foodwaste_narrative</t>
        </is>
      </c>
      <c r="E1263" t="n">
        <v>60</v>
      </c>
      <c r="F1263" t="inlineStr">
        <is>
          <t>Joy</t>
        </is>
      </c>
      <c r="G1263" t="n">
        <v>50</v>
      </c>
      <c r="H1263" t="n">
        <v>3.56</v>
      </c>
      <c r="I1263" t="n">
        <v>2</v>
      </c>
      <c r="J1263" t="inlineStr">
        <is>
          <t>NA</t>
        </is>
      </c>
      <c r="K1263" t="n">
        <v>98.3</v>
      </c>
    </row>
    <row r="1264">
      <c r="A1264" t="inlineStr">
        <is>
          <t>SIMULATED Food Waste Remote Study</t>
        </is>
      </c>
      <c r="B1264" t="inlineStr">
        <is>
          <t>RESP0181</t>
        </is>
      </c>
      <c r="C1264" t="inlineStr">
        <is>
          <t>Stimulus</t>
        </is>
      </c>
      <c r="D1264" t="inlineStr">
        <is>
          <t>foodwaste_narrative</t>
        </is>
      </c>
      <c r="E1264" t="n">
        <v>60</v>
      </c>
      <c r="F1264" t="inlineStr">
        <is>
          <t>Brow Furrow</t>
        </is>
      </c>
      <c r="G1264" t="n">
        <v>50</v>
      </c>
      <c r="H1264" t="n">
        <v>11.28</v>
      </c>
      <c r="I1264" t="n">
        <v>1</v>
      </c>
      <c r="J1264" t="inlineStr">
        <is>
          <t>NA</t>
        </is>
      </c>
      <c r="K1264" t="n">
        <v>98.3</v>
      </c>
    </row>
    <row r="1265">
      <c r="A1265" t="inlineStr">
        <is>
          <t>SIMULATED Food Waste Remote Study</t>
        </is>
      </c>
      <c r="B1265" t="inlineStr">
        <is>
          <t>RESP0181</t>
        </is>
      </c>
      <c r="C1265" t="inlineStr">
        <is>
          <t>Stimulus</t>
        </is>
      </c>
      <c r="D1265" t="inlineStr">
        <is>
          <t>foodwaste_narrative</t>
        </is>
      </c>
      <c r="E1265" t="n">
        <v>60</v>
      </c>
      <c r="F1265" t="inlineStr">
        <is>
          <t>Positive Valence</t>
        </is>
      </c>
      <c r="G1265" t="n">
        <v>50</v>
      </c>
      <c r="H1265" t="n">
        <v>0</v>
      </c>
      <c r="I1265" t="n">
        <v>0</v>
      </c>
      <c r="J1265" t="inlineStr">
        <is>
          <t>NA</t>
        </is>
      </c>
      <c r="K1265" t="n">
        <v>98.3</v>
      </c>
    </row>
    <row r="1266">
      <c r="A1266" t="inlineStr">
        <is>
          <t>SIMULATED Food Waste Remote Study</t>
        </is>
      </c>
      <c r="B1266" t="inlineStr">
        <is>
          <t>RESP0181</t>
        </is>
      </c>
      <c r="C1266" t="inlineStr">
        <is>
          <t>Stimulus</t>
        </is>
      </c>
      <c r="D1266" t="inlineStr">
        <is>
          <t>foodwaste_narrative</t>
        </is>
      </c>
      <c r="E1266" t="n">
        <v>60</v>
      </c>
      <c r="F1266" t="inlineStr">
        <is>
          <t>Negative Valence</t>
        </is>
      </c>
      <c r="G1266" t="n">
        <v>-50</v>
      </c>
      <c r="H1266" t="n">
        <v>0</v>
      </c>
      <c r="I1266" t="n">
        <v>0</v>
      </c>
      <c r="J1266" t="inlineStr">
        <is>
          <t>NA</t>
        </is>
      </c>
      <c r="K1266" t="n">
        <v>98.3</v>
      </c>
    </row>
    <row r="1267">
      <c r="A1267" t="inlineStr">
        <is>
          <t>SIMULATED Food Waste Remote Study</t>
        </is>
      </c>
      <c r="B1267" t="inlineStr">
        <is>
          <t>RESP0181</t>
        </is>
      </c>
      <c r="C1267" t="inlineStr">
        <is>
          <t>Stimulus</t>
        </is>
      </c>
      <c r="D1267" t="inlineStr">
        <is>
          <t>foodwaste_visual</t>
        </is>
      </c>
      <c r="E1267" t="n">
        <v>62</v>
      </c>
      <c r="F1267" t="inlineStr">
        <is>
          <t>Engagement</t>
        </is>
      </c>
      <c r="G1267" t="n">
        <v>50</v>
      </c>
      <c r="H1267" t="n">
        <v>35.86</v>
      </c>
      <c r="I1267" t="n">
        <v>7</v>
      </c>
      <c r="J1267" t="inlineStr">
        <is>
          <t>NA</t>
        </is>
      </c>
      <c r="K1267" t="n">
        <v>99.59999999999999</v>
      </c>
    </row>
    <row r="1268">
      <c r="A1268" t="inlineStr">
        <is>
          <t>SIMULATED Food Waste Remote Study</t>
        </is>
      </c>
      <c r="B1268" t="inlineStr">
        <is>
          <t>RESP0181</t>
        </is>
      </c>
      <c r="C1268" t="inlineStr">
        <is>
          <t>Stimulus</t>
        </is>
      </c>
      <c r="D1268" t="inlineStr">
        <is>
          <t>foodwaste_visual</t>
        </is>
      </c>
      <c r="E1268" t="n">
        <v>62</v>
      </c>
      <c r="F1268" t="inlineStr">
        <is>
          <t>Joy</t>
        </is>
      </c>
      <c r="G1268" t="n">
        <v>50</v>
      </c>
      <c r="H1268" t="n">
        <v>2.53</v>
      </c>
      <c r="I1268" t="n">
        <v>3</v>
      </c>
      <c r="J1268" t="inlineStr">
        <is>
          <t>NA</t>
        </is>
      </c>
      <c r="K1268" t="n">
        <v>99.59999999999999</v>
      </c>
    </row>
    <row r="1269">
      <c r="A1269" t="inlineStr">
        <is>
          <t>SIMULATED Food Waste Remote Study</t>
        </is>
      </c>
      <c r="B1269" t="inlineStr">
        <is>
          <t>RESP0181</t>
        </is>
      </c>
      <c r="C1269" t="inlineStr">
        <is>
          <t>Stimulus</t>
        </is>
      </c>
      <c r="D1269" t="inlineStr">
        <is>
          <t>foodwaste_visual</t>
        </is>
      </c>
      <c r="E1269" t="n">
        <v>62</v>
      </c>
      <c r="F1269" t="inlineStr">
        <is>
          <t>Brow Furrow</t>
        </is>
      </c>
      <c r="G1269" t="n">
        <v>50</v>
      </c>
      <c r="H1269" t="n">
        <v>0.86</v>
      </c>
      <c r="I1269" t="n">
        <v>1</v>
      </c>
      <c r="J1269" t="inlineStr">
        <is>
          <t>NA</t>
        </is>
      </c>
      <c r="K1269" t="n">
        <v>99.59999999999999</v>
      </c>
    </row>
    <row r="1270">
      <c r="A1270" t="inlineStr">
        <is>
          <t>SIMULATED Food Waste Remote Study</t>
        </is>
      </c>
      <c r="B1270" t="inlineStr">
        <is>
          <t>RESP0181</t>
        </is>
      </c>
      <c r="C1270" t="inlineStr">
        <is>
          <t>Stimulus</t>
        </is>
      </c>
      <c r="D1270" t="inlineStr">
        <is>
          <t>foodwaste_visual</t>
        </is>
      </c>
      <c r="E1270" t="n">
        <v>62</v>
      </c>
      <c r="F1270" t="inlineStr">
        <is>
          <t>Positive Valence</t>
        </is>
      </c>
      <c r="G1270" t="n">
        <v>50</v>
      </c>
      <c r="H1270" t="n">
        <v>40.32</v>
      </c>
      <c r="I1270" t="n">
        <v>12</v>
      </c>
      <c r="J1270" t="inlineStr">
        <is>
          <t>NA</t>
        </is>
      </c>
      <c r="K1270" t="n">
        <v>99.59999999999999</v>
      </c>
    </row>
    <row r="1271">
      <c r="A1271" t="inlineStr">
        <is>
          <t>SIMULATED Food Waste Remote Study</t>
        </is>
      </c>
      <c r="B1271" t="inlineStr">
        <is>
          <t>RESP0181</t>
        </is>
      </c>
      <c r="C1271" t="inlineStr">
        <is>
          <t>Stimulus</t>
        </is>
      </c>
      <c r="D1271" t="inlineStr">
        <is>
          <t>foodwaste_visual</t>
        </is>
      </c>
      <c r="E1271" t="n">
        <v>62</v>
      </c>
      <c r="F1271" t="inlineStr">
        <is>
          <t>Negative Valence</t>
        </is>
      </c>
      <c r="G1271" t="n">
        <v>-50</v>
      </c>
      <c r="H1271" t="n">
        <v>1.18</v>
      </c>
      <c r="I1271" t="n">
        <v>1</v>
      </c>
      <c r="J1271" t="inlineStr">
        <is>
          <t>NA</t>
        </is>
      </c>
      <c r="K1271" t="n">
        <v>99.59999999999999</v>
      </c>
    </row>
    <row r="1272">
      <c r="A1272" t="inlineStr">
        <is>
          <t>SIMULATED Food Waste Remote Study</t>
        </is>
      </c>
      <c r="B1272" t="inlineStr">
        <is>
          <t>RESP0183</t>
        </is>
      </c>
      <c r="C1272" t="inlineStr">
        <is>
          <t>Stimulus</t>
        </is>
      </c>
      <c r="D1272" t="inlineStr">
        <is>
          <t>foodwaste_narrative</t>
        </is>
      </c>
      <c r="E1272" t="n">
        <v>60</v>
      </c>
      <c r="F1272" t="inlineStr">
        <is>
          <t>Engagement</t>
        </is>
      </c>
      <c r="G1272" t="n">
        <v>50</v>
      </c>
      <c r="H1272" t="n">
        <v>21.44</v>
      </c>
      <c r="I1272" t="n">
        <v>5</v>
      </c>
      <c r="J1272" t="inlineStr">
        <is>
          <t>NA</t>
        </is>
      </c>
      <c r="K1272" t="n">
        <v>89.3</v>
      </c>
    </row>
    <row r="1273">
      <c r="A1273" t="inlineStr">
        <is>
          <t>SIMULATED Food Waste Remote Study</t>
        </is>
      </c>
      <c r="B1273" t="inlineStr">
        <is>
          <t>RESP0183</t>
        </is>
      </c>
      <c r="C1273" t="inlineStr">
        <is>
          <t>Stimulus</t>
        </is>
      </c>
      <c r="D1273" t="inlineStr">
        <is>
          <t>foodwaste_narrative</t>
        </is>
      </c>
      <c r="E1273" t="n">
        <v>60</v>
      </c>
      <c r="F1273" t="inlineStr">
        <is>
          <t>Joy</t>
        </is>
      </c>
      <c r="G1273" t="n">
        <v>50</v>
      </c>
      <c r="H1273" t="n">
        <v>0</v>
      </c>
      <c r="I1273" t="n">
        <v>0</v>
      </c>
      <c r="J1273" t="inlineStr">
        <is>
          <t>NA</t>
        </is>
      </c>
      <c r="K1273" t="n">
        <v>89.3</v>
      </c>
    </row>
    <row r="1274">
      <c r="A1274" t="inlineStr">
        <is>
          <t>SIMULATED Food Waste Remote Study</t>
        </is>
      </c>
      <c r="B1274" t="inlineStr">
        <is>
          <t>RESP0183</t>
        </is>
      </c>
      <c r="C1274" t="inlineStr">
        <is>
          <t>Stimulus</t>
        </is>
      </c>
      <c r="D1274" t="inlineStr">
        <is>
          <t>foodwaste_narrative</t>
        </is>
      </c>
      <c r="E1274" t="n">
        <v>60</v>
      </c>
      <c r="F1274" t="inlineStr">
        <is>
          <t>Brow Furrow</t>
        </is>
      </c>
      <c r="G1274" t="n">
        <v>50</v>
      </c>
      <c r="H1274" t="n">
        <v>0</v>
      </c>
      <c r="I1274" t="n">
        <v>0</v>
      </c>
      <c r="J1274" t="inlineStr">
        <is>
          <t>NA</t>
        </is>
      </c>
      <c r="K1274" t="n">
        <v>89.3</v>
      </c>
    </row>
    <row r="1275">
      <c r="A1275" t="inlineStr">
        <is>
          <t>SIMULATED Food Waste Remote Study</t>
        </is>
      </c>
      <c r="B1275" t="inlineStr">
        <is>
          <t>RESP0183</t>
        </is>
      </c>
      <c r="C1275" t="inlineStr">
        <is>
          <t>Stimulus</t>
        </is>
      </c>
      <c r="D1275" t="inlineStr">
        <is>
          <t>foodwaste_narrative</t>
        </is>
      </c>
      <c r="E1275" t="n">
        <v>60</v>
      </c>
      <c r="F1275" t="inlineStr">
        <is>
          <t>Positive Valence</t>
        </is>
      </c>
      <c r="G1275" t="n">
        <v>50</v>
      </c>
      <c r="H1275" t="n">
        <v>0.9399999999999999</v>
      </c>
      <c r="I1275" t="n">
        <v>1</v>
      </c>
      <c r="J1275" t="inlineStr">
        <is>
          <t>NA</t>
        </is>
      </c>
      <c r="K1275" t="n">
        <v>89.3</v>
      </c>
    </row>
    <row r="1276">
      <c r="A1276" t="inlineStr">
        <is>
          <t>SIMULATED Food Waste Remote Study</t>
        </is>
      </c>
      <c r="B1276" t="inlineStr">
        <is>
          <t>RESP0183</t>
        </is>
      </c>
      <c r="C1276" t="inlineStr">
        <is>
          <t>Stimulus</t>
        </is>
      </c>
      <c r="D1276" t="inlineStr">
        <is>
          <t>foodwaste_narrative</t>
        </is>
      </c>
      <c r="E1276" t="n">
        <v>60</v>
      </c>
      <c r="F1276" t="inlineStr">
        <is>
          <t>Negative Valence</t>
        </is>
      </c>
      <c r="G1276" t="n">
        <v>-50</v>
      </c>
      <c r="H1276" t="n">
        <v>0</v>
      </c>
      <c r="I1276" t="n">
        <v>0</v>
      </c>
      <c r="J1276" t="inlineStr">
        <is>
          <t>NA</t>
        </is>
      </c>
      <c r="K1276" t="n">
        <v>89.3</v>
      </c>
    </row>
    <row r="1277">
      <c r="A1277" t="inlineStr">
        <is>
          <t>SIMULATED Food Waste Remote Study</t>
        </is>
      </c>
      <c r="B1277" t="inlineStr">
        <is>
          <t>RESP0183</t>
        </is>
      </c>
      <c r="C1277" t="inlineStr">
        <is>
          <t>Stimulus</t>
        </is>
      </c>
      <c r="D1277" t="inlineStr">
        <is>
          <t>foodwaste_visual</t>
        </is>
      </c>
      <c r="E1277" t="n">
        <v>62</v>
      </c>
      <c r="F1277" t="inlineStr">
        <is>
          <t>Engagement</t>
        </is>
      </c>
      <c r="G1277" t="n">
        <v>50</v>
      </c>
      <c r="H1277" t="n">
        <v>11.4</v>
      </c>
      <c r="I1277" t="n">
        <v>8</v>
      </c>
      <c r="J1277" t="inlineStr">
        <is>
          <t>NA</t>
        </is>
      </c>
      <c r="K1277" t="n">
        <v>90.90000000000001</v>
      </c>
    </row>
    <row r="1278">
      <c r="A1278" t="inlineStr">
        <is>
          <t>SIMULATED Food Waste Remote Study</t>
        </is>
      </c>
      <c r="B1278" t="inlineStr">
        <is>
          <t>RESP0183</t>
        </is>
      </c>
      <c r="C1278" t="inlineStr">
        <is>
          <t>Stimulus</t>
        </is>
      </c>
      <c r="D1278" t="inlineStr">
        <is>
          <t>foodwaste_visual</t>
        </is>
      </c>
      <c r="E1278" t="n">
        <v>62</v>
      </c>
      <c r="F1278" t="inlineStr">
        <is>
          <t>Joy</t>
        </is>
      </c>
      <c r="G1278" t="n">
        <v>50</v>
      </c>
      <c r="H1278" t="n">
        <v>6.67</v>
      </c>
      <c r="I1278" t="n">
        <v>4</v>
      </c>
      <c r="J1278" t="inlineStr">
        <is>
          <t>NA</t>
        </is>
      </c>
      <c r="K1278" t="n">
        <v>90.90000000000001</v>
      </c>
    </row>
    <row r="1279">
      <c r="A1279" t="inlineStr">
        <is>
          <t>SIMULATED Food Waste Remote Study</t>
        </is>
      </c>
      <c r="B1279" t="inlineStr">
        <is>
          <t>RESP0183</t>
        </is>
      </c>
      <c r="C1279" t="inlineStr">
        <is>
          <t>Stimulus</t>
        </is>
      </c>
      <c r="D1279" t="inlineStr">
        <is>
          <t>foodwaste_visual</t>
        </is>
      </c>
      <c r="E1279" t="n">
        <v>62</v>
      </c>
      <c r="F1279" t="inlineStr">
        <is>
          <t>Brow Furrow</t>
        </is>
      </c>
      <c r="G1279" t="n">
        <v>50</v>
      </c>
      <c r="H1279" t="n">
        <v>0</v>
      </c>
      <c r="I1279" t="n">
        <v>0</v>
      </c>
      <c r="J1279" t="inlineStr">
        <is>
          <t>NA</t>
        </is>
      </c>
      <c r="K1279" t="n">
        <v>90.90000000000001</v>
      </c>
    </row>
    <row r="1280">
      <c r="A1280" t="inlineStr">
        <is>
          <t>SIMULATED Food Waste Remote Study</t>
        </is>
      </c>
      <c r="B1280" t="inlineStr">
        <is>
          <t>RESP0183</t>
        </is>
      </c>
      <c r="C1280" t="inlineStr">
        <is>
          <t>Stimulus</t>
        </is>
      </c>
      <c r="D1280" t="inlineStr">
        <is>
          <t>foodwaste_visual</t>
        </is>
      </c>
      <c r="E1280" t="n">
        <v>62</v>
      </c>
      <c r="F1280" t="inlineStr">
        <is>
          <t>Positive Valence</t>
        </is>
      </c>
      <c r="G1280" t="n">
        <v>50</v>
      </c>
      <c r="H1280" t="n">
        <v>0</v>
      </c>
      <c r="I1280" t="n">
        <v>0</v>
      </c>
      <c r="J1280" t="inlineStr">
        <is>
          <t>NA</t>
        </is>
      </c>
      <c r="K1280" t="n">
        <v>90.90000000000001</v>
      </c>
    </row>
    <row r="1281">
      <c r="A1281" t="inlineStr">
        <is>
          <t>SIMULATED Food Waste Remote Study</t>
        </is>
      </c>
      <c r="B1281" t="inlineStr">
        <is>
          <t>RESP0183</t>
        </is>
      </c>
      <c r="C1281" t="inlineStr">
        <is>
          <t>Stimulus</t>
        </is>
      </c>
      <c r="D1281" t="inlineStr">
        <is>
          <t>foodwaste_visual</t>
        </is>
      </c>
      <c r="E1281" t="n">
        <v>62</v>
      </c>
      <c r="F1281" t="inlineStr">
        <is>
          <t>Negative Valence</t>
        </is>
      </c>
      <c r="G1281" t="n">
        <v>-50</v>
      </c>
      <c r="H1281" t="n">
        <v>0</v>
      </c>
      <c r="I1281" t="n">
        <v>0</v>
      </c>
      <c r="J1281" t="inlineStr">
        <is>
          <t>NA</t>
        </is>
      </c>
      <c r="K1281" t="n">
        <v>90.90000000000001</v>
      </c>
    </row>
    <row r="1282">
      <c r="A1282" t="inlineStr">
        <is>
          <t>SIMULATED Food Waste Remote Study</t>
        </is>
      </c>
      <c r="B1282" t="inlineStr">
        <is>
          <t>RESP0184</t>
        </is>
      </c>
      <c r="C1282" t="inlineStr">
        <is>
          <t>Stimulus</t>
        </is>
      </c>
      <c r="D1282" t="inlineStr">
        <is>
          <t>foodwaste_narrative</t>
        </is>
      </c>
      <c r="E1282" t="n">
        <v>60</v>
      </c>
      <c r="F1282" t="inlineStr">
        <is>
          <t>Engagement</t>
        </is>
      </c>
      <c r="G1282" t="n">
        <v>50</v>
      </c>
      <c r="H1282" t="n">
        <v>62.06</v>
      </c>
      <c r="I1282" t="n">
        <v>10</v>
      </c>
      <c r="J1282" t="inlineStr">
        <is>
          <t>NA</t>
        </is>
      </c>
      <c r="K1282" t="n">
        <v>97.3</v>
      </c>
    </row>
    <row r="1283">
      <c r="A1283" t="inlineStr">
        <is>
          <t>SIMULATED Food Waste Remote Study</t>
        </is>
      </c>
      <c r="B1283" t="inlineStr">
        <is>
          <t>RESP0184</t>
        </is>
      </c>
      <c r="C1283" t="inlineStr">
        <is>
          <t>Stimulus</t>
        </is>
      </c>
      <c r="D1283" t="inlineStr">
        <is>
          <t>foodwaste_narrative</t>
        </is>
      </c>
      <c r="E1283" t="n">
        <v>60</v>
      </c>
      <c r="F1283" t="inlineStr">
        <is>
          <t>Joy</t>
        </is>
      </c>
      <c r="G1283" t="n">
        <v>50</v>
      </c>
      <c r="H1283" t="n">
        <v>5.94</v>
      </c>
      <c r="I1283" t="n">
        <v>2</v>
      </c>
      <c r="J1283" t="inlineStr">
        <is>
          <t>NA</t>
        </is>
      </c>
      <c r="K1283" t="n">
        <v>97.3</v>
      </c>
    </row>
    <row r="1284">
      <c r="A1284" t="inlineStr">
        <is>
          <t>SIMULATED Food Waste Remote Study</t>
        </is>
      </c>
      <c r="B1284" t="inlineStr">
        <is>
          <t>RESP0184</t>
        </is>
      </c>
      <c r="C1284" t="inlineStr">
        <is>
          <t>Stimulus</t>
        </is>
      </c>
      <c r="D1284" t="inlineStr">
        <is>
          <t>foodwaste_narrative</t>
        </is>
      </c>
      <c r="E1284" t="n">
        <v>60</v>
      </c>
      <c r="F1284" t="inlineStr">
        <is>
          <t>Brow Furrow</t>
        </is>
      </c>
      <c r="G1284" t="n">
        <v>50</v>
      </c>
      <c r="H1284" t="n">
        <v>3.78</v>
      </c>
      <c r="I1284" t="n">
        <v>3</v>
      </c>
      <c r="J1284" t="inlineStr">
        <is>
          <t>NA</t>
        </is>
      </c>
      <c r="K1284" t="n">
        <v>97.3</v>
      </c>
    </row>
    <row r="1285">
      <c r="A1285" t="inlineStr">
        <is>
          <t>SIMULATED Food Waste Remote Study</t>
        </is>
      </c>
      <c r="B1285" t="inlineStr">
        <is>
          <t>RESP0184</t>
        </is>
      </c>
      <c r="C1285" t="inlineStr">
        <is>
          <t>Stimulus</t>
        </is>
      </c>
      <c r="D1285" t="inlineStr">
        <is>
          <t>foodwaste_narrative</t>
        </is>
      </c>
      <c r="E1285" t="n">
        <v>60</v>
      </c>
      <c r="F1285" t="inlineStr">
        <is>
          <t>Positive Valence</t>
        </is>
      </c>
      <c r="G1285" t="n">
        <v>50</v>
      </c>
      <c r="H1285" t="n">
        <v>0</v>
      </c>
      <c r="I1285" t="n">
        <v>0</v>
      </c>
      <c r="J1285" t="inlineStr">
        <is>
          <t>NA</t>
        </is>
      </c>
      <c r="K1285" t="n">
        <v>97.3</v>
      </c>
    </row>
    <row r="1286">
      <c r="A1286" t="inlineStr">
        <is>
          <t>SIMULATED Food Waste Remote Study</t>
        </is>
      </c>
      <c r="B1286" t="inlineStr">
        <is>
          <t>RESP0184</t>
        </is>
      </c>
      <c r="C1286" t="inlineStr">
        <is>
          <t>Stimulus</t>
        </is>
      </c>
      <c r="D1286" t="inlineStr">
        <is>
          <t>foodwaste_narrative</t>
        </is>
      </c>
      <c r="E1286" t="n">
        <v>60</v>
      </c>
      <c r="F1286" t="inlineStr">
        <is>
          <t>Negative Valence</t>
        </is>
      </c>
      <c r="G1286" t="n">
        <v>-50</v>
      </c>
      <c r="H1286" t="n">
        <v>1.56</v>
      </c>
      <c r="I1286" t="n">
        <v>1</v>
      </c>
      <c r="J1286" t="inlineStr">
        <is>
          <t>NA</t>
        </is>
      </c>
      <c r="K1286" t="n">
        <v>97.3</v>
      </c>
    </row>
    <row r="1287">
      <c r="A1287" t="inlineStr">
        <is>
          <t>SIMULATED Food Waste Remote Study</t>
        </is>
      </c>
      <c r="B1287" t="inlineStr">
        <is>
          <t>RESP0184</t>
        </is>
      </c>
      <c r="C1287" t="inlineStr">
        <is>
          <t>Stimulus</t>
        </is>
      </c>
      <c r="D1287" t="inlineStr">
        <is>
          <t>foodwaste_visual</t>
        </is>
      </c>
      <c r="E1287" t="n">
        <v>62</v>
      </c>
      <c r="F1287" t="inlineStr">
        <is>
          <t>Engagement</t>
        </is>
      </c>
      <c r="G1287" t="n">
        <v>50</v>
      </c>
      <c r="H1287" t="n">
        <v>55.27</v>
      </c>
      <c r="I1287" t="n">
        <v>17</v>
      </c>
      <c r="J1287" t="inlineStr">
        <is>
          <t>NA</t>
        </is>
      </c>
      <c r="K1287" t="n">
        <v>97.59999999999999</v>
      </c>
    </row>
    <row r="1288">
      <c r="A1288" t="inlineStr">
        <is>
          <t>SIMULATED Food Waste Remote Study</t>
        </is>
      </c>
      <c r="B1288" t="inlineStr">
        <is>
          <t>RESP0184</t>
        </is>
      </c>
      <c r="C1288" t="inlineStr">
        <is>
          <t>Stimulus</t>
        </is>
      </c>
      <c r="D1288" t="inlineStr">
        <is>
          <t>foodwaste_visual</t>
        </is>
      </c>
      <c r="E1288" t="n">
        <v>62</v>
      </c>
      <c r="F1288" t="inlineStr">
        <is>
          <t>Joy</t>
        </is>
      </c>
      <c r="G1288" t="n">
        <v>50</v>
      </c>
      <c r="H1288" t="n">
        <v>1.67</v>
      </c>
      <c r="I1288" t="n">
        <v>1</v>
      </c>
      <c r="J1288" t="inlineStr">
        <is>
          <t>NA</t>
        </is>
      </c>
      <c r="K1288" t="n">
        <v>97.59999999999999</v>
      </c>
    </row>
    <row r="1289">
      <c r="A1289" t="inlineStr">
        <is>
          <t>SIMULATED Food Waste Remote Study</t>
        </is>
      </c>
      <c r="B1289" t="inlineStr">
        <is>
          <t>RESP0184</t>
        </is>
      </c>
      <c r="C1289" t="inlineStr">
        <is>
          <t>Stimulus</t>
        </is>
      </c>
      <c r="D1289" t="inlineStr">
        <is>
          <t>foodwaste_visual</t>
        </is>
      </c>
      <c r="E1289" t="n">
        <v>62</v>
      </c>
      <c r="F1289" t="inlineStr">
        <is>
          <t>Brow Furrow</t>
        </is>
      </c>
      <c r="G1289" t="n">
        <v>50</v>
      </c>
      <c r="H1289" t="n">
        <v>0</v>
      </c>
      <c r="I1289" t="n">
        <v>0</v>
      </c>
      <c r="J1289" t="inlineStr">
        <is>
          <t>NA</t>
        </is>
      </c>
      <c r="K1289" t="n">
        <v>97.59999999999999</v>
      </c>
    </row>
    <row r="1290">
      <c r="A1290" t="inlineStr">
        <is>
          <t>SIMULATED Food Waste Remote Study</t>
        </is>
      </c>
      <c r="B1290" t="inlineStr">
        <is>
          <t>RESP0184</t>
        </is>
      </c>
      <c r="C1290" t="inlineStr">
        <is>
          <t>Stimulus</t>
        </is>
      </c>
      <c r="D1290" t="inlineStr">
        <is>
          <t>foodwaste_visual</t>
        </is>
      </c>
      <c r="E1290" t="n">
        <v>62</v>
      </c>
      <c r="F1290" t="inlineStr">
        <is>
          <t>Positive Valence</t>
        </is>
      </c>
      <c r="G1290" t="n">
        <v>50</v>
      </c>
      <c r="H1290" t="n">
        <v>0</v>
      </c>
      <c r="I1290" t="n">
        <v>0</v>
      </c>
      <c r="J1290" t="inlineStr">
        <is>
          <t>NA</t>
        </is>
      </c>
      <c r="K1290" t="n">
        <v>97.59999999999999</v>
      </c>
    </row>
    <row r="1291">
      <c r="A1291" t="inlineStr">
        <is>
          <t>SIMULATED Food Waste Remote Study</t>
        </is>
      </c>
      <c r="B1291" t="inlineStr">
        <is>
          <t>RESP0184</t>
        </is>
      </c>
      <c r="C1291" t="inlineStr">
        <is>
          <t>Stimulus</t>
        </is>
      </c>
      <c r="D1291" t="inlineStr">
        <is>
          <t>foodwaste_visual</t>
        </is>
      </c>
      <c r="E1291" t="n">
        <v>62</v>
      </c>
      <c r="F1291" t="inlineStr">
        <is>
          <t>Negative Valence</t>
        </is>
      </c>
      <c r="G1291" t="n">
        <v>-50</v>
      </c>
      <c r="H1291" t="n">
        <v>0</v>
      </c>
      <c r="I1291" t="n">
        <v>0</v>
      </c>
      <c r="J1291" t="inlineStr">
        <is>
          <t>NA</t>
        </is>
      </c>
      <c r="K1291" t="n">
        <v>97.59999999999999</v>
      </c>
    </row>
    <row r="1292">
      <c r="A1292" t="inlineStr">
        <is>
          <t>SIMULATED Food Waste Remote Study</t>
        </is>
      </c>
      <c r="B1292" t="inlineStr">
        <is>
          <t>RESP0185</t>
        </is>
      </c>
      <c r="C1292" t="inlineStr">
        <is>
          <t>Stimulus</t>
        </is>
      </c>
      <c r="D1292" t="inlineStr">
        <is>
          <t>foodwaste_narrative</t>
        </is>
      </c>
      <c r="E1292" t="n">
        <v>60</v>
      </c>
      <c r="F1292" t="inlineStr">
        <is>
          <t>Engagement</t>
        </is>
      </c>
      <c r="G1292" t="n">
        <v>50</v>
      </c>
      <c r="H1292" t="n">
        <v>1.67</v>
      </c>
      <c r="I1292" t="n">
        <v>1</v>
      </c>
      <c r="J1292" t="inlineStr">
        <is>
          <t>NA</t>
        </is>
      </c>
      <c r="K1292" t="n">
        <v>91.7</v>
      </c>
    </row>
    <row r="1293">
      <c r="A1293" t="inlineStr">
        <is>
          <t>SIMULATED Food Waste Remote Study</t>
        </is>
      </c>
      <c r="B1293" t="inlineStr">
        <is>
          <t>RESP0185</t>
        </is>
      </c>
      <c r="C1293" t="inlineStr">
        <is>
          <t>Stimulus</t>
        </is>
      </c>
      <c r="D1293" t="inlineStr">
        <is>
          <t>foodwaste_narrative</t>
        </is>
      </c>
      <c r="E1293" t="n">
        <v>60</v>
      </c>
      <c r="F1293" t="inlineStr">
        <is>
          <t>Joy</t>
        </is>
      </c>
      <c r="G1293" t="n">
        <v>50</v>
      </c>
      <c r="H1293" t="n">
        <v>0.33</v>
      </c>
      <c r="I1293" t="n">
        <v>1</v>
      </c>
      <c r="J1293" t="inlineStr">
        <is>
          <t>NA</t>
        </is>
      </c>
      <c r="K1293" t="n">
        <v>91.7</v>
      </c>
    </row>
    <row r="1294">
      <c r="A1294" t="inlineStr">
        <is>
          <t>SIMULATED Food Waste Remote Study</t>
        </is>
      </c>
      <c r="B1294" t="inlineStr">
        <is>
          <t>RESP0185</t>
        </is>
      </c>
      <c r="C1294" t="inlineStr">
        <is>
          <t>Stimulus</t>
        </is>
      </c>
      <c r="D1294" t="inlineStr">
        <is>
          <t>foodwaste_narrative</t>
        </is>
      </c>
      <c r="E1294" t="n">
        <v>60</v>
      </c>
      <c r="F1294" t="inlineStr">
        <is>
          <t>Brow Furrow</t>
        </is>
      </c>
      <c r="G1294" t="n">
        <v>50</v>
      </c>
      <c r="H1294" t="n">
        <v>5.83</v>
      </c>
      <c r="I1294" t="n">
        <v>1</v>
      </c>
      <c r="J1294" t="inlineStr">
        <is>
          <t>NA</t>
        </is>
      </c>
      <c r="K1294" t="n">
        <v>91.7</v>
      </c>
    </row>
    <row r="1295">
      <c r="A1295" t="inlineStr">
        <is>
          <t>SIMULATED Food Waste Remote Study</t>
        </is>
      </c>
      <c r="B1295" t="inlineStr">
        <is>
          <t>RESP0185</t>
        </is>
      </c>
      <c r="C1295" t="inlineStr">
        <is>
          <t>Stimulus</t>
        </is>
      </c>
      <c r="D1295" t="inlineStr">
        <is>
          <t>foodwaste_narrative</t>
        </is>
      </c>
      <c r="E1295" t="n">
        <v>60</v>
      </c>
      <c r="F1295" t="inlineStr">
        <is>
          <t>Positive Valence</t>
        </is>
      </c>
      <c r="G1295" t="n">
        <v>50</v>
      </c>
      <c r="H1295" t="n">
        <v>0</v>
      </c>
      <c r="I1295" t="n">
        <v>0</v>
      </c>
      <c r="J1295" t="inlineStr">
        <is>
          <t>NA</t>
        </is>
      </c>
      <c r="K1295" t="n">
        <v>91.7</v>
      </c>
    </row>
    <row r="1296">
      <c r="A1296" t="inlineStr">
        <is>
          <t>SIMULATED Food Waste Remote Study</t>
        </is>
      </c>
      <c r="B1296" t="inlineStr">
        <is>
          <t>RESP0185</t>
        </is>
      </c>
      <c r="C1296" t="inlineStr">
        <is>
          <t>Stimulus</t>
        </is>
      </c>
      <c r="D1296" t="inlineStr">
        <is>
          <t>foodwaste_narrative</t>
        </is>
      </c>
      <c r="E1296" t="n">
        <v>60</v>
      </c>
      <c r="F1296" t="inlineStr">
        <is>
          <t>Negative Valence</t>
        </is>
      </c>
      <c r="G1296" t="n">
        <v>-50</v>
      </c>
      <c r="H1296" t="n">
        <v>0</v>
      </c>
      <c r="I1296" t="n">
        <v>0</v>
      </c>
      <c r="J1296" t="inlineStr">
        <is>
          <t>NA</t>
        </is>
      </c>
      <c r="K1296" t="n">
        <v>91.7</v>
      </c>
    </row>
    <row r="1297">
      <c r="A1297" t="inlineStr">
        <is>
          <t>SIMULATED Food Waste Remote Study</t>
        </is>
      </c>
      <c r="B1297" t="inlineStr">
        <is>
          <t>RESP0185</t>
        </is>
      </c>
      <c r="C1297" t="inlineStr">
        <is>
          <t>Stimulus</t>
        </is>
      </c>
      <c r="D1297" t="inlineStr">
        <is>
          <t>foodwaste_visual</t>
        </is>
      </c>
      <c r="E1297" t="n">
        <v>62</v>
      </c>
      <c r="F1297" t="inlineStr">
        <is>
          <t>Engagement</t>
        </is>
      </c>
      <c r="G1297" t="n">
        <v>50</v>
      </c>
      <c r="H1297" t="n">
        <v>27.37</v>
      </c>
      <c r="I1297" t="n">
        <v>8</v>
      </c>
      <c r="J1297" t="inlineStr">
        <is>
          <t>NA</t>
        </is>
      </c>
      <c r="K1297" t="n">
        <v>95.8</v>
      </c>
    </row>
    <row r="1298">
      <c r="A1298" t="inlineStr">
        <is>
          <t>SIMULATED Food Waste Remote Study</t>
        </is>
      </c>
      <c r="B1298" t="inlineStr">
        <is>
          <t>RESP0185</t>
        </is>
      </c>
      <c r="C1298" t="inlineStr">
        <is>
          <t>Stimulus</t>
        </is>
      </c>
      <c r="D1298" t="inlineStr">
        <is>
          <t>foodwaste_visual</t>
        </is>
      </c>
      <c r="E1298" t="n">
        <v>62</v>
      </c>
      <c r="F1298" t="inlineStr">
        <is>
          <t>Joy</t>
        </is>
      </c>
      <c r="G1298" t="n">
        <v>50</v>
      </c>
      <c r="H1298" t="n">
        <v>0</v>
      </c>
      <c r="I1298" t="n">
        <v>0</v>
      </c>
      <c r="J1298" t="inlineStr">
        <is>
          <t>NA</t>
        </is>
      </c>
      <c r="K1298" t="n">
        <v>95.8</v>
      </c>
    </row>
    <row r="1299">
      <c r="A1299" t="inlineStr">
        <is>
          <t>SIMULATED Food Waste Remote Study</t>
        </is>
      </c>
      <c r="B1299" t="inlineStr">
        <is>
          <t>RESP0185</t>
        </is>
      </c>
      <c r="C1299" t="inlineStr">
        <is>
          <t>Stimulus</t>
        </is>
      </c>
      <c r="D1299" t="inlineStr">
        <is>
          <t>foodwaste_visual</t>
        </is>
      </c>
      <c r="E1299" t="n">
        <v>62</v>
      </c>
      <c r="F1299" t="inlineStr">
        <is>
          <t>Brow Furrow</t>
        </is>
      </c>
      <c r="G1299" t="n">
        <v>50</v>
      </c>
      <c r="H1299" t="n">
        <v>21.83</v>
      </c>
      <c r="I1299" t="n">
        <v>12</v>
      </c>
      <c r="J1299" t="inlineStr">
        <is>
          <t>NA</t>
        </is>
      </c>
      <c r="K1299" t="n">
        <v>95.8</v>
      </c>
    </row>
    <row r="1300">
      <c r="A1300" t="inlineStr">
        <is>
          <t>SIMULATED Food Waste Remote Study</t>
        </is>
      </c>
      <c r="B1300" t="inlineStr">
        <is>
          <t>RESP0185</t>
        </is>
      </c>
      <c r="C1300" t="inlineStr">
        <is>
          <t>Stimulus</t>
        </is>
      </c>
      <c r="D1300" t="inlineStr">
        <is>
          <t>foodwaste_visual</t>
        </is>
      </c>
      <c r="E1300" t="n">
        <v>62</v>
      </c>
      <c r="F1300" t="inlineStr">
        <is>
          <t>Positive Valence</t>
        </is>
      </c>
      <c r="G1300" t="n">
        <v>50</v>
      </c>
      <c r="H1300" t="n">
        <v>0</v>
      </c>
      <c r="I1300" t="n">
        <v>0</v>
      </c>
      <c r="J1300" t="inlineStr">
        <is>
          <t>NA</t>
        </is>
      </c>
      <c r="K1300" t="n">
        <v>95.8</v>
      </c>
    </row>
    <row r="1301">
      <c r="A1301" t="inlineStr">
        <is>
          <t>SIMULATED Food Waste Remote Study</t>
        </is>
      </c>
      <c r="B1301" t="inlineStr">
        <is>
          <t>RESP0185</t>
        </is>
      </c>
      <c r="C1301" t="inlineStr">
        <is>
          <t>Stimulus</t>
        </is>
      </c>
      <c r="D1301" t="inlineStr">
        <is>
          <t>foodwaste_visual</t>
        </is>
      </c>
      <c r="E1301" t="n">
        <v>62</v>
      </c>
      <c r="F1301" t="inlineStr">
        <is>
          <t>Negative Valence</t>
        </is>
      </c>
      <c r="G1301" t="n">
        <v>-50</v>
      </c>
      <c r="H1301" t="n">
        <v>2.31</v>
      </c>
      <c r="I1301" t="n">
        <v>2</v>
      </c>
      <c r="J1301" t="inlineStr">
        <is>
          <t>NA</t>
        </is>
      </c>
      <c r="K1301" t="n">
        <v>95.8</v>
      </c>
    </row>
    <row r="1302">
      <c r="A1302" t="inlineStr">
        <is>
          <t>SIMULATED Food Waste Remote Study</t>
        </is>
      </c>
      <c r="B1302" t="inlineStr">
        <is>
          <t>RESP0186</t>
        </is>
      </c>
      <c r="C1302" t="inlineStr">
        <is>
          <t>Stimulus</t>
        </is>
      </c>
      <c r="D1302" t="inlineStr">
        <is>
          <t>foodwaste_narrative</t>
        </is>
      </c>
      <c r="E1302" t="n">
        <v>60</v>
      </c>
      <c r="F1302" t="inlineStr">
        <is>
          <t>Engagement</t>
        </is>
      </c>
      <c r="G1302" t="n">
        <v>50</v>
      </c>
      <c r="H1302" t="n">
        <v>3.78</v>
      </c>
      <c r="I1302" t="n">
        <v>3</v>
      </c>
      <c r="J1302" t="inlineStr">
        <is>
          <t>NA</t>
        </is>
      </c>
      <c r="K1302" t="n">
        <v>95.90000000000001</v>
      </c>
    </row>
    <row r="1303">
      <c r="A1303" t="inlineStr">
        <is>
          <t>SIMULATED Food Waste Remote Study</t>
        </is>
      </c>
      <c r="B1303" t="inlineStr">
        <is>
          <t>RESP0186</t>
        </is>
      </c>
      <c r="C1303" t="inlineStr">
        <is>
          <t>Stimulus</t>
        </is>
      </c>
      <c r="D1303" t="inlineStr">
        <is>
          <t>foodwaste_narrative</t>
        </is>
      </c>
      <c r="E1303" t="n">
        <v>60</v>
      </c>
      <c r="F1303" t="inlineStr">
        <is>
          <t>Joy</t>
        </is>
      </c>
      <c r="G1303" t="n">
        <v>50</v>
      </c>
      <c r="H1303" t="n">
        <v>0</v>
      </c>
      <c r="I1303" t="n">
        <v>0</v>
      </c>
      <c r="J1303" t="inlineStr">
        <is>
          <t>NA</t>
        </is>
      </c>
      <c r="K1303" t="n">
        <v>95.90000000000001</v>
      </c>
    </row>
    <row r="1304">
      <c r="A1304" t="inlineStr">
        <is>
          <t>SIMULATED Food Waste Remote Study</t>
        </is>
      </c>
      <c r="B1304" t="inlineStr">
        <is>
          <t>RESP0186</t>
        </is>
      </c>
      <c r="C1304" t="inlineStr">
        <is>
          <t>Stimulus</t>
        </is>
      </c>
      <c r="D1304" t="inlineStr">
        <is>
          <t>foodwaste_narrative</t>
        </is>
      </c>
      <c r="E1304" t="n">
        <v>60</v>
      </c>
      <c r="F1304" t="inlineStr">
        <is>
          <t>Brow Furrow</t>
        </is>
      </c>
      <c r="G1304" t="n">
        <v>50</v>
      </c>
      <c r="H1304" t="n">
        <v>0</v>
      </c>
      <c r="I1304" t="n">
        <v>0</v>
      </c>
      <c r="J1304" t="inlineStr">
        <is>
          <t>NA</t>
        </is>
      </c>
      <c r="K1304" t="n">
        <v>95.90000000000001</v>
      </c>
    </row>
    <row r="1305">
      <c r="A1305" t="inlineStr">
        <is>
          <t>SIMULATED Food Waste Remote Study</t>
        </is>
      </c>
      <c r="B1305" t="inlineStr">
        <is>
          <t>RESP0186</t>
        </is>
      </c>
      <c r="C1305" t="inlineStr">
        <is>
          <t>Stimulus</t>
        </is>
      </c>
      <c r="D1305" t="inlineStr">
        <is>
          <t>foodwaste_narrative</t>
        </is>
      </c>
      <c r="E1305" t="n">
        <v>60</v>
      </c>
      <c r="F1305" t="inlineStr">
        <is>
          <t>Positive Valence</t>
        </is>
      </c>
      <c r="G1305" t="n">
        <v>50</v>
      </c>
      <c r="H1305" t="n">
        <v>0</v>
      </c>
      <c r="I1305" t="n">
        <v>0</v>
      </c>
      <c r="J1305" t="inlineStr">
        <is>
          <t>NA</t>
        </is>
      </c>
      <c r="K1305" t="n">
        <v>95.90000000000001</v>
      </c>
    </row>
    <row r="1306">
      <c r="A1306" t="inlineStr">
        <is>
          <t>SIMULATED Food Waste Remote Study</t>
        </is>
      </c>
      <c r="B1306" t="inlineStr">
        <is>
          <t>RESP0186</t>
        </is>
      </c>
      <c r="C1306" t="inlineStr">
        <is>
          <t>Stimulus</t>
        </is>
      </c>
      <c r="D1306" t="inlineStr">
        <is>
          <t>foodwaste_narrative</t>
        </is>
      </c>
      <c r="E1306" t="n">
        <v>60</v>
      </c>
      <c r="F1306" t="inlineStr">
        <is>
          <t>Negative Valence</t>
        </is>
      </c>
      <c r="G1306" t="n">
        <v>-50</v>
      </c>
      <c r="H1306" t="n">
        <v>0</v>
      </c>
      <c r="I1306" t="n">
        <v>0</v>
      </c>
      <c r="J1306" t="inlineStr">
        <is>
          <t>NA</t>
        </is>
      </c>
      <c r="K1306" t="n">
        <v>95.90000000000001</v>
      </c>
    </row>
    <row r="1307">
      <c r="A1307" t="inlineStr">
        <is>
          <t>SIMULATED Food Waste Remote Study</t>
        </is>
      </c>
      <c r="B1307" t="inlineStr">
        <is>
          <t>RESP0186</t>
        </is>
      </c>
      <c r="C1307" t="inlineStr">
        <is>
          <t>Stimulus</t>
        </is>
      </c>
      <c r="D1307" t="inlineStr">
        <is>
          <t>foodwaste_visual</t>
        </is>
      </c>
      <c r="E1307" t="n">
        <v>62</v>
      </c>
      <c r="F1307" t="inlineStr">
        <is>
          <t>Engagement</t>
        </is>
      </c>
      <c r="G1307" t="n">
        <v>50</v>
      </c>
      <c r="H1307" t="n">
        <v>0</v>
      </c>
      <c r="I1307" t="n">
        <v>0</v>
      </c>
      <c r="J1307" t="inlineStr">
        <is>
          <t>NA</t>
        </is>
      </c>
      <c r="K1307" t="n">
        <v>95.2</v>
      </c>
    </row>
    <row r="1308">
      <c r="A1308" t="inlineStr">
        <is>
          <t>SIMULATED Food Waste Remote Study</t>
        </is>
      </c>
      <c r="B1308" t="inlineStr">
        <is>
          <t>RESP0186</t>
        </is>
      </c>
      <c r="C1308" t="inlineStr">
        <is>
          <t>Stimulus</t>
        </is>
      </c>
      <c r="D1308" t="inlineStr">
        <is>
          <t>foodwaste_visual</t>
        </is>
      </c>
      <c r="E1308" t="n">
        <v>62</v>
      </c>
      <c r="F1308" t="inlineStr">
        <is>
          <t>Joy</t>
        </is>
      </c>
      <c r="G1308" t="n">
        <v>50</v>
      </c>
      <c r="H1308" t="n">
        <v>3.55</v>
      </c>
      <c r="I1308" t="n">
        <v>1</v>
      </c>
      <c r="J1308" t="inlineStr">
        <is>
          <t>NA</t>
        </is>
      </c>
      <c r="K1308" t="n">
        <v>95.2</v>
      </c>
    </row>
    <row r="1309">
      <c r="A1309" t="inlineStr">
        <is>
          <t>SIMULATED Food Waste Remote Study</t>
        </is>
      </c>
      <c r="B1309" t="inlineStr">
        <is>
          <t>RESP0186</t>
        </is>
      </c>
      <c r="C1309" t="inlineStr">
        <is>
          <t>Stimulus</t>
        </is>
      </c>
      <c r="D1309" t="inlineStr">
        <is>
          <t>foodwaste_visual</t>
        </is>
      </c>
      <c r="E1309" t="n">
        <v>62</v>
      </c>
      <c r="F1309" t="inlineStr">
        <is>
          <t>Brow Furrow</t>
        </is>
      </c>
      <c r="G1309" t="n">
        <v>50</v>
      </c>
      <c r="H1309" t="n">
        <v>0</v>
      </c>
      <c r="I1309" t="n">
        <v>0</v>
      </c>
      <c r="J1309" t="inlineStr">
        <is>
          <t>NA</t>
        </is>
      </c>
      <c r="K1309" t="n">
        <v>95.2</v>
      </c>
    </row>
    <row r="1310">
      <c r="A1310" t="inlineStr">
        <is>
          <t>SIMULATED Food Waste Remote Study</t>
        </is>
      </c>
      <c r="B1310" t="inlineStr">
        <is>
          <t>RESP0186</t>
        </is>
      </c>
      <c r="C1310" t="inlineStr">
        <is>
          <t>Stimulus</t>
        </is>
      </c>
      <c r="D1310" t="inlineStr">
        <is>
          <t>foodwaste_visual</t>
        </is>
      </c>
      <c r="E1310" t="n">
        <v>62</v>
      </c>
      <c r="F1310" t="inlineStr">
        <is>
          <t>Positive Valence</t>
        </is>
      </c>
      <c r="G1310" t="n">
        <v>50</v>
      </c>
      <c r="H1310" t="n">
        <v>0</v>
      </c>
      <c r="I1310" t="n">
        <v>0</v>
      </c>
      <c r="J1310" t="inlineStr">
        <is>
          <t>NA</t>
        </is>
      </c>
      <c r="K1310" t="n">
        <v>95.2</v>
      </c>
    </row>
    <row r="1311">
      <c r="A1311" t="inlineStr">
        <is>
          <t>SIMULATED Food Waste Remote Study</t>
        </is>
      </c>
      <c r="B1311" t="inlineStr">
        <is>
          <t>RESP0186</t>
        </is>
      </c>
      <c r="C1311" t="inlineStr">
        <is>
          <t>Stimulus</t>
        </is>
      </c>
      <c r="D1311" t="inlineStr">
        <is>
          <t>foodwaste_visual</t>
        </is>
      </c>
      <c r="E1311" t="n">
        <v>62</v>
      </c>
      <c r="F1311" t="inlineStr">
        <is>
          <t>Negative Valence</t>
        </is>
      </c>
      <c r="G1311" t="n">
        <v>-50</v>
      </c>
      <c r="H1311" t="n">
        <v>0</v>
      </c>
      <c r="I1311" t="n">
        <v>0</v>
      </c>
      <c r="J1311" t="inlineStr">
        <is>
          <t>NA</t>
        </is>
      </c>
      <c r="K1311" t="n">
        <v>95.2</v>
      </c>
    </row>
    <row r="1312">
      <c r="A1312" t="inlineStr">
        <is>
          <t>SIMULATED Food Waste Remote Study</t>
        </is>
      </c>
      <c r="B1312" t="inlineStr">
        <is>
          <t>RESP0189</t>
        </is>
      </c>
      <c r="C1312" t="inlineStr">
        <is>
          <t>Stimulus</t>
        </is>
      </c>
      <c r="D1312" t="inlineStr">
        <is>
          <t>foodwaste_narrative</t>
        </is>
      </c>
      <c r="E1312" t="n">
        <v>60</v>
      </c>
      <c r="F1312" t="inlineStr">
        <is>
          <t>Engagement</t>
        </is>
      </c>
      <c r="G1312" t="n">
        <v>50</v>
      </c>
      <c r="H1312" t="n">
        <v>11.67</v>
      </c>
      <c r="I1312" t="n">
        <v>3</v>
      </c>
      <c r="J1312" t="inlineStr">
        <is>
          <t>NA</t>
        </is>
      </c>
      <c r="K1312" t="n">
        <v>93.90000000000001</v>
      </c>
    </row>
    <row r="1313">
      <c r="A1313" t="inlineStr">
        <is>
          <t>SIMULATED Food Waste Remote Study</t>
        </is>
      </c>
      <c r="B1313" t="inlineStr">
        <is>
          <t>RESP0189</t>
        </is>
      </c>
      <c r="C1313" t="inlineStr">
        <is>
          <t>Stimulus</t>
        </is>
      </c>
      <c r="D1313" t="inlineStr">
        <is>
          <t>foodwaste_narrative</t>
        </is>
      </c>
      <c r="E1313" t="n">
        <v>60</v>
      </c>
      <c r="F1313" t="inlineStr">
        <is>
          <t>Joy</t>
        </is>
      </c>
      <c r="G1313" t="n">
        <v>50</v>
      </c>
      <c r="H1313" t="n">
        <v>3.28</v>
      </c>
      <c r="I1313" t="n">
        <v>1</v>
      </c>
      <c r="J1313" t="inlineStr">
        <is>
          <t>NA</t>
        </is>
      </c>
      <c r="K1313" t="n">
        <v>93.90000000000001</v>
      </c>
    </row>
    <row r="1314">
      <c r="A1314" t="inlineStr">
        <is>
          <t>SIMULATED Food Waste Remote Study</t>
        </is>
      </c>
      <c r="B1314" t="inlineStr">
        <is>
          <t>RESP0189</t>
        </is>
      </c>
      <c r="C1314" t="inlineStr">
        <is>
          <t>Stimulus</t>
        </is>
      </c>
      <c r="D1314" t="inlineStr">
        <is>
          <t>foodwaste_narrative</t>
        </is>
      </c>
      <c r="E1314" t="n">
        <v>60</v>
      </c>
      <c r="F1314" t="inlineStr">
        <is>
          <t>Brow Furrow</t>
        </is>
      </c>
      <c r="G1314" t="n">
        <v>50</v>
      </c>
      <c r="H1314" t="n">
        <v>0</v>
      </c>
      <c r="I1314" t="n">
        <v>0</v>
      </c>
      <c r="J1314" t="inlineStr">
        <is>
          <t>NA</t>
        </is>
      </c>
      <c r="K1314" t="n">
        <v>93.90000000000001</v>
      </c>
    </row>
    <row r="1315">
      <c r="A1315" t="inlineStr">
        <is>
          <t>SIMULATED Food Waste Remote Study</t>
        </is>
      </c>
      <c r="B1315" t="inlineStr">
        <is>
          <t>RESP0189</t>
        </is>
      </c>
      <c r="C1315" t="inlineStr">
        <is>
          <t>Stimulus</t>
        </is>
      </c>
      <c r="D1315" t="inlineStr">
        <is>
          <t>foodwaste_narrative</t>
        </is>
      </c>
      <c r="E1315" t="n">
        <v>60</v>
      </c>
      <c r="F1315" t="inlineStr">
        <is>
          <t>Positive Valence</t>
        </is>
      </c>
      <c r="G1315" t="n">
        <v>50</v>
      </c>
      <c r="H1315" t="n">
        <v>0</v>
      </c>
      <c r="I1315" t="n">
        <v>0</v>
      </c>
      <c r="J1315" t="inlineStr">
        <is>
          <t>NA</t>
        </is>
      </c>
      <c r="K1315" t="n">
        <v>93.90000000000001</v>
      </c>
    </row>
    <row r="1316">
      <c r="A1316" t="inlineStr">
        <is>
          <t>SIMULATED Food Waste Remote Study</t>
        </is>
      </c>
      <c r="B1316" t="inlineStr">
        <is>
          <t>RESP0189</t>
        </is>
      </c>
      <c r="C1316" t="inlineStr">
        <is>
          <t>Stimulus</t>
        </is>
      </c>
      <c r="D1316" t="inlineStr">
        <is>
          <t>foodwaste_narrative</t>
        </is>
      </c>
      <c r="E1316" t="n">
        <v>60</v>
      </c>
      <c r="F1316" t="inlineStr">
        <is>
          <t>Negative Valence</t>
        </is>
      </c>
      <c r="G1316" t="n">
        <v>-50</v>
      </c>
      <c r="H1316" t="n">
        <v>0</v>
      </c>
      <c r="I1316" t="n">
        <v>0</v>
      </c>
      <c r="J1316" t="inlineStr">
        <is>
          <t>NA</t>
        </is>
      </c>
      <c r="K1316" t="n">
        <v>93.90000000000001</v>
      </c>
    </row>
    <row r="1317">
      <c r="A1317" t="inlineStr">
        <is>
          <t>SIMULATED Food Waste Remote Study</t>
        </is>
      </c>
      <c r="B1317" t="inlineStr">
        <is>
          <t>RESP0189</t>
        </is>
      </c>
      <c r="C1317" t="inlineStr">
        <is>
          <t>Stimulus</t>
        </is>
      </c>
      <c r="D1317" t="inlineStr">
        <is>
          <t>foodwaste_visual</t>
        </is>
      </c>
      <c r="E1317" t="n">
        <v>62</v>
      </c>
      <c r="F1317" t="inlineStr">
        <is>
          <t>Engagement</t>
        </is>
      </c>
      <c r="G1317" t="n">
        <v>50</v>
      </c>
      <c r="H1317" t="n">
        <v>19.03</v>
      </c>
      <c r="I1317" t="n">
        <v>4</v>
      </c>
      <c r="J1317" t="inlineStr">
        <is>
          <t>NA</t>
        </is>
      </c>
      <c r="K1317" t="n">
        <v>97</v>
      </c>
    </row>
    <row r="1318">
      <c r="A1318" t="inlineStr">
        <is>
          <t>SIMULATED Food Waste Remote Study</t>
        </is>
      </c>
      <c r="B1318" t="inlineStr">
        <is>
          <t>RESP0189</t>
        </is>
      </c>
      <c r="C1318" t="inlineStr">
        <is>
          <t>Stimulus</t>
        </is>
      </c>
      <c r="D1318" t="inlineStr">
        <is>
          <t>foodwaste_visual</t>
        </is>
      </c>
      <c r="E1318" t="n">
        <v>62</v>
      </c>
      <c r="F1318" t="inlineStr">
        <is>
          <t>Joy</t>
        </is>
      </c>
      <c r="G1318" t="n">
        <v>50</v>
      </c>
      <c r="H1318" t="n">
        <v>0</v>
      </c>
      <c r="I1318" t="n">
        <v>0</v>
      </c>
      <c r="J1318" t="inlineStr">
        <is>
          <t>NA</t>
        </is>
      </c>
      <c r="K1318" t="n">
        <v>97</v>
      </c>
    </row>
    <row r="1319">
      <c r="A1319" t="inlineStr">
        <is>
          <t>SIMULATED Food Waste Remote Study</t>
        </is>
      </c>
      <c r="B1319" t="inlineStr">
        <is>
          <t>RESP0189</t>
        </is>
      </c>
      <c r="C1319" t="inlineStr">
        <is>
          <t>Stimulus</t>
        </is>
      </c>
      <c r="D1319" t="inlineStr">
        <is>
          <t>foodwaste_visual</t>
        </is>
      </c>
      <c r="E1319" t="n">
        <v>62</v>
      </c>
      <c r="F1319" t="inlineStr">
        <is>
          <t>Brow Furrow</t>
        </is>
      </c>
      <c r="G1319" t="n">
        <v>50</v>
      </c>
      <c r="H1319" t="n">
        <v>5.16</v>
      </c>
      <c r="I1319" t="n">
        <v>2</v>
      </c>
      <c r="J1319" t="inlineStr">
        <is>
          <t>NA</t>
        </is>
      </c>
      <c r="K1319" t="n">
        <v>97</v>
      </c>
    </row>
    <row r="1320">
      <c r="A1320" t="inlineStr">
        <is>
          <t>SIMULATED Food Waste Remote Study</t>
        </is>
      </c>
      <c r="B1320" t="inlineStr">
        <is>
          <t>RESP0189</t>
        </is>
      </c>
      <c r="C1320" t="inlineStr">
        <is>
          <t>Stimulus</t>
        </is>
      </c>
      <c r="D1320" t="inlineStr">
        <is>
          <t>foodwaste_visual</t>
        </is>
      </c>
      <c r="E1320" t="n">
        <v>62</v>
      </c>
      <c r="F1320" t="inlineStr">
        <is>
          <t>Positive Valence</t>
        </is>
      </c>
      <c r="G1320" t="n">
        <v>50</v>
      </c>
      <c r="H1320" t="n">
        <v>5.16</v>
      </c>
      <c r="I1320" t="n">
        <v>3</v>
      </c>
      <c r="J1320" t="inlineStr">
        <is>
          <t>NA</t>
        </is>
      </c>
      <c r="K1320" t="n">
        <v>97</v>
      </c>
    </row>
    <row r="1321">
      <c r="A1321" t="inlineStr">
        <is>
          <t>SIMULATED Food Waste Remote Study</t>
        </is>
      </c>
      <c r="B1321" t="inlineStr">
        <is>
          <t>RESP0189</t>
        </is>
      </c>
      <c r="C1321" t="inlineStr">
        <is>
          <t>Stimulus</t>
        </is>
      </c>
      <c r="D1321" t="inlineStr">
        <is>
          <t>foodwaste_visual</t>
        </is>
      </c>
      <c r="E1321" t="n">
        <v>62</v>
      </c>
      <c r="F1321" t="inlineStr">
        <is>
          <t>Negative Valence</t>
        </is>
      </c>
      <c r="G1321" t="n">
        <v>-50</v>
      </c>
      <c r="H1321" t="n">
        <v>6.72</v>
      </c>
      <c r="I1321" t="n">
        <v>4</v>
      </c>
      <c r="J1321" t="inlineStr">
        <is>
          <t>NA</t>
        </is>
      </c>
      <c r="K1321" t="n">
        <v>97</v>
      </c>
    </row>
    <row r="1322">
      <c r="A1322" t="inlineStr">
        <is>
          <t>SIMULATED Food Waste Remote Study</t>
        </is>
      </c>
      <c r="B1322" t="inlineStr">
        <is>
          <t>RESP0190</t>
        </is>
      </c>
      <c r="C1322" t="inlineStr">
        <is>
          <t>Stimulus</t>
        </is>
      </c>
      <c r="D1322" t="inlineStr">
        <is>
          <t>foodwaste_narrative</t>
        </is>
      </c>
      <c r="E1322" t="n">
        <v>60</v>
      </c>
      <c r="F1322" t="inlineStr">
        <is>
          <t>Engagement</t>
        </is>
      </c>
      <c r="G1322" t="n">
        <v>50</v>
      </c>
      <c r="H1322" t="n">
        <v>0</v>
      </c>
      <c r="I1322" t="n">
        <v>0</v>
      </c>
      <c r="J1322" t="inlineStr">
        <is>
          <t>NA</t>
        </is>
      </c>
      <c r="K1322" t="n">
        <v>93.59999999999999</v>
      </c>
    </row>
    <row r="1323">
      <c r="A1323" t="inlineStr">
        <is>
          <t>SIMULATED Food Waste Remote Study</t>
        </is>
      </c>
      <c r="B1323" t="inlineStr">
        <is>
          <t>RESP0190</t>
        </is>
      </c>
      <c r="C1323" t="inlineStr">
        <is>
          <t>Stimulus</t>
        </is>
      </c>
      <c r="D1323" t="inlineStr">
        <is>
          <t>foodwaste_narrative</t>
        </is>
      </c>
      <c r="E1323" t="n">
        <v>60</v>
      </c>
      <c r="F1323" t="inlineStr">
        <is>
          <t>Joy</t>
        </is>
      </c>
      <c r="G1323" t="n">
        <v>50</v>
      </c>
      <c r="H1323" t="n">
        <v>0</v>
      </c>
      <c r="I1323" t="n">
        <v>0</v>
      </c>
      <c r="J1323" t="inlineStr">
        <is>
          <t>NA</t>
        </is>
      </c>
      <c r="K1323" t="n">
        <v>93.59999999999999</v>
      </c>
    </row>
    <row r="1324">
      <c r="A1324" t="inlineStr">
        <is>
          <t>SIMULATED Food Waste Remote Study</t>
        </is>
      </c>
      <c r="B1324" t="inlineStr">
        <is>
          <t>RESP0190</t>
        </is>
      </c>
      <c r="C1324" t="inlineStr">
        <is>
          <t>Stimulus</t>
        </is>
      </c>
      <c r="D1324" t="inlineStr">
        <is>
          <t>foodwaste_narrative</t>
        </is>
      </c>
      <c r="E1324" t="n">
        <v>60</v>
      </c>
      <c r="F1324" t="inlineStr">
        <is>
          <t>Brow Furrow</t>
        </is>
      </c>
      <c r="G1324" t="n">
        <v>50</v>
      </c>
      <c r="H1324" t="n">
        <v>0</v>
      </c>
      <c r="I1324" t="n">
        <v>0</v>
      </c>
      <c r="J1324" t="inlineStr">
        <is>
          <t>NA</t>
        </is>
      </c>
      <c r="K1324" t="n">
        <v>93.59999999999999</v>
      </c>
    </row>
    <row r="1325">
      <c r="A1325" t="inlineStr">
        <is>
          <t>SIMULATED Food Waste Remote Study</t>
        </is>
      </c>
      <c r="B1325" t="inlineStr">
        <is>
          <t>RESP0190</t>
        </is>
      </c>
      <c r="C1325" t="inlineStr">
        <is>
          <t>Stimulus</t>
        </is>
      </c>
      <c r="D1325" t="inlineStr">
        <is>
          <t>foodwaste_narrative</t>
        </is>
      </c>
      <c r="E1325" t="n">
        <v>60</v>
      </c>
      <c r="F1325" t="inlineStr">
        <is>
          <t>Positive Valence</t>
        </is>
      </c>
      <c r="G1325" t="n">
        <v>50</v>
      </c>
      <c r="H1325" t="n">
        <v>0</v>
      </c>
      <c r="I1325" t="n">
        <v>0</v>
      </c>
      <c r="J1325" t="inlineStr">
        <is>
          <t>NA</t>
        </is>
      </c>
      <c r="K1325" t="n">
        <v>93.59999999999999</v>
      </c>
    </row>
    <row r="1326">
      <c r="A1326" t="inlineStr">
        <is>
          <t>SIMULATED Food Waste Remote Study</t>
        </is>
      </c>
      <c r="B1326" t="inlineStr">
        <is>
          <t>RESP0190</t>
        </is>
      </c>
      <c r="C1326" t="inlineStr">
        <is>
          <t>Stimulus</t>
        </is>
      </c>
      <c r="D1326" t="inlineStr">
        <is>
          <t>foodwaste_narrative</t>
        </is>
      </c>
      <c r="E1326" t="n">
        <v>60</v>
      </c>
      <c r="F1326" t="inlineStr">
        <is>
          <t>Negative Valence</t>
        </is>
      </c>
      <c r="G1326" t="n">
        <v>-50</v>
      </c>
      <c r="H1326" t="n">
        <v>2.06</v>
      </c>
      <c r="I1326" t="n">
        <v>1</v>
      </c>
      <c r="J1326" t="inlineStr">
        <is>
          <t>NA</t>
        </is>
      </c>
      <c r="K1326" t="n">
        <v>93.59999999999999</v>
      </c>
    </row>
    <row r="1327">
      <c r="A1327" t="inlineStr">
        <is>
          <t>SIMULATED Food Waste Remote Study</t>
        </is>
      </c>
      <c r="B1327" t="inlineStr">
        <is>
          <t>RESP0190</t>
        </is>
      </c>
      <c r="C1327" t="inlineStr">
        <is>
          <t>Stimulus</t>
        </is>
      </c>
      <c r="D1327" t="inlineStr">
        <is>
          <t>foodwaste_visual</t>
        </is>
      </c>
      <c r="E1327" t="n">
        <v>62</v>
      </c>
      <c r="F1327" t="inlineStr">
        <is>
          <t>Engagement</t>
        </is>
      </c>
      <c r="G1327" t="n">
        <v>50</v>
      </c>
      <c r="H1327" t="n">
        <v>39.03</v>
      </c>
      <c r="I1327" t="n">
        <v>3</v>
      </c>
      <c r="J1327" t="inlineStr">
        <is>
          <t>NA</t>
        </is>
      </c>
      <c r="K1327" t="n">
        <v>95.59999999999999</v>
      </c>
    </row>
    <row r="1328">
      <c r="A1328" t="inlineStr">
        <is>
          <t>SIMULATED Food Waste Remote Study</t>
        </is>
      </c>
      <c r="B1328" t="inlineStr">
        <is>
          <t>RESP0190</t>
        </is>
      </c>
      <c r="C1328" t="inlineStr">
        <is>
          <t>Stimulus</t>
        </is>
      </c>
      <c r="D1328" t="inlineStr">
        <is>
          <t>foodwaste_visual</t>
        </is>
      </c>
      <c r="E1328" t="n">
        <v>62</v>
      </c>
      <c r="F1328" t="inlineStr">
        <is>
          <t>Joy</t>
        </is>
      </c>
      <c r="G1328" t="n">
        <v>50</v>
      </c>
      <c r="H1328" t="n">
        <v>0</v>
      </c>
      <c r="I1328" t="n">
        <v>0</v>
      </c>
      <c r="J1328" t="inlineStr">
        <is>
          <t>NA</t>
        </is>
      </c>
      <c r="K1328" t="n">
        <v>95.59999999999999</v>
      </c>
    </row>
    <row r="1329">
      <c r="A1329" t="inlineStr">
        <is>
          <t>SIMULATED Food Waste Remote Study</t>
        </is>
      </c>
      <c r="B1329" t="inlineStr">
        <is>
          <t>RESP0190</t>
        </is>
      </c>
      <c r="C1329" t="inlineStr">
        <is>
          <t>Stimulus</t>
        </is>
      </c>
      <c r="D1329" t="inlineStr">
        <is>
          <t>foodwaste_visual</t>
        </is>
      </c>
      <c r="E1329" t="n">
        <v>62</v>
      </c>
      <c r="F1329" t="inlineStr">
        <is>
          <t>Brow Furrow</t>
        </is>
      </c>
      <c r="G1329" t="n">
        <v>50</v>
      </c>
      <c r="H1329" t="n">
        <v>1.13</v>
      </c>
      <c r="I1329" t="n">
        <v>1</v>
      </c>
      <c r="J1329" t="inlineStr">
        <is>
          <t>NA</t>
        </is>
      </c>
      <c r="K1329" t="n">
        <v>95.59999999999999</v>
      </c>
    </row>
    <row r="1330">
      <c r="A1330" t="inlineStr">
        <is>
          <t>SIMULATED Food Waste Remote Study</t>
        </is>
      </c>
      <c r="B1330" t="inlineStr">
        <is>
          <t>RESP0190</t>
        </is>
      </c>
      <c r="C1330" t="inlineStr">
        <is>
          <t>Stimulus</t>
        </is>
      </c>
      <c r="D1330" t="inlineStr">
        <is>
          <t>foodwaste_visual</t>
        </is>
      </c>
      <c r="E1330" t="n">
        <v>62</v>
      </c>
      <c r="F1330" t="inlineStr">
        <is>
          <t>Positive Valence</t>
        </is>
      </c>
      <c r="G1330" t="n">
        <v>50</v>
      </c>
      <c r="H1330" t="n">
        <v>0</v>
      </c>
      <c r="I1330" t="n">
        <v>0</v>
      </c>
      <c r="J1330" t="inlineStr">
        <is>
          <t>NA</t>
        </is>
      </c>
      <c r="K1330" t="n">
        <v>95.59999999999999</v>
      </c>
    </row>
    <row r="1331">
      <c r="A1331" t="inlineStr">
        <is>
          <t>SIMULATED Food Waste Remote Study</t>
        </is>
      </c>
      <c r="B1331" t="inlineStr">
        <is>
          <t>RESP0190</t>
        </is>
      </c>
      <c r="C1331" t="inlineStr">
        <is>
          <t>Stimulus</t>
        </is>
      </c>
      <c r="D1331" t="inlineStr">
        <is>
          <t>foodwaste_visual</t>
        </is>
      </c>
      <c r="E1331" t="n">
        <v>62</v>
      </c>
      <c r="F1331" t="inlineStr">
        <is>
          <t>Negative Valence</t>
        </is>
      </c>
      <c r="G1331" t="n">
        <v>-50</v>
      </c>
      <c r="H1331" t="n">
        <v>8.92</v>
      </c>
      <c r="I1331" t="n">
        <v>4</v>
      </c>
      <c r="J1331" t="inlineStr">
        <is>
          <t>NA</t>
        </is>
      </c>
      <c r="K1331" t="n">
        <v>95.59999999999999</v>
      </c>
    </row>
    <row r="1332">
      <c r="A1332" t="inlineStr">
        <is>
          <t>SIMULATED Food Waste Remote Study</t>
        </is>
      </c>
      <c r="B1332" t="inlineStr">
        <is>
          <t>RESP0191</t>
        </is>
      </c>
      <c r="C1332" t="inlineStr">
        <is>
          <t>Stimulus</t>
        </is>
      </c>
      <c r="D1332" t="inlineStr">
        <is>
          <t>foodwaste_narrative</t>
        </is>
      </c>
      <c r="E1332" t="n">
        <v>60</v>
      </c>
      <c r="F1332" t="inlineStr">
        <is>
          <t>Engagement</t>
        </is>
      </c>
      <c r="G1332" t="n">
        <v>50</v>
      </c>
      <c r="H1332" t="n">
        <v>0</v>
      </c>
      <c r="I1332" t="n">
        <v>0</v>
      </c>
      <c r="J1332" t="inlineStr">
        <is>
          <t>NA</t>
        </is>
      </c>
      <c r="K1332" t="n">
        <v>71.8</v>
      </c>
    </row>
    <row r="1333">
      <c r="A1333" t="inlineStr">
        <is>
          <t>SIMULATED Food Waste Remote Study</t>
        </is>
      </c>
      <c r="B1333" t="inlineStr">
        <is>
          <t>RESP0191</t>
        </is>
      </c>
      <c r="C1333" t="inlineStr">
        <is>
          <t>Stimulus</t>
        </is>
      </c>
      <c r="D1333" t="inlineStr">
        <is>
          <t>foodwaste_narrative</t>
        </is>
      </c>
      <c r="E1333" t="n">
        <v>60</v>
      </c>
      <c r="F1333" t="inlineStr">
        <is>
          <t>Joy</t>
        </is>
      </c>
      <c r="G1333" t="n">
        <v>50</v>
      </c>
      <c r="H1333" t="n">
        <v>0</v>
      </c>
      <c r="I1333" t="n">
        <v>0</v>
      </c>
      <c r="J1333" t="inlineStr">
        <is>
          <t>NA</t>
        </is>
      </c>
      <c r="K1333" t="n">
        <v>71.8</v>
      </c>
    </row>
    <row r="1334">
      <c r="A1334" t="inlineStr">
        <is>
          <t>SIMULATED Food Waste Remote Study</t>
        </is>
      </c>
      <c r="B1334" t="inlineStr">
        <is>
          <t>RESP0191</t>
        </is>
      </c>
      <c r="C1334" t="inlineStr">
        <is>
          <t>Stimulus</t>
        </is>
      </c>
      <c r="D1334" t="inlineStr">
        <is>
          <t>foodwaste_narrative</t>
        </is>
      </c>
      <c r="E1334" t="n">
        <v>60</v>
      </c>
      <c r="F1334" t="inlineStr">
        <is>
          <t>Brow Furrow</t>
        </is>
      </c>
      <c r="G1334" t="n">
        <v>50</v>
      </c>
      <c r="H1334" t="n">
        <v>0</v>
      </c>
      <c r="I1334" t="n">
        <v>0</v>
      </c>
      <c r="J1334" t="inlineStr">
        <is>
          <t>NA</t>
        </is>
      </c>
      <c r="K1334" t="n">
        <v>71.8</v>
      </c>
    </row>
    <row r="1335">
      <c r="A1335" t="inlineStr">
        <is>
          <t>SIMULATED Food Waste Remote Study</t>
        </is>
      </c>
      <c r="B1335" t="inlineStr">
        <is>
          <t>RESP0191</t>
        </is>
      </c>
      <c r="C1335" t="inlineStr">
        <is>
          <t>Stimulus</t>
        </is>
      </c>
      <c r="D1335" t="inlineStr">
        <is>
          <t>foodwaste_narrative</t>
        </is>
      </c>
      <c r="E1335" t="n">
        <v>60</v>
      </c>
      <c r="F1335" t="inlineStr">
        <is>
          <t>Positive Valence</t>
        </is>
      </c>
      <c r="G1335" t="n">
        <v>50</v>
      </c>
      <c r="H1335" t="n">
        <v>0</v>
      </c>
      <c r="I1335" t="n">
        <v>0</v>
      </c>
      <c r="J1335" t="inlineStr">
        <is>
          <t>NA</t>
        </is>
      </c>
      <c r="K1335" t="n">
        <v>71.8</v>
      </c>
    </row>
    <row r="1336">
      <c r="A1336" t="inlineStr">
        <is>
          <t>SIMULATED Food Waste Remote Study</t>
        </is>
      </c>
      <c r="B1336" t="inlineStr">
        <is>
          <t>RESP0191</t>
        </is>
      </c>
      <c r="C1336" t="inlineStr">
        <is>
          <t>Stimulus</t>
        </is>
      </c>
      <c r="D1336" t="inlineStr">
        <is>
          <t>foodwaste_narrative</t>
        </is>
      </c>
      <c r="E1336" t="n">
        <v>60</v>
      </c>
      <c r="F1336" t="inlineStr">
        <is>
          <t>Negative Valence</t>
        </is>
      </c>
      <c r="G1336" t="n">
        <v>-50</v>
      </c>
      <c r="H1336" t="n">
        <v>1.22</v>
      </c>
      <c r="I1336" t="n">
        <v>1</v>
      </c>
      <c r="J1336" t="inlineStr">
        <is>
          <t>NA</t>
        </is>
      </c>
      <c r="K1336" t="n">
        <v>71.8</v>
      </c>
    </row>
    <row r="1337">
      <c r="A1337" t="inlineStr">
        <is>
          <t>SIMULATED Food Waste Remote Study</t>
        </is>
      </c>
      <c r="B1337" t="inlineStr">
        <is>
          <t>RESP0191</t>
        </is>
      </c>
      <c r="C1337" t="inlineStr">
        <is>
          <t>Stimulus</t>
        </is>
      </c>
      <c r="D1337" t="inlineStr">
        <is>
          <t>foodwaste_visual</t>
        </is>
      </c>
      <c r="E1337" t="n">
        <v>62</v>
      </c>
      <c r="F1337" t="inlineStr">
        <is>
          <t>Engagement</t>
        </is>
      </c>
      <c r="G1337" t="n">
        <v>50</v>
      </c>
      <c r="H1337" t="n">
        <v>26.61</v>
      </c>
      <c r="I1337" t="n">
        <v>21</v>
      </c>
      <c r="J1337" t="inlineStr">
        <is>
          <t>NA</t>
        </is>
      </c>
      <c r="K1337" t="n">
        <v>81.7</v>
      </c>
    </row>
    <row r="1338">
      <c r="A1338" t="inlineStr">
        <is>
          <t>SIMULATED Food Waste Remote Study</t>
        </is>
      </c>
      <c r="B1338" t="inlineStr">
        <is>
          <t>RESP0191</t>
        </is>
      </c>
      <c r="C1338" t="inlineStr">
        <is>
          <t>Stimulus</t>
        </is>
      </c>
      <c r="D1338" t="inlineStr">
        <is>
          <t>foodwaste_visual</t>
        </is>
      </c>
      <c r="E1338" t="n">
        <v>62</v>
      </c>
      <c r="F1338" t="inlineStr">
        <is>
          <t>Joy</t>
        </is>
      </c>
      <c r="G1338" t="n">
        <v>50</v>
      </c>
      <c r="H1338" t="n">
        <v>0</v>
      </c>
      <c r="I1338" t="n">
        <v>0</v>
      </c>
      <c r="J1338" t="inlineStr">
        <is>
          <t>NA</t>
        </is>
      </c>
      <c r="K1338" t="n">
        <v>81.7</v>
      </c>
    </row>
    <row r="1339">
      <c r="A1339" t="inlineStr">
        <is>
          <t>SIMULATED Food Waste Remote Study</t>
        </is>
      </c>
      <c r="B1339" t="inlineStr">
        <is>
          <t>RESP0191</t>
        </is>
      </c>
      <c r="C1339" t="inlineStr">
        <is>
          <t>Stimulus</t>
        </is>
      </c>
      <c r="D1339" t="inlineStr">
        <is>
          <t>foodwaste_visual</t>
        </is>
      </c>
      <c r="E1339" t="n">
        <v>62</v>
      </c>
      <c r="F1339" t="inlineStr">
        <is>
          <t>Brow Furrow</t>
        </is>
      </c>
      <c r="G1339" t="n">
        <v>50</v>
      </c>
      <c r="H1339" t="n">
        <v>2.96</v>
      </c>
      <c r="I1339" t="n">
        <v>3</v>
      </c>
      <c r="J1339" t="inlineStr">
        <is>
          <t>NA</t>
        </is>
      </c>
      <c r="K1339" t="n">
        <v>81.7</v>
      </c>
    </row>
    <row r="1340">
      <c r="A1340" t="inlineStr">
        <is>
          <t>SIMULATED Food Waste Remote Study</t>
        </is>
      </c>
      <c r="B1340" t="inlineStr">
        <is>
          <t>RESP0191</t>
        </is>
      </c>
      <c r="C1340" t="inlineStr">
        <is>
          <t>Stimulus</t>
        </is>
      </c>
      <c r="D1340" t="inlineStr">
        <is>
          <t>foodwaste_visual</t>
        </is>
      </c>
      <c r="E1340" t="n">
        <v>62</v>
      </c>
      <c r="F1340" t="inlineStr">
        <is>
          <t>Positive Valence</t>
        </is>
      </c>
      <c r="G1340" t="n">
        <v>50</v>
      </c>
      <c r="H1340" t="n">
        <v>0</v>
      </c>
      <c r="I1340" t="n">
        <v>0</v>
      </c>
      <c r="J1340" t="inlineStr">
        <is>
          <t>NA</t>
        </is>
      </c>
      <c r="K1340" t="n">
        <v>81.7</v>
      </c>
    </row>
    <row r="1341">
      <c r="A1341" t="inlineStr">
        <is>
          <t>SIMULATED Food Waste Remote Study</t>
        </is>
      </c>
      <c r="B1341" t="inlineStr">
        <is>
          <t>RESP0191</t>
        </is>
      </c>
      <c r="C1341" t="inlineStr">
        <is>
          <t>Stimulus</t>
        </is>
      </c>
      <c r="D1341" t="inlineStr">
        <is>
          <t>foodwaste_visual</t>
        </is>
      </c>
      <c r="E1341" t="n">
        <v>62</v>
      </c>
      <c r="F1341" t="inlineStr">
        <is>
          <t>Negative Valence</t>
        </is>
      </c>
      <c r="G1341" t="n">
        <v>-50</v>
      </c>
      <c r="H1341" t="n">
        <v>11.61</v>
      </c>
      <c r="I1341" t="n">
        <v>10</v>
      </c>
      <c r="J1341" t="inlineStr">
        <is>
          <t>NA</t>
        </is>
      </c>
      <c r="K1341" t="n">
        <v>81.7</v>
      </c>
    </row>
    <row r="1342">
      <c r="A1342" t="inlineStr">
        <is>
          <t>SIMULATED Food Waste Remote Study</t>
        </is>
      </c>
      <c r="B1342" t="inlineStr">
        <is>
          <t>RESP0193</t>
        </is>
      </c>
      <c r="C1342" t="inlineStr">
        <is>
          <t>Stimulus</t>
        </is>
      </c>
      <c r="D1342" t="inlineStr">
        <is>
          <t>foodwaste_narrative</t>
        </is>
      </c>
      <c r="E1342" t="n">
        <v>60</v>
      </c>
      <c r="F1342" t="inlineStr">
        <is>
          <t>Engagement</t>
        </is>
      </c>
      <c r="G1342" t="n">
        <v>50</v>
      </c>
      <c r="H1342" t="n">
        <v>48.89</v>
      </c>
      <c r="I1342" t="n">
        <v>19</v>
      </c>
      <c r="J1342" t="inlineStr">
        <is>
          <t>NA</t>
        </is>
      </c>
      <c r="K1342" t="n">
        <v>98.2</v>
      </c>
    </row>
    <row r="1343">
      <c r="A1343" t="inlineStr">
        <is>
          <t>SIMULATED Food Waste Remote Study</t>
        </is>
      </c>
      <c r="B1343" t="inlineStr">
        <is>
          <t>RESP0193</t>
        </is>
      </c>
      <c r="C1343" t="inlineStr">
        <is>
          <t>Stimulus</t>
        </is>
      </c>
      <c r="D1343" t="inlineStr">
        <is>
          <t>foodwaste_narrative</t>
        </is>
      </c>
      <c r="E1343" t="n">
        <v>60</v>
      </c>
      <c r="F1343" t="inlineStr">
        <is>
          <t>Joy</t>
        </is>
      </c>
      <c r="G1343" t="n">
        <v>50</v>
      </c>
      <c r="H1343" t="n">
        <v>0</v>
      </c>
      <c r="I1343" t="n">
        <v>0</v>
      </c>
      <c r="J1343" t="inlineStr">
        <is>
          <t>NA</t>
        </is>
      </c>
      <c r="K1343" t="n">
        <v>98.2</v>
      </c>
    </row>
    <row r="1344">
      <c r="A1344" t="inlineStr">
        <is>
          <t>SIMULATED Food Waste Remote Study</t>
        </is>
      </c>
      <c r="B1344" t="inlineStr">
        <is>
          <t>RESP0193</t>
        </is>
      </c>
      <c r="C1344" t="inlineStr">
        <is>
          <t>Stimulus</t>
        </is>
      </c>
      <c r="D1344" t="inlineStr">
        <is>
          <t>foodwaste_narrative</t>
        </is>
      </c>
      <c r="E1344" t="n">
        <v>60</v>
      </c>
      <c r="F1344" t="inlineStr">
        <is>
          <t>Brow Furrow</t>
        </is>
      </c>
      <c r="G1344" t="n">
        <v>50</v>
      </c>
      <c r="H1344" t="n">
        <v>7.17</v>
      </c>
      <c r="I1344" t="n">
        <v>2</v>
      </c>
      <c r="J1344" t="inlineStr">
        <is>
          <t>NA</t>
        </is>
      </c>
      <c r="K1344" t="n">
        <v>98.2</v>
      </c>
    </row>
    <row r="1345">
      <c r="A1345" t="inlineStr">
        <is>
          <t>SIMULATED Food Waste Remote Study</t>
        </is>
      </c>
      <c r="B1345" t="inlineStr">
        <is>
          <t>RESP0193</t>
        </is>
      </c>
      <c r="C1345" t="inlineStr">
        <is>
          <t>Stimulus</t>
        </is>
      </c>
      <c r="D1345" t="inlineStr">
        <is>
          <t>foodwaste_narrative</t>
        </is>
      </c>
      <c r="E1345" t="n">
        <v>60</v>
      </c>
      <c r="F1345" t="inlineStr">
        <is>
          <t>Positive Valence</t>
        </is>
      </c>
      <c r="G1345" t="n">
        <v>50</v>
      </c>
      <c r="H1345" t="n">
        <v>0</v>
      </c>
      <c r="I1345" t="n">
        <v>0</v>
      </c>
      <c r="J1345" t="inlineStr">
        <is>
          <t>NA</t>
        </is>
      </c>
      <c r="K1345" t="n">
        <v>98.2</v>
      </c>
    </row>
    <row r="1346">
      <c r="A1346" t="inlineStr">
        <is>
          <t>SIMULATED Food Waste Remote Study</t>
        </is>
      </c>
      <c r="B1346" t="inlineStr">
        <is>
          <t>RESP0193</t>
        </is>
      </c>
      <c r="C1346" t="inlineStr">
        <is>
          <t>Stimulus</t>
        </is>
      </c>
      <c r="D1346" t="inlineStr">
        <is>
          <t>foodwaste_narrative</t>
        </is>
      </c>
      <c r="E1346" t="n">
        <v>60</v>
      </c>
      <c r="F1346" t="inlineStr">
        <is>
          <t>Negative Valence</t>
        </is>
      </c>
      <c r="G1346" t="n">
        <v>-50</v>
      </c>
      <c r="H1346" t="n">
        <v>4.72</v>
      </c>
      <c r="I1346" t="n">
        <v>1</v>
      </c>
      <c r="J1346" t="inlineStr">
        <is>
          <t>NA</t>
        </is>
      </c>
      <c r="K1346" t="n">
        <v>98.2</v>
      </c>
    </row>
    <row r="1347">
      <c r="A1347" t="inlineStr">
        <is>
          <t>SIMULATED Food Waste Remote Study</t>
        </is>
      </c>
      <c r="B1347" t="inlineStr">
        <is>
          <t>RESP0193</t>
        </is>
      </c>
      <c r="C1347" t="inlineStr">
        <is>
          <t>Stimulus</t>
        </is>
      </c>
      <c r="D1347" t="inlineStr">
        <is>
          <t>foodwaste_visual</t>
        </is>
      </c>
      <c r="E1347" t="n">
        <v>62</v>
      </c>
      <c r="F1347" t="inlineStr">
        <is>
          <t>Engagement</t>
        </is>
      </c>
      <c r="G1347" t="n">
        <v>50</v>
      </c>
      <c r="H1347" t="n">
        <v>12.74</v>
      </c>
      <c r="I1347" t="n">
        <v>3</v>
      </c>
      <c r="J1347" t="inlineStr">
        <is>
          <t>NA</t>
        </is>
      </c>
      <c r="K1347" t="n">
        <v>98.40000000000001</v>
      </c>
    </row>
    <row r="1348">
      <c r="A1348" t="inlineStr">
        <is>
          <t>SIMULATED Food Waste Remote Study</t>
        </is>
      </c>
      <c r="B1348" t="inlineStr">
        <is>
          <t>RESP0193</t>
        </is>
      </c>
      <c r="C1348" t="inlineStr">
        <is>
          <t>Stimulus</t>
        </is>
      </c>
      <c r="D1348" t="inlineStr">
        <is>
          <t>foodwaste_visual</t>
        </is>
      </c>
      <c r="E1348" t="n">
        <v>62</v>
      </c>
      <c r="F1348" t="inlineStr">
        <is>
          <t>Joy</t>
        </is>
      </c>
      <c r="G1348" t="n">
        <v>50</v>
      </c>
      <c r="H1348" t="n">
        <v>0</v>
      </c>
      <c r="I1348" t="n">
        <v>0</v>
      </c>
      <c r="J1348" t="inlineStr">
        <is>
          <t>NA</t>
        </is>
      </c>
      <c r="K1348" t="n">
        <v>98.40000000000001</v>
      </c>
    </row>
    <row r="1349">
      <c r="A1349" t="inlineStr">
        <is>
          <t>SIMULATED Food Waste Remote Study</t>
        </is>
      </c>
      <c r="B1349" t="inlineStr">
        <is>
          <t>RESP0193</t>
        </is>
      </c>
      <c r="C1349" t="inlineStr">
        <is>
          <t>Stimulus</t>
        </is>
      </c>
      <c r="D1349" t="inlineStr">
        <is>
          <t>foodwaste_visual</t>
        </is>
      </c>
      <c r="E1349" t="n">
        <v>62</v>
      </c>
      <c r="F1349" t="inlineStr">
        <is>
          <t>Brow Furrow</t>
        </is>
      </c>
      <c r="G1349" t="n">
        <v>50</v>
      </c>
      <c r="H1349" t="n">
        <v>2.26</v>
      </c>
      <c r="I1349" t="n">
        <v>1</v>
      </c>
      <c r="J1349" t="inlineStr">
        <is>
          <t>NA</t>
        </is>
      </c>
      <c r="K1349" t="n">
        <v>98.40000000000001</v>
      </c>
    </row>
    <row r="1350">
      <c r="A1350" t="inlineStr">
        <is>
          <t>SIMULATED Food Waste Remote Study</t>
        </is>
      </c>
      <c r="B1350" t="inlineStr">
        <is>
          <t>RESP0193</t>
        </is>
      </c>
      <c r="C1350" t="inlineStr">
        <is>
          <t>Stimulus</t>
        </is>
      </c>
      <c r="D1350" t="inlineStr">
        <is>
          <t>foodwaste_visual</t>
        </is>
      </c>
      <c r="E1350" t="n">
        <v>62</v>
      </c>
      <c r="F1350" t="inlineStr">
        <is>
          <t>Positive Valence</t>
        </is>
      </c>
      <c r="G1350" t="n">
        <v>50</v>
      </c>
      <c r="H1350" t="n">
        <v>0</v>
      </c>
      <c r="I1350" t="n">
        <v>0</v>
      </c>
      <c r="J1350" t="inlineStr">
        <is>
          <t>NA</t>
        </is>
      </c>
      <c r="K1350" t="n">
        <v>98.40000000000001</v>
      </c>
    </row>
    <row r="1351">
      <c r="A1351" t="inlineStr">
        <is>
          <t>SIMULATED Food Waste Remote Study</t>
        </is>
      </c>
      <c r="B1351" t="inlineStr">
        <is>
          <t>RESP0193</t>
        </is>
      </c>
      <c r="C1351" t="inlineStr">
        <is>
          <t>Stimulus</t>
        </is>
      </c>
      <c r="D1351" t="inlineStr">
        <is>
          <t>foodwaste_visual</t>
        </is>
      </c>
      <c r="E1351" t="n">
        <v>62</v>
      </c>
      <c r="F1351" t="inlineStr">
        <is>
          <t>Negative Valence</t>
        </is>
      </c>
      <c r="G1351" t="n">
        <v>-50</v>
      </c>
      <c r="H1351" t="n">
        <v>0</v>
      </c>
      <c r="I1351" t="n">
        <v>0</v>
      </c>
      <c r="J1351" t="inlineStr">
        <is>
          <t>NA</t>
        </is>
      </c>
      <c r="K1351" t="n">
        <v>98.40000000000001</v>
      </c>
    </row>
    <row r="1352">
      <c r="A1352" t="inlineStr">
        <is>
          <t>SIMULATED Food Waste Remote Study</t>
        </is>
      </c>
      <c r="B1352" t="inlineStr">
        <is>
          <t>RESP0195</t>
        </is>
      </c>
      <c r="C1352" t="inlineStr">
        <is>
          <t>Stimulus</t>
        </is>
      </c>
      <c r="D1352" t="inlineStr">
        <is>
          <t>foodwaste_narrative</t>
        </is>
      </c>
      <c r="E1352" t="n">
        <v>60</v>
      </c>
      <c r="F1352" t="inlineStr">
        <is>
          <t>Engagement</t>
        </is>
      </c>
      <c r="G1352" t="n">
        <v>50</v>
      </c>
      <c r="H1352" t="n">
        <v>24.44</v>
      </c>
      <c r="I1352" t="n">
        <v>5</v>
      </c>
      <c r="J1352" t="inlineStr">
        <is>
          <t>NA</t>
        </is>
      </c>
      <c r="K1352" t="n">
        <v>99.3</v>
      </c>
    </row>
    <row r="1353">
      <c r="A1353" t="inlineStr">
        <is>
          <t>SIMULATED Food Waste Remote Study</t>
        </is>
      </c>
      <c r="B1353" t="inlineStr">
        <is>
          <t>RESP0195</t>
        </is>
      </c>
      <c r="C1353" t="inlineStr">
        <is>
          <t>Stimulus</t>
        </is>
      </c>
      <c r="D1353" t="inlineStr">
        <is>
          <t>foodwaste_narrative</t>
        </is>
      </c>
      <c r="E1353" t="n">
        <v>60</v>
      </c>
      <c r="F1353" t="inlineStr">
        <is>
          <t>Joy</t>
        </is>
      </c>
      <c r="G1353" t="n">
        <v>50</v>
      </c>
      <c r="H1353" t="n">
        <v>0</v>
      </c>
      <c r="I1353" t="n">
        <v>0</v>
      </c>
      <c r="J1353" t="inlineStr">
        <is>
          <t>NA</t>
        </is>
      </c>
      <c r="K1353" t="n">
        <v>99.3</v>
      </c>
    </row>
    <row r="1354">
      <c r="A1354" t="inlineStr">
        <is>
          <t>SIMULATED Food Waste Remote Study</t>
        </is>
      </c>
      <c r="B1354" t="inlineStr">
        <is>
          <t>RESP0195</t>
        </is>
      </c>
      <c r="C1354" t="inlineStr">
        <is>
          <t>Stimulus</t>
        </is>
      </c>
      <c r="D1354" t="inlineStr">
        <is>
          <t>foodwaste_narrative</t>
        </is>
      </c>
      <c r="E1354" t="n">
        <v>60</v>
      </c>
      <c r="F1354" t="inlineStr">
        <is>
          <t>Brow Furrow</t>
        </is>
      </c>
      <c r="G1354" t="n">
        <v>50</v>
      </c>
      <c r="H1354" t="n">
        <v>9.779999999999999</v>
      </c>
      <c r="I1354" t="n">
        <v>4</v>
      </c>
      <c r="J1354" t="inlineStr">
        <is>
          <t>NA</t>
        </is>
      </c>
      <c r="K1354" t="n">
        <v>99.3</v>
      </c>
    </row>
    <row r="1355">
      <c r="A1355" t="inlineStr">
        <is>
          <t>SIMULATED Food Waste Remote Study</t>
        </is>
      </c>
      <c r="B1355" t="inlineStr">
        <is>
          <t>RESP0195</t>
        </is>
      </c>
      <c r="C1355" t="inlineStr">
        <is>
          <t>Stimulus</t>
        </is>
      </c>
      <c r="D1355" t="inlineStr">
        <is>
          <t>foodwaste_narrative</t>
        </is>
      </c>
      <c r="E1355" t="n">
        <v>60</v>
      </c>
      <c r="F1355" t="inlineStr">
        <is>
          <t>Positive Valence</t>
        </is>
      </c>
      <c r="G1355" t="n">
        <v>50</v>
      </c>
      <c r="H1355" t="n">
        <v>2.83</v>
      </c>
      <c r="I1355" t="n">
        <v>1</v>
      </c>
      <c r="J1355" t="inlineStr">
        <is>
          <t>NA</t>
        </is>
      </c>
      <c r="K1355" t="n">
        <v>99.3</v>
      </c>
    </row>
    <row r="1356">
      <c r="A1356" t="inlineStr">
        <is>
          <t>SIMULATED Food Waste Remote Study</t>
        </is>
      </c>
      <c r="B1356" t="inlineStr">
        <is>
          <t>RESP0195</t>
        </is>
      </c>
      <c r="C1356" t="inlineStr">
        <is>
          <t>Stimulus</t>
        </is>
      </c>
      <c r="D1356" t="inlineStr">
        <is>
          <t>foodwaste_narrative</t>
        </is>
      </c>
      <c r="E1356" t="n">
        <v>60</v>
      </c>
      <c r="F1356" t="inlineStr">
        <is>
          <t>Negative Valence</t>
        </is>
      </c>
      <c r="G1356" t="n">
        <v>-50</v>
      </c>
      <c r="H1356" t="n">
        <v>2.89</v>
      </c>
      <c r="I1356" t="n">
        <v>1</v>
      </c>
      <c r="J1356" t="inlineStr">
        <is>
          <t>NA</t>
        </is>
      </c>
      <c r="K1356" t="n">
        <v>99.3</v>
      </c>
    </row>
    <row r="1357">
      <c r="A1357" t="inlineStr">
        <is>
          <t>SIMULATED Food Waste Remote Study</t>
        </is>
      </c>
      <c r="B1357" t="inlineStr">
        <is>
          <t>RESP0195</t>
        </is>
      </c>
      <c r="C1357" t="inlineStr">
        <is>
          <t>Stimulus</t>
        </is>
      </c>
      <c r="D1357" t="inlineStr">
        <is>
          <t>foodwaste_visual</t>
        </is>
      </c>
      <c r="E1357" t="n">
        <v>62</v>
      </c>
      <c r="F1357" t="inlineStr">
        <is>
          <t>Engagement</t>
        </is>
      </c>
      <c r="G1357" t="n">
        <v>50</v>
      </c>
      <c r="H1357" t="n">
        <v>24.62</v>
      </c>
      <c r="I1357" t="n">
        <v>7</v>
      </c>
      <c r="J1357" t="inlineStr">
        <is>
          <t>NA</t>
        </is>
      </c>
      <c r="K1357" t="n">
        <v>98.09999999999999</v>
      </c>
    </row>
    <row r="1358">
      <c r="A1358" t="inlineStr">
        <is>
          <t>SIMULATED Food Waste Remote Study</t>
        </is>
      </c>
      <c r="B1358" t="inlineStr">
        <is>
          <t>RESP0195</t>
        </is>
      </c>
      <c r="C1358" t="inlineStr">
        <is>
          <t>Stimulus</t>
        </is>
      </c>
      <c r="D1358" t="inlineStr">
        <is>
          <t>foodwaste_visual</t>
        </is>
      </c>
      <c r="E1358" t="n">
        <v>62</v>
      </c>
      <c r="F1358" t="inlineStr">
        <is>
          <t>Joy</t>
        </is>
      </c>
      <c r="G1358" t="n">
        <v>50</v>
      </c>
      <c r="H1358" t="n">
        <v>3.23</v>
      </c>
      <c r="I1358" t="n">
        <v>2</v>
      </c>
      <c r="J1358" t="inlineStr">
        <is>
          <t>NA</t>
        </is>
      </c>
      <c r="K1358" t="n">
        <v>98.09999999999999</v>
      </c>
    </row>
    <row r="1359">
      <c r="A1359" t="inlineStr">
        <is>
          <t>SIMULATED Food Waste Remote Study</t>
        </is>
      </c>
      <c r="B1359" t="inlineStr">
        <is>
          <t>RESP0195</t>
        </is>
      </c>
      <c r="C1359" t="inlineStr">
        <is>
          <t>Stimulus</t>
        </is>
      </c>
      <c r="D1359" t="inlineStr">
        <is>
          <t>foodwaste_visual</t>
        </is>
      </c>
      <c r="E1359" t="n">
        <v>62</v>
      </c>
      <c r="F1359" t="inlineStr">
        <is>
          <t>Brow Furrow</t>
        </is>
      </c>
      <c r="G1359" t="n">
        <v>50</v>
      </c>
      <c r="H1359" t="n">
        <v>14.25</v>
      </c>
      <c r="I1359" t="n">
        <v>4</v>
      </c>
      <c r="J1359" t="inlineStr">
        <is>
          <t>NA</t>
        </is>
      </c>
      <c r="K1359" t="n">
        <v>98.09999999999999</v>
      </c>
    </row>
    <row r="1360">
      <c r="A1360" t="inlineStr">
        <is>
          <t>SIMULATED Food Waste Remote Study</t>
        </is>
      </c>
      <c r="B1360" t="inlineStr">
        <is>
          <t>RESP0195</t>
        </is>
      </c>
      <c r="C1360" t="inlineStr">
        <is>
          <t>Stimulus</t>
        </is>
      </c>
      <c r="D1360" t="inlineStr">
        <is>
          <t>foodwaste_visual</t>
        </is>
      </c>
      <c r="E1360" t="n">
        <v>62</v>
      </c>
      <c r="F1360" t="inlineStr">
        <is>
          <t>Positive Valence</t>
        </is>
      </c>
      <c r="G1360" t="n">
        <v>50</v>
      </c>
      <c r="H1360" t="n">
        <v>12.04</v>
      </c>
      <c r="I1360" t="n">
        <v>4</v>
      </c>
      <c r="J1360" t="inlineStr">
        <is>
          <t>NA</t>
        </is>
      </c>
      <c r="K1360" t="n">
        <v>98.09999999999999</v>
      </c>
    </row>
    <row r="1361">
      <c r="A1361" t="inlineStr">
        <is>
          <t>SIMULATED Food Waste Remote Study</t>
        </is>
      </c>
      <c r="B1361" t="inlineStr">
        <is>
          <t>RESP0195</t>
        </is>
      </c>
      <c r="C1361" t="inlineStr">
        <is>
          <t>Stimulus</t>
        </is>
      </c>
      <c r="D1361" t="inlineStr">
        <is>
          <t>foodwaste_visual</t>
        </is>
      </c>
      <c r="E1361" t="n">
        <v>62</v>
      </c>
      <c r="F1361" t="inlineStr">
        <is>
          <t>Negative Valence</t>
        </is>
      </c>
      <c r="G1361" t="n">
        <v>-50</v>
      </c>
      <c r="H1361" t="n">
        <v>15.86</v>
      </c>
      <c r="I1361" t="n">
        <v>8</v>
      </c>
      <c r="J1361" t="inlineStr">
        <is>
          <t>NA</t>
        </is>
      </c>
      <c r="K1361" t="n">
        <v>98.09999999999999</v>
      </c>
    </row>
    <row r="1362">
      <c r="A1362" t="inlineStr">
        <is>
          <t>SIMULATED Food Waste Remote Study</t>
        </is>
      </c>
      <c r="B1362" t="inlineStr">
        <is>
          <t>RESP0196</t>
        </is>
      </c>
      <c r="C1362" t="inlineStr">
        <is>
          <t>Stimulus</t>
        </is>
      </c>
      <c r="D1362" t="inlineStr">
        <is>
          <t>foodwaste_narrative</t>
        </is>
      </c>
      <c r="E1362" t="n">
        <v>60</v>
      </c>
      <c r="F1362" t="inlineStr">
        <is>
          <t>Engagement</t>
        </is>
      </c>
      <c r="G1362" t="n">
        <v>50</v>
      </c>
      <c r="H1362" t="n">
        <v>9.67</v>
      </c>
      <c r="I1362" t="n">
        <v>2</v>
      </c>
      <c r="J1362" t="inlineStr">
        <is>
          <t>NA</t>
        </is>
      </c>
      <c r="K1362" t="n">
        <v>98.09999999999999</v>
      </c>
    </row>
    <row r="1363">
      <c r="A1363" t="inlineStr">
        <is>
          <t>SIMULATED Food Waste Remote Study</t>
        </is>
      </c>
      <c r="B1363" t="inlineStr">
        <is>
          <t>RESP0196</t>
        </is>
      </c>
      <c r="C1363" t="inlineStr">
        <is>
          <t>Stimulus</t>
        </is>
      </c>
      <c r="D1363" t="inlineStr">
        <is>
          <t>foodwaste_narrative</t>
        </is>
      </c>
      <c r="E1363" t="n">
        <v>60</v>
      </c>
      <c r="F1363" t="inlineStr">
        <is>
          <t>Joy</t>
        </is>
      </c>
      <c r="G1363" t="n">
        <v>50</v>
      </c>
      <c r="H1363" t="n">
        <v>7.56</v>
      </c>
      <c r="I1363" t="n">
        <v>3</v>
      </c>
      <c r="J1363" t="inlineStr">
        <is>
          <t>NA</t>
        </is>
      </c>
      <c r="K1363" t="n">
        <v>98.09999999999999</v>
      </c>
    </row>
    <row r="1364">
      <c r="A1364" t="inlineStr">
        <is>
          <t>SIMULATED Food Waste Remote Study</t>
        </is>
      </c>
      <c r="B1364" t="inlineStr">
        <is>
          <t>RESP0196</t>
        </is>
      </c>
      <c r="C1364" t="inlineStr">
        <is>
          <t>Stimulus</t>
        </is>
      </c>
      <c r="D1364" t="inlineStr">
        <is>
          <t>foodwaste_narrative</t>
        </is>
      </c>
      <c r="E1364" t="n">
        <v>60</v>
      </c>
      <c r="F1364" t="inlineStr">
        <is>
          <t>Brow Furrow</t>
        </is>
      </c>
      <c r="G1364" t="n">
        <v>50</v>
      </c>
      <c r="H1364" t="n">
        <v>22.78</v>
      </c>
      <c r="I1364" t="n">
        <v>4</v>
      </c>
      <c r="J1364" t="inlineStr">
        <is>
          <t>NA</t>
        </is>
      </c>
      <c r="K1364" t="n">
        <v>98.09999999999999</v>
      </c>
    </row>
    <row r="1365">
      <c r="A1365" t="inlineStr">
        <is>
          <t>SIMULATED Food Waste Remote Study</t>
        </is>
      </c>
      <c r="B1365" t="inlineStr">
        <is>
          <t>RESP0196</t>
        </is>
      </c>
      <c r="C1365" t="inlineStr">
        <is>
          <t>Stimulus</t>
        </is>
      </c>
      <c r="D1365" t="inlineStr">
        <is>
          <t>foodwaste_narrative</t>
        </is>
      </c>
      <c r="E1365" t="n">
        <v>60</v>
      </c>
      <c r="F1365" t="inlineStr">
        <is>
          <t>Positive Valence</t>
        </is>
      </c>
      <c r="G1365" t="n">
        <v>50</v>
      </c>
      <c r="H1365" t="n">
        <v>25.22</v>
      </c>
      <c r="I1365" t="n">
        <v>3</v>
      </c>
      <c r="J1365" t="inlineStr">
        <is>
          <t>NA</t>
        </is>
      </c>
      <c r="K1365" t="n">
        <v>98.09999999999999</v>
      </c>
    </row>
    <row r="1366">
      <c r="A1366" t="inlineStr">
        <is>
          <t>SIMULATED Food Waste Remote Study</t>
        </is>
      </c>
      <c r="B1366" t="inlineStr">
        <is>
          <t>RESP0196</t>
        </is>
      </c>
      <c r="C1366" t="inlineStr">
        <is>
          <t>Stimulus</t>
        </is>
      </c>
      <c r="D1366" t="inlineStr">
        <is>
          <t>foodwaste_narrative</t>
        </is>
      </c>
      <c r="E1366" t="n">
        <v>60</v>
      </c>
      <c r="F1366" t="inlineStr">
        <is>
          <t>Negative Valence</t>
        </is>
      </c>
      <c r="G1366" t="n">
        <v>-50</v>
      </c>
      <c r="H1366" t="n">
        <v>0</v>
      </c>
      <c r="I1366" t="n">
        <v>0</v>
      </c>
      <c r="J1366" t="inlineStr">
        <is>
          <t>NA</t>
        </is>
      </c>
      <c r="K1366" t="n">
        <v>98.09999999999999</v>
      </c>
    </row>
    <row r="1367">
      <c r="A1367" t="inlineStr">
        <is>
          <t>SIMULATED Food Waste Remote Study</t>
        </is>
      </c>
      <c r="B1367" t="inlineStr">
        <is>
          <t>RESP0196</t>
        </is>
      </c>
      <c r="C1367" t="inlineStr">
        <is>
          <t>Stimulus</t>
        </is>
      </c>
      <c r="D1367" t="inlineStr">
        <is>
          <t>foodwaste_visual</t>
        </is>
      </c>
      <c r="E1367" t="n">
        <v>62</v>
      </c>
      <c r="F1367" t="inlineStr">
        <is>
          <t>Engagement</t>
        </is>
      </c>
      <c r="G1367" t="n">
        <v>50</v>
      </c>
      <c r="H1367" t="n">
        <v>72.53</v>
      </c>
      <c r="I1367" t="n">
        <v>10</v>
      </c>
      <c r="J1367" t="inlineStr">
        <is>
          <t>NA</t>
        </is>
      </c>
      <c r="K1367" t="n">
        <v>97</v>
      </c>
    </row>
    <row r="1368">
      <c r="A1368" t="inlineStr">
        <is>
          <t>SIMULATED Food Waste Remote Study</t>
        </is>
      </c>
      <c r="B1368" t="inlineStr">
        <is>
          <t>RESP0196</t>
        </is>
      </c>
      <c r="C1368" t="inlineStr">
        <is>
          <t>Stimulus</t>
        </is>
      </c>
      <c r="D1368" t="inlineStr">
        <is>
          <t>foodwaste_visual</t>
        </is>
      </c>
      <c r="E1368" t="n">
        <v>62</v>
      </c>
      <c r="F1368" t="inlineStr">
        <is>
          <t>Joy</t>
        </is>
      </c>
      <c r="G1368" t="n">
        <v>50</v>
      </c>
      <c r="H1368" t="n">
        <v>8.17</v>
      </c>
      <c r="I1368" t="n">
        <v>5</v>
      </c>
      <c r="J1368" t="inlineStr">
        <is>
          <t>NA</t>
        </is>
      </c>
      <c r="K1368" t="n">
        <v>97</v>
      </c>
    </row>
    <row r="1369">
      <c r="A1369" t="inlineStr">
        <is>
          <t>SIMULATED Food Waste Remote Study</t>
        </is>
      </c>
      <c r="B1369" t="inlineStr">
        <is>
          <t>RESP0196</t>
        </is>
      </c>
      <c r="C1369" t="inlineStr">
        <is>
          <t>Stimulus</t>
        </is>
      </c>
      <c r="D1369" t="inlineStr">
        <is>
          <t>foodwaste_visual</t>
        </is>
      </c>
      <c r="E1369" t="n">
        <v>62</v>
      </c>
      <c r="F1369" t="inlineStr">
        <is>
          <t>Brow Furrow</t>
        </is>
      </c>
      <c r="G1369" t="n">
        <v>50</v>
      </c>
      <c r="H1369" t="n">
        <v>7.1</v>
      </c>
      <c r="I1369" t="n">
        <v>5</v>
      </c>
      <c r="J1369" t="inlineStr">
        <is>
          <t>NA</t>
        </is>
      </c>
      <c r="K1369" t="n">
        <v>97</v>
      </c>
    </row>
    <row r="1370">
      <c r="A1370" t="inlineStr">
        <is>
          <t>SIMULATED Food Waste Remote Study</t>
        </is>
      </c>
      <c r="B1370" t="inlineStr">
        <is>
          <t>RESP0196</t>
        </is>
      </c>
      <c r="C1370" t="inlineStr">
        <is>
          <t>Stimulus</t>
        </is>
      </c>
      <c r="D1370" t="inlineStr">
        <is>
          <t>foodwaste_visual</t>
        </is>
      </c>
      <c r="E1370" t="n">
        <v>62</v>
      </c>
      <c r="F1370" t="inlineStr">
        <is>
          <t>Positive Valence</t>
        </is>
      </c>
      <c r="G1370" t="n">
        <v>50</v>
      </c>
      <c r="H1370" t="n">
        <v>0</v>
      </c>
      <c r="I1370" t="n">
        <v>0</v>
      </c>
      <c r="J1370" t="inlineStr">
        <is>
          <t>NA</t>
        </is>
      </c>
      <c r="K1370" t="n">
        <v>97</v>
      </c>
    </row>
    <row r="1371">
      <c r="A1371" t="inlineStr">
        <is>
          <t>SIMULATED Food Waste Remote Study</t>
        </is>
      </c>
      <c r="B1371" t="inlineStr">
        <is>
          <t>RESP0196</t>
        </is>
      </c>
      <c r="C1371" t="inlineStr">
        <is>
          <t>Stimulus</t>
        </is>
      </c>
      <c r="D1371" t="inlineStr">
        <is>
          <t>foodwaste_visual</t>
        </is>
      </c>
      <c r="E1371" t="n">
        <v>62</v>
      </c>
      <c r="F1371" t="inlineStr">
        <is>
          <t>Negative Valence</t>
        </is>
      </c>
      <c r="G1371" t="n">
        <v>-50</v>
      </c>
      <c r="H1371" t="n">
        <v>16.77</v>
      </c>
      <c r="I1371" t="n">
        <v>5</v>
      </c>
      <c r="J1371" t="inlineStr">
        <is>
          <t>NA</t>
        </is>
      </c>
      <c r="K1371" t="n">
        <v>97</v>
      </c>
    </row>
    <row r="1372">
      <c r="A1372" t="inlineStr">
        <is>
          <t>SIMULATED Food Waste Remote Study</t>
        </is>
      </c>
      <c r="B1372" t="inlineStr">
        <is>
          <t>RESP0197</t>
        </is>
      </c>
      <c r="C1372" t="inlineStr">
        <is>
          <t>Stimulus</t>
        </is>
      </c>
      <c r="D1372" t="inlineStr">
        <is>
          <t>foodwaste_narrative</t>
        </is>
      </c>
      <c r="E1372" t="n">
        <v>60</v>
      </c>
      <c r="F1372" t="inlineStr">
        <is>
          <t>Engagement</t>
        </is>
      </c>
      <c r="G1372" t="n">
        <v>50</v>
      </c>
      <c r="H1372" t="n">
        <v>38.56</v>
      </c>
      <c r="I1372" t="n">
        <v>7</v>
      </c>
      <c r="J1372" t="inlineStr">
        <is>
          <t>NA</t>
        </is>
      </c>
      <c r="K1372" t="n">
        <v>94</v>
      </c>
    </row>
    <row r="1373">
      <c r="A1373" t="inlineStr">
        <is>
          <t>SIMULATED Food Waste Remote Study</t>
        </is>
      </c>
      <c r="B1373" t="inlineStr">
        <is>
          <t>RESP0197</t>
        </is>
      </c>
      <c r="C1373" t="inlineStr">
        <is>
          <t>Stimulus</t>
        </is>
      </c>
      <c r="D1373" t="inlineStr">
        <is>
          <t>foodwaste_narrative</t>
        </is>
      </c>
      <c r="E1373" t="n">
        <v>60</v>
      </c>
      <c r="F1373" t="inlineStr">
        <is>
          <t>Joy</t>
        </is>
      </c>
      <c r="G1373" t="n">
        <v>50</v>
      </c>
      <c r="H1373" t="n">
        <v>3.28</v>
      </c>
      <c r="I1373" t="n">
        <v>1</v>
      </c>
      <c r="J1373" t="inlineStr">
        <is>
          <t>NA</t>
        </is>
      </c>
      <c r="K1373" t="n">
        <v>94</v>
      </c>
    </row>
    <row r="1374">
      <c r="A1374" t="inlineStr">
        <is>
          <t>SIMULATED Food Waste Remote Study</t>
        </is>
      </c>
      <c r="B1374" t="inlineStr">
        <is>
          <t>RESP0197</t>
        </is>
      </c>
      <c r="C1374" t="inlineStr">
        <is>
          <t>Stimulus</t>
        </is>
      </c>
      <c r="D1374" t="inlineStr">
        <is>
          <t>foodwaste_narrative</t>
        </is>
      </c>
      <c r="E1374" t="n">
        <v>60</v>
      </c>
      <c r="F1374" t="inlineStr">
        <is>
          <t>Brow Furrow</t>
        </is>
      </c>
      <c r="G1374" t="n">
        <v>50</v>
      </c>
      <c r="H1374" t="n">
        <v>1.78</v>
      </c>
      <c r="I1374" t="n">
        <v>1</v>
      </c>
      <c r="J1374" t="inlineStr">
        <is>
          <t>NA</t>
        </is>
      </c>
      <c r="K1374" t="n">
        <v>94</v>
      </c>
    </row>
    <row r="1375">
      <c r="A1375" t="inlineStr">
        <is>
          <t>SIMULATED Food Waste Remote Study</t>
        </is>
      </c>
      <c r="B1375" t="inlineStr">
        <is>
          <t>RESP0197</t>
        </is>
      </c>
      <c r="C1375" t="inlineStr">
        <is>
          <t>Stimulus</t>
        </is>
      </c>
      <c r="D1375" t="inlineStr">
        <is>
          <t>foodwaste_narrative</t>
        </is>
      </c>
      <c r="E1375" t="n">
        <v>60</v>
      </c>
      <c r="F1375" t="inlineStr">
        <is>
          <t>Positive Valence</t>
        </is>
      </c>
      <c r="G1375" t="n">
        <v>50</v>
      </c>
      <c r="H1375" t="n">
        <v>0</v>
      </c>
      <c r="I1375" t="n">
        <v>0</v>
      </c>
      <c r="J1375" t="inlineStr">
        <is>
          <t>NA</t>
        </is>
      </c>
      <c r="K1375" t="n">
        <v>94</v>
      </c>
    </row>
    <row r="1376">
      <c r="A1376" t="inlineStr">
        <is>
          <t>SIMULATED Food Waste Remote Study</t>
        </is>
      </c>
      <c r="B1376" t="inlineStr">
        <is>
          <t>RESP0197</t>
        </is>
      </c>
      <c r="C1376" t="inlineStr">
        <is>
          <t>Stimulus</t>
        </is>
      </c>
      <c r="D1376" t="inlineStr">
        <is>
          <t>foodwaste_narrative</t>
        </is>
      </c>
      <c r="E1376" t="n">
        <v>60</v>
      </c>
      <c r="F1376" t="inlineStr">
        <is>
          <t>Negative Valence</t>
        </is>
      </c>
      <c r="G1376" t="n">
        <v>-50</v>
      </c>
      <c r="H1376" t="n">
        <v>0</v>
      </c>
      <c r="I1376" t="n">
        <v>0</v>
      </c>
      <c r="J1376" t="inlineStr">
        <is>
          <t>NA</t>
        </is>
      </c>
      <c r="K1376" t="n">
        <v>94</v>
      </c>
    </row>
    <row r="1377">
      <c r="A1377" t="inlineStr">
        <is>
          <t>SIMULATED Food Waste Remote Study</t>
        </is>
      </c>
      <c r="B1377" t="inlineStr">
        <is>
          <t>RESP0197</t>
        </is>
      </c>
      <c r="C1377" t="inlineStr">
        <is>
          <t>Stimulus</t>
        </is>
      </c>
      <c r="D1377" t="inlineStr">
        <is>
          <t>foodwaste_visual</t>
        </is>
      </c>
      <c r="E1377" t="n">
        <v>62</v>
      </c>
      <c r="F1377" t="inlineStr">
        <is>
          <t>Engagement</t>
        </is>
      </c>
      <c r="G1377" t="n">
        <v>50</v>
      </c>
      <c r="H1377" t="n">
        <v>79.3</v>
      </c>
      <c r="I1377" t="n">
        <v>25</v>
      </c>
      <c r="J1377" t="inlineStr">
        <is>
          <t>NA</t>
        </is>
      </c>
      <c r="K1377" t="n">
        <v>97.8</v>
      </c>
    </row>
    <row r="1378">
      <c r="A1378" t="inlineStr">
        <is>
          <t>SIMULATED Food Waste Remote Study</t>
        </is>
      </c>
      <c r="B1378" t="inlineStr">
        <is>
          <t>RESP0197</t>
        </is>
      </c>
      <c r="C1378" t="inlineStr">
        <is>
          <t>Stimulus</t>
        </is>
      </c>
      <c r="D1378" t="inlineStr">
        <is>
          <t>foodwaste_visual</t>
        </is>
      </c>
      <c r="E1378" t="n">
        <v>62</v>
      </c>
      <c r="F1378" t="inlineStr">
        <is>
          <t>Joy</t>
        </is>
      </c>
      <c r="G1378" t="n">
        <v>50</v>
      </c>
      <c r="H1378" t="n">
        <v>0</v>
      </c>
      <c r="I1378" t="n">
        <v>0</v>
      </c>
      <c r="J1378" t="inlineStr">
        <is>
          <t>NA</t>
        </is>
      </c>
      <c r="K1378" t="n">
        <v>97.8</v>
      </c>
    </row>
    <row r="1379">
      <c r="A1379" t="inlineStr">
        <is>
          <t>SIMULATED Food Waste Remote Study</t>
        </is>
      </c>
      <c r="B1379" t="inlineStr">
        <is>
          <t>RESP0197</t>
        </is>
      </c>
      <c r="C1379" t="inlineStr">
        <is>
          <t>Stimulus</t>
        </is>
      </c>
      <c r="D1379" t="inlineStr">
        <is>
          <t>foodwaste_visual</t>
        </is>
      </c>
      <c r="E1379" t="n">
        <v>62</v>
      </c>
      <c r="F1379" t="inlineStr">
        <is>
          <t>Brow Furrow</t>
        </is>
      </c>
      <c r="G1379" t="n">
        <v>50</v>
      </c>
      <c r="H1379" t="n">
        <v>8.76</v>
      </c>
      <c r="I1379" t="n">
        <v>3</v>
      </c>
      <c r="J1379" t="inlineStr">
        <is>
          <t>NA</t>
        </is>
      </c>
      <c r="K1379" t="n">
        <v>97.8</v>
      </c>
    </row>
    <row r="1380">
      <c r="A1380" t="inlineStr">
        <is>
          <t>SIMULATED Food Waste Remote Study</t>
        </is>
      </c>
      <c r="B1380" t="inlineStr">
        <is>
          <t>RESP0197</t>
        </is>
      </c>
      <c r="C1380" t="inlineStr">
        <is>
          <t>Stimulus</t>
        </is>
      </c>
      <c r="D1380" t="inlineStr">
        <is>
          <t>foodwaste_visual</t>
        </is>
      </c>
      <c r="E1380" t="n">
        <v>62</v>
      </c>
      <c r="F1380" t="inlineStr">
        <is>
          <t>Positive Valence</t>
        </is>
      </c>
      <c r="G1380" t="n">
        <v>50</v>
      </c>
      <c r="H1380" t="n">
        <v>1.94</v>
      </c>
      <c r="I1380" t="n">
        <v>1</v>
      </c>
      <c r="J1380" t="inlineStr">
        <is>
          <t>NA</t>
        </is>
      </c>
      <c r="K1380" t="n">
        <v>97.8</v>
      </c>
    </row>
    <row r="1381">
      <c r="A1381" t="inlineStr">
        <is>
          <t>SIMULATED Food Waste Remote Study</t>
        </is>
      </c>
      <c r="B1381" t="inlineStr">
        <is>
          <t>RESP0197</t>
        </is>
      </c>
      <c r="C1381" t="inlineStr">
        <is>
          <t>Stimulus</t>
        </is>
      </c>
      <c r="D1381" t="inlineStr">
        <is>
          <t>foodwaste_visual</t>
        </is>
      </c>
      <c r="E1381" t="n">
        <v>62</v>
      </c>
      <c r="F1381" t="inlineStr">
        <is>
          <t>Negative Valence</t>
        </is>
      </c>
      <c r="G1381" t="n">
        <v>-50</v>
      </c>
      <c r="H1381" t="n">
        <v>41.08</v>
      </c>
      <c r="I1381" t="n">
        <v>9</v>
      </c>
      <c r="J1381" t="inlineStr">
        <is>
          <t>NA</t>
        </is>
      </c>
      <c r="K1381" t="n">
        <v>97.8</v>
      </c>
    </row>
    <row r="1382">
      <c r="A1382" t="inlineStr">
        <is>
          <t>SIMULATED Food Waste Remote Study</t>
        </is>
      </c>
      <c r="B1382" t="inlineStr">
        <is>
          <t>RESP0198</t>
        </is>
      </c>
      <c r="C1382" t="inlineStr">
        <is>
          <t>Stimulus</t>
        </is>
      </c>
      <c r="D1382" t="inlineStr">
        <is>
          <t>foodwaste_narrative</t>
        </is>
      </c>
      <c r="E1382" t="n">
        <v>60</v>
      </c>
      <c r="F1382" t="inlineStr">
        <is>
          <t>Engagement</t>
        </is>
      </c>
      <c r="G1382" t="n">
        <v>50</v>
      </c>
      <c r="H1382" t="n">
        <v>13.5</v>
      </c>
      <c r="I1382" t="n">
        <v>4</v>
      </c>
      <c r="J1382" t="inlineStr">
        <is>
          <t>NA</t>
        </is>
      </c>
      <c r="K1382" t="n">
        <v>99.40000000000001</v>
      </c>
    </row>
    <row r="1383">
      <c r="A1383" t="inlineStr">
        <is>
          <t>SIMULATED Food Waste Remote Study</t>
        </is>
      </c>
      <c r="B1383" t="inlineStr">
        <is>
          <t>RESP0198</t>
        </is>
      </c>
      <c r="C1383" t="inlineStr">
        <is>
          <t>Stimulus</t>
        </is>
      </c>
      <c r="D1383" t="inlineStr">
        <is>
          <t>foodwaste_narrative</t>
        </is>
      </c>
      <c r="E1383" t="n">
        <v>60</v>
      </c>
      <c r="F1383" t="inlineStr">
        <is>
          <t>Joy</t>
        </is>
      </c>
      <c r="G1383" t="n">
        <v>50</v>
      </c>
      <c r="H1383" t="n">
        <v>0</v>
      </c>
      <c r="I1383" t="n">
        <v>0</v>
      </c>
      <c r="J1383" t="inlineStr">
        <is>
          <t>NA</t>
        </is>
      </c>
      <c r="K1383" t="n">
        <v>99.40000000000001</v>
      </c>
    </row>
    <row r="1384">
      <c r="A1384" t="inlineStr">
        <is>
          <t>SIMULATED Food Waste Remote Study</t>
        </is>
      </c>
      <c r="B1384" t="inlineStr">
        <is>
          <t>RESP0198</t>
        </is>
      </c>
      <c r="C1384" t="inlineStr">
        <is>
          <t>Stimulus</t>
        </is>
      </c>
      <c r="D1384" t="inlineStr">
        <is>
          <t>foodwaste_narrative</t>
        </is>
      </c>
      <c r="E1384" t="n">
        <v>60</v>
      </c>
      <c r="F1384" t="inlineStr">
        <is>
          <t>Brow Furrow</t>
        </is>
      </c>
      <c r="G1384" t="n">
        <v>50</v>
      </c>
      <c r="H1384" t="n">
        <v>17.11</v>
      </c>
      <c r="I1384" t="n">
        <v>4</v>
      </c>
      <c r="J1384" t="inlineStr">
        <is>
          <t>NA</t>
        </is>
      </c>
      <c r="K1384" t="n">
        <v>99.40000000000001</v>
      </c>
    </row>
    <row r="1385">
      <c r="A1385" t="inlineStr">
        <is>
          <t>SIMULATED Food Waste Remote Study</t>
        </is>
      </c>
      <c r="B1385" t="inlineStr">
        <is>
          <t>RESP0198</t>
        </is>
      </c>
      <c r="C1385" t="inlineStr">
        <is>
          <t>Stimulus</t>
        </is>
      </c>
      <c r="D1385" t="inlineStr">
        <is>
          <t>foodwaste_narrative</t>
        </is>
      </c>
      <c r="E1385" t="n">
        <v>60</v>
      </c>
      <c r="F1385" t="inlineStr">
        <is>
          <t>Positive Valence</t>
        </is>
      </c>
      <c r="G1385" t="n">
        <v>50</v>
      </c>
      <c r="H1385" t="n">
        <v>0</v>
      </c>
      <c r="I1385" t="n">
        <v>0</v>
      </c>
      <c r="J1385" t="inlineStr">
        <is>
          <t>NA</t>
        </is>
      </c>
      <c r="K1385" t="n">
        <v>99.40000000000001</v>
      </c>
    </row>
    <row r="1386">
      <c r="A1386" t="inlineStr">
        <is>
          <t>SIMULATED Food Waste Remote Study</t>
        </is>
      </c>
      <c r="B1386" t="inlineStr">
        <is>
          <t>RESP0198</t>
        </is>
      </c>
      <c r="C1386" t="inlineStr">
        <is>
          <t>Stimulus</t>
        </is>
      </c>
      <c r="D1386" t="inlineStr">
        <is>
          <t>foodwaste_narrative</t>
        </is>
      </c>
      <c r="E1386" t="n">
        <v>60</v>
      </c>
      <c r="F1386" t="inlineStr">
        <is>
          <t>Negative Valence</t>
        </is>
      </c>
      <c r="G1386" t="n">
        <v>-50</v>
      </c>
      <c r="H1386" t="n">
        <v>0</v>
      </c>
      <c r="I1386" t="n">
        <v>0</v>
      </c>
      <c r="J1386" t="inlineStr">
        <is>
          <t>NA</t>
        </is>
      </c>
      <c r="K1386" t="n">
        <v>99.40000000000001</v>
      </c>
    </row>
    <row r="1387">
      <c r="A1387" t="inlineStr">
        <is>
          <t>SIMULATED Food Waste Remote Study</t>
        </is>
      </c>
      <c r="B1387" t="inlineStr">
        <is>
          <t>RESP0198</t>
        </is>
      </c>
      <c r="C1387" t="inlineStr">
        <is>
          <t>Stimulus</t>
        </is>
      </c>
      <c r="D1387" t="inlineStr">
        <is>
          <t>foodwaste_visual</t>
        </is>
      </c>
      <c r="E1387" t="n">
        <v>62</v>
      </c>
      <c r="F1387" t="inlineStr">
        <is>
          <t>Engagement</t>
        </is>
      </c>
      <c r="G1387" t="n">
        <v>50</v>
      </c>
      <c r="H1387" t="n">
        <v>92.09999999999999</v>
      </c>
      <c r="I1387" t="n">
        <v>14</v>
      </c>
      <c r="J1387" t="inlineStr">
        <is>
          <t>NA</t>
        </is>
      </c>
      <c r="K1387" t="n">
        <v>99.59999999999999</v>
      </c>
    </row>
    <row r="1388">
      <c r="A1388" t="inlineStr">
        <is>
          <t>SIMULATED Food Waste Remote Study</t>
        </is>
      </c>
      <c r="B1388" t="inlineStr">
        <is>
          <t>RESP0198</t>
        </is>
      </c>
      <c r="C1388" t="inlineStr">
        <is>
          <t>Stimulus</t>
        </is>
      </c>
      <c r="D1388" t="inlineStr">
        <is>
          <t>foodwaste_visual</t>
        </is>
      </c>
      <c r="E1388" t="n">
        <v>62</v>
      </c>
      <c r="F1388" t="inlineStr">
        <is>
          <t>Joy</t>
        </is>
      </c>
      <c r="G1388" t="n">
        <v>50</v>
      </c>
      <c r="H1388" t="n">
        <v>2.63</v>
      </c>
      <c r="I1388" t="n">
        <v>3</v>
      </c>
      <c r="J1388" t="inlineStr">
        <is>
          <t>NA</t>
        </is>
      </c>
      <c r="K1388" t="n">
        <v>99.59999999999999</v>
      </c>
    </row>
    <row r="1389">
      <c r="A1389" t="inlineStr">
        <is>
          <t>SIMULATED Food Waste Remote Study</t>
        </is>
      </c>
      <c r="B1389" t="inlineStr">
        <is>
          <t>RESP0198</t>
        </is>
      </c>
      <c r="C1389" t="inlineStr">
        <is>
          <t>Stimulus</t>
        </is>
      </c>
      <c r="D1389" t="inlineStr">
        <is>
          <t>foodwaste_visual</t>
        </is>
      </c>
      <c r="E1389" t="n">
        <v>62</v>
      </c>
      <c r="F1389" t="inlineStr">
        <is>
          <t>Brow Furrow</t>
        </is>
      </c>
      <c r="G1389" t="n">
        <v>50</v>
      </c>
      <c r="H1389" t="n">
        <v>36.08</v>
      </c>
      <c r="I1389" t="n">
        <v>14</v>
      </c>
      <c r="J1389" t="inlineStr">
        <is>
          <t>NA</t>
        </is>
      </c>
      <c r="K1389" t="n">
        <v>99.59999999999999</v>
      </c>
    </row>
    <row r="1390">
      <c r="A1390" t="inlineStr">
        <is>
          <t>SIMULATED Food Waste Remote Study</t>
        </is>
      </c>
      <c r="B1390" t="inlineStr">
        <is>
          <t>RESP0198</t>
        </is>
      </c>
      <c r="C1390" t="inlineStr">
        <is>
          <t>Stimulus</t>
        </is>
      </c>
      <c r="D1390" t="inlineStr">
        <is>
          <t>foodwaste_visual</t>
        </is>
      </c>
      <c r="E1390" t="n">
        <v>62</v>
      </c>
      <c r="F1390" t="inlineStr">
        <is>
          <t>Positive Valence</t>
        </is>
      </c>
      <c r="G1390" t="n">
        <v>50</v>
      </c>
      <c r="H1390" t="n">
        <v>0</v>
      </c>
      <c r="I1390" t="n">
        <v>0</v>
      </c>
      <c r="J1390" t="inlineStr">
        <is>
          <t>NA</t>
        </is>
      </c>
      <c r="K1390" t="n">
        <v>99.59999999999999</v>
      </c>
    </row>
    <row r="1391">
      <c r="A1391" t="inlineStr">
        <is>
          <t>SIMULATED Food Waste Remote Study</t>
        </is>
      </c>
      <c r="B1391" t="inlineStr">
        <is>
          <t>RESP0198</t>
        </is>
      </c>
      <c r="C1391" t="inlineStr">
        <is>
          <t>Stimulus</t>
        </is>
      </c>
      <c r="D1391" t="inlineStr">
        <is>
          <t>foodwaste_visual</t>
        </is>
      </c>
      <c r="E1391" t="n">
        <v>62</v>
      </c>
      <c r="F1391" t="inlineStr">
        <is>
          <t>Negative Valence</t>
        </is>
      </c>
      <c r="G1391" t="n">
        <v>-50</v>
      </c>
      <c r="H1391" t="n">
        <v>5.7</v>
      </c>
      <c r="I1391" t="n">
        <v>1</v>
      </c>
      <c r="J1391" t="inlineStr">
        <is>
          <t>NA</t>
        </is>
      </c>
      <c r="K1391" t="n">
        <v>99.59999999999999</v>
      </c>
    </row>
    <row r="1392">
      <c r="A1392" t="inlineStr">
        <is>
          <t>SIMULATED Food Waste Remote Study</t>
        </is>
      </c>
      <c r="B1392" t="inlineStr">
        <is>
          <t>RESP0199</t>
        </is>
      </c>
      <c r="C1392" t="inlineStr">
        <is>
          <t>Stimulus</t>
        </is>
      </c>
      <c r="D1392" t="inlineStr">
        <is>
          <t>foodwaste_narrative</t>
        </is>
      </c>
      <c r="E1392" t="n">
        <v>60</v>
      </c>
      <c r="F1392" t="inlineStr">
        <is>
          <t>Engagement</t>
        </is>
      </c>
      <c r="G1392" t="n">
        <v>50</v>
      </c>
      <c r="H1392" t="n">
        <v>31.17</v>
      </c>
      <c r="I1392" t="n">
        <v>7</v>
      </c>
      <c r="J1392" t="inlineStr">
        <is>
          <t>NA</t>
        </is>
      </c>
      <c r="K1392" t="n">
        <v>99.7</v>
      </c>
    </row>
    <row r="1393">
      <c r="A1393" t="inlineStr">
        <is>
          <t>SIMULATED Food Waste Remote Study</t>
        </is>
      </c>
      <c r="B1393" t="inlineStr">
        <is>
          <t>RESP0199</t>
        </is>
      </c>
      <c r="C1393" t="inlineStr">
        <is>
          <t>Stimulus</t>
        </is>
      </c>
      <c r="D1393" t="inlineStr">
        <is>
          <t>foodwaste_narrative</t>
        </is>
      </c>
      <c r="E1393" t="n">
        <v>60</v>
      </c>
      <c r="F1393" t="inlineStr">
        <is>
          <t>Joy</t>
        </is>
      </c>
      <c r="G1393" t="n">
        <v>50</v>
      </c>
      <c r="H1393" t="n">
        <v>0</v>
      </c>
      <c r="I1393" t="n">
        <v>0</v>
      </c>
      <c r="J1393" t="inlineStr">
        <is>
          <t>NA</t>
        </is>
      </c>
      <c r="K1393" t="n">
        <v>99.7</v>
      </c>
    </row>
    <row r="1394">
      <c r="A1394" t="inlineStr">
        <is>
          <t>SIMULATED Food Waste Remote Study</t>
        </is>
      </c>
      <c r="B1394" t="inlineStr">
        <is>
          <t>RESP0199</t>
        </is>
      </c>
      <c r="C1394" t="inlineStr">
        <is>
          <t>Stimulus</t>
        </is>
      </c>
      <c r="D1394" t="inlineStr">
        <is>
          <t>foodwaste_narrative</t>
        </is>
      </c>
      <c r="E1394" t="n">
        <v>60</v>
      </c>
      <c r="F1394" t="inlineStr">
        <is>
          <t>Brow Furrow</t>
        </is>
      </c>
      <c r="G1394" t="n">
        <v>50</v>
      </c>
      <c r="H1394" t="n">
        <v>4.06</v>
      </c>
      <c r="I1394" t="n">
        <v>2</v>
      </c>
      <c r="J1394" t="inlineStr">
        <is>
          <t>NA</t>
        </is>
      </c>
      <c r="K1394" t="n">
        <v>99.7</v>
      </c>
    </row>
    <row r="1395">
      <c r="A1395" t="inlineStr">
        <is>
          <t>SIMULATED Food Waste Remote Study</t>
        </is>
      </c>
      <c r="B1395" t="inlineStr">
        <is>
          <t>RESP0199</t>
        </is>
      </c>
      <c r="C1395" t="inlineStr">
        <is>
          <t>Stimulus</t>
        </is>
      </c>
      <c r="D1395" t="inlineStr">
        <is>
          <t>foodwaste_narrative</t>
        </is>
      </c>
      <c r="E1395" t="n">
        <v>60</v>
      </c>
      <c r="F1395" t="inlineStr">
        <is>
          <t>Positive Valence</t>
        </is>
      </c>
      <c r="G1395" t="n">
        <v>50</v>
      </c>
      <c r="H1395" t="n">
        <v>0</v>
      </c>
      <c r="I1395" t="n">
        <v>0</v>
      </c>
      <c r="J1395" t="inlineStr">
        <is>
          <t>NA</t>
        </is>
      </c>
      <c r="K1395" t="n">
        <v>99.7</v>
      </c>
    </row>
    <row r="1396">
      <c r="A1396" t="inlineStr">
        <is>
          <t>SIMULATED Food Waste Remote Study</t>
        </is>
      </c>
      <c r="B1396" t="inlineStr">
        <is>
          <t>RESP0199</t>
        </is>
      </c>
      <c r="C1396" t="inlineStr">
        <is>
          <t>Stimulus</t>
        </is>
      </c>
      <c r="D1396" t="inlineStr">
        <is>
          <t>foodwaste_narrative</t>
        </is>
      </c>
      <c r="E1396" t="n">
        <v>60</v>
      </c>
      <c r="F1396" t="inlineStr">
        <is>
          <t>Negative Valence</t>
        </is>
      </c>
      <c r="G1396" t="n">
        <v>-50</v>
      </c>
      <c r="H1396" t="n">
        <v>4.28</v>
      </c>
      <c r="I1396" t="n">
        <v>2</v>
      </c>
      <c r="J1396" t="inlineStr">
        <is>
          <t>NA</t>
        </is>
      </c>
      <c r="K1396" t="n">
        <v>99.7</v>
      </c>
    </row>
    <row r="1397">
      <c r="A1397" t="inlineStr">
        <is>
          <t>SIMULATED Food Waste Remote Study</t>
        </is>
      </c>
      <c r="B1397" t="inlineStr">
        <is>
          <t>RESP0199</t>
        </is>
      </c>
      <c r="C1397" t="inlineStr">
        <is>
          <t>Stimulus</t>
        </is>
      </c>
      <c r="D1397" t="inlineStr">
        <is>
          <t>foodwaste_visual</t>
        </is>
      </c>
      <c r="E1397" t="n">
        <v>62</v>
      </c>
      <c r="F1397" t="inlineStr">
        <is>
          <t>Engagement</t>
        </is>
      </c>
      <c r="G1397" t="n">
        <v>50</v>
      </c>
      <c r="H1397" t="n">
        <v>68.76000000000001</v>
      </c>
      <c r="I1397" t="n">
        <v>16</v>
      </c>
      <c r="J1397" t="inlineStr">
        <is>
          <t>NA</t>
        </is>
      </c>
      <c r="K1397" t="n">
        <v>99.5</v>
      </c>
    </row>
    <row r="1398">
      <c r="A1398" t="inlineStr">
        <is>
          <t>SIMULATED Food Waste Remote Study</t>
        </is>
      </c>
      <c r="B1398" t="inlineStr">
        <is>
          <t>RESP0199</t>
        </is>
      </c>
      <c r="C1398" t="inlineStr">
        <is>
          <t>Stimulus</t>
        </is>
      </c>
      <c r="D1398" t="inlineStr">
        <is>
          <t>foodwaste_visual</t>
        </is>
      </c>
      <c r="E1398" t="n">
        <v>62</v>
      </c>
      <c r="F1398" t="inlineStr">
        <is>
          <t>Joy</t>
        </is>
      </c>
      <c r="G1398" t="n">
        <v>50</v>
      </c>
      <c r="H1398" t="n">
        <v>7.96</v>
      </c>
      <c r="I1398" t="n">
        <v>3</v>
      </c>
      <c r="J1398" t="inlineStr">
        <is>
          <t>NA</t>
        </is>
      </c>
      <c r="K1398" t="n">
        <v>99.5</v>
      </c>
    </row>
    <row r="1399">
      <c r="A1399" t="inlineStr">
        <is>
          <t>SIMULATED Food Waste Remote Study</t>
        </is>
      </c>
      <c r="B1399" t="inlineStr">
        <is>
          <t>RESP0199</t>
        </is>
      </c>
      <c r="C1399" t="inlineStr">
        <is>
          <t>Stimulus</t>
        </is>
      </c>
      <c r="D1399" t="inlineStr">
        <is>
          <t>foodwaste_visual</t>
        </is>
      </c>
      <c r="E1399" t="n">
        <v>62</v>
      </c>
      <c r="F1399" t="inlineStr">
        <is>
          <t>Brow Furrow</t>
        </is>
      </c>
      <c r="G1399" t="n">
        <v>50</v>
      </c>
      <c r="H1399" t="n">
        <v>20.27</v>
      </c>
      <c r="I1399" t="n">
        <v>5</v>
      </c>
      <c r="J1399" t="inlineStr">
        <is>
          <t>NA</t>
        </is>
      </c>
      <c r="K1399" t="n">
        <v>99.5</v>
      </c>
    </row>
    <row r="1400">
      <c r="A1400" t="inlineStr">
        <is>
          <t>SIMULATED Food Waste Remote Study</t>
        </is>
      </c>
      <c r="B1400" t="inlineStr">
        <is>
          <t>RESP0199</t>
        </is>
      </c>
      <c r="C1400" t="inlineStr">
        <is>
          <t>Stimulus</t>
        </is>
      </c>
      <c r="D1400" t="inlineStr">
        <is>
          <t>foodwaste_visual</t>
        </is>
      </c>
      <c r="E1400" t="n">
        <v>62</v>
      </c>
      <c r="F1400" t="inlineStr">
        <is>
          <t>Positive Valence</t>
        </is>
      </c>
      <c r="G1400" t="n">
        <v>50</v>
      </c>
      <c r="H1400" t="n">
        <v>12.04</v>
      </c>
      <c r="I1400" t="n">
        <v>7</v>
      </c>
      <c r="J1400" t="inlineStr">
        <is>
          <t>NA</t>
        </is>
      </c>
      <c r="K1400" t="n">
        <v>99.5</v>
      </c>
    </row>
    <row r="1401">
      <c r="A1401" t="inlineStr">
        <is>
          <t>SIMULATED Food Waste Remote Study</t>
        </is>
      </c>
      <c r="B1401" t="inlineStr">
        <is>
          <t>RESP0199</t>
        </is>
      </c>
      <c r="C1401" t="inlineStr">
        <is>
          <t>Stimulus</t>
        </is>
      </c>
      <c r="D1401" t="inlineStr">
        <is>
          <t>foodwaste_visual</t>
        </is>
      </c>
      <c r="E1401" t="n">
        <v>62</v>
      </c>
      <c r="F1401" t="inlineStr">
        <is>
          <t>Negative Valence</t>
        </is>
      </c>
      <c r="G1401" t="n">
        <v>-50</v>
      </c>
      <c r="H1401" t="n">
        <v>2.9</v>
      </c>
      <c r="I1401" t="n">
        <v>2</v>
      </c>
      <c r="J1401" t="inlineStr">
        <is>
          <t>NA</t>
        </is>
      </c>
      <c r="K1401" t="n">
        <v>99.5</v>
      </c>
    </row>
    <row r="1402">
      <c r="A1402" t="inlineStr">
        <is>
          <t>SIMULATED Food Waste Remote Study</t>
        </is>
      </c>
      <c r="B1402" t="inlineStr">
        <is>
          <t>RESP0201</t>
        </is>
      </c>
      <c r="C1402" t="inlineStr">
        <is>
          <t>Stimulus</t>
        </is>
      </c>
      <c r="D1402" t="inlineStr">
        <is>
          <t>foodwaste_narrative</t>
        </is>
      </c>
      <c r="E1402" t="n">
        <v>60</v>
      </c>
      <c r="F1402" t="inlineStr">
        <is>
          <t>Engagement</t>
        </is>
      </c>
      <c r="G1402" t="n">
        <v>50</v>
      </c>
      <c r="H1402" t="n">
        <v>22.33</v>
      </c>
      <c r="I1402" t="n">
        <v>8</v>
      </c>
      <c r="J1402" t="inlineStr">
        <is>
          <t>NA</t>
        </is>
      </c>
      <c r="K1402" t="n">
        <v>84.40000000000001</v>
      </c>
    </row>
    <row r="1403">
      <c r="A1403" t="inlineStr">
        <is>
          <t>SIMULATED Food Waste Remote Study</t>
        </is>
      </c>
      <c r="B1403" t="inlineStr">
        <is>
          <t>RESP0201</t>
        </is>
      </c>
      <c r="C1403" t="inlineStr">
        <is>
          <t>Stimulus</t>
        </is>
      </c>
      <c r="D1403" t="inlineStr">
        <is>
          <t>foodwaste_narrative</t>
        </is>
      </c>
      <c r="E1403" t="n">
        <v>60</v>
      </c>
      <c r="F1403" t="inlineStr">
        <is>
          <t>Joy</t>
        </is>
      </c>
      <c r="G1403" t="n">
        <v>50</v>
      </c>
      <c r="H1403" t="n">
        <v>0</v>
      </c>
      <c r="I1403" t="n">
        <v>0</v>
      </c>
      <c r="J1403" t="inlineStr">
        <is>
          <t>NA</t>
        </is>
      </c>
      <c r="K1403" t="n">
        <v>84.40000000000001</v>
      </c>
    </row>
    <row r="1404">
      <c r="A1404" t="inlineStr">
        <is>
          <t>SIMULATED Food Waste Remote Study</t>
        </is>
      </c>
      <c r="B1404" t="inlineStr">
        <is>
          <t>RESP0201</t>
        </is>
      </c>
      <c r="C1404" t="inlineStr">
        <is>
          <t>Stimulus</t>
        </is>
      </c>
      <c r="D1404" t="inlineStr">
        <is>
          <t>foodwaste_narrative</t>
        </is>
      </c>
      <c r="E1404" t="n">
        <v>60</v>
      </c>
      <c r="F1404" t="inlineStr">
        <is>
          <t>Brow Furrow</t>
        </is>
      </c>
      <c r="G1404" t="n">
        <v>50</v>
      </c>
      <c r="H1404" t="n">
        <v>0</v>
      </c>
      <c r="I1404" t="n">
        <v>0</v>
      </c>
      <c r="J1404" t="inlineStr">
        <is>
          <t>NA</t>
        </is>
      </c>
      <c r="K1404" t="n">
        <v>84.40000000000001</v>
      </c>
    </row>
    <row r="1405">
      <c r="A1405" t="inlineStr">
        <is>
          <t>SIMULATED Food Waste Remote Study</t>
        </is>
      </c>
      <c r="B1405" t="inlineStr">
        <is>
          <t>RESP0201</t>
        </is>
      </c>
      <c r="C1405" t="inlineStr">
        <is>
          <t>Stimulus</t>
        </is>
      </c>
      <c r="D1405" t="inlineStr">
        <is>
          <t>foodwaste_narrative</t>
        </is>
      </c>
      <c r="E1405" t="n">
        <v>60</v>
      </c>
      <c r="F1405" t="inlineStr">
        <is>
          <t>Positive Valence</t>
        </is>
      </c>
      <c r="G1405" t="n">
        <v>50</v>
      </c>
      <c r="H1405" t="n">
        <v>0</v>
      </c>
      <c r="I1405" t="n">
        <v>0</v>
      </c>
      <c r="J1405" t="inlineStr">
        <is>
          <t>NA</t>
        </is>
      </c>
      <c r="K1405" t="n">
        <v>84.40000000000001</v>
      </c>
    </row>
    <row r="1406">
      <c r="A1406" t="inlineStr">
        <is>
          <t>SIMULATED Food Waste Remote Study</t>
        </is>
      </c>
      <c r="B1406" t="inlineStr">
        <is>
          <t>RESP0201</t>
        </is>
      </c>
      <c r="C1406" t="inlineStr">
        <is>
          <t>Stimulus</t>
        </is>
      </c>
      <c r="D1406" t="inlineStr">
        <is>
          <t>foodwaste_narrative</t>
        </is>
      </c>
      <c r="E1406" t="n">
        <v>60</v>
      </c>
      <c r="F1406" t="inlineStr">
        <is>
          <t>Negative Valence</t>
        </is>
      </c>
      <c r="G1406" t="n">
        <v>-50</v>
      </c>
      <c r="H1406" t="n">
        <v>0</v>
      </c>
      <c r="I1406" t="n">
        <v>0</v>
      </c>
      <c r="J1406" t="inlineStr">
        <is>
          <t>NA</t>
        </is>
      </c>
      <c r="K1406" t="n">
        <v>84.40000000000001</v>
      </c>
    </row>
    <row r="1407">
      <c r="A1407" t="inlineStr">
        <is>
          <t>SIMULATED Food Waste Remote Study</t>
        </is>
      </c>
      <c r="B1407" t="inlineStr">
        <is>
          <t>RESP0201</t>
        </is>
      </c>
      <c r="C1407" t="inlineStr">
        <is>
          <t>Stimulus</t>
        </is>
      </c>
      <c r="D1407" t="inlineStr">
        <is>
          <t>foodwaste_visual</t>
        </is>
      </c>
      <c r="E1407" t="n">
        <v>62</v>
      </c>
      <c r="F1407" t="inlineStr">
        <is>
          <t>Engagement</t>
        </is>
      </c>
      <c r="G1407" t="n">
        <v>50</v>
      </c>
      <c r="H1407" t="n">
        <v>19.35</v>
      </c>
      <c r="I1407" t="n">
        <v>29</v>
      </c>
      <c r="J1407" t="inlineStr">
        <is>
          <t>NA</t>
        </is>
      </c>
      <c r="K1407" t="n">
        <v>81.59999999999999</v>
      </c>
    </row>
    <row r="1408">
      <c r="A1408" t="inlineStr">
        <is>
          <t>SIMULATED Food Waste Remote Study</t>
        </is>
      </c>
      <c r="B1408" t="inlineStr">
        <is>
          <t>RESP0201</t>
        </is>
      </c>
      <c r="C1408" t="inlineStr">
        <is>
          <t>Stimulus</t>
        </is>
      </c>
      <c r="D1408" t="inlineStr">
        <is>
          <t>foodwaste_visual</t>
        </is>
      </c>
      <c r="E1408" t="n">
        <v>62</v>
      </c>
      <c r="F1408" t="inlineStr">
        <is>
          <t>Joy</t>
        </is>
      </c>
      <c r="G1408" t="n">
        <v>50</v>
      </c>
      <c r="H1408" t="n">
        <v>0</v>
      </c>
      <c r="I1408" t="n">
        <v>0</v>
      </c>
      <c r="J1408" t="inlineStr">
        <is>
          <t>NA</t>
        </is>
      </c>
      <c r="K1408" t="n">
        <v>81.59999999999999</v>
      </c>
    </row>
    <row r="1409">
      <c r="A1409" t="inlineStr">
        <is>
          <t>SIMULATED Food Waste Remote Study</t>
        </is>
      </c>
      <c r="B1409" t="inlineStr">
        <is>
          <t>RESP0201</t>
        </is>
      </c>
      <c r="C1409" t="inlineStr">
        <is>
          <t>Stimulus</t>
        </is>
      </c>
      <c r="D1409" t="inlineStr">
        <is>
          <t>foodwaste_visual</t>
        </is>
      </c>
      <c r="E1409" t="n">
        <v>62</v>
      </c>
      <c r="F1409" t="inlineStr">
        <is>
          <t>Brow Furrow</t>
        </is>
      </c>
      <c r="G1409" t="n">
        <v>50</v>
      </c>
      <c r="H1409" t="n">
        <v>3.17</v>
      </c>
      <c r="I1409" t="n">
        <v>4</v>
      </c>
      <c r="J1409" t="inlineStr">
        <is>
          <t>NA</t>
        </is>
      </c>
      <c r="K1409" t="n">
        <v>81.59999999999999</v>
      </c>
    </row>
    <row r="1410">
      <c r="A1410" t="inlineStr">
        <is>
          <t>SIMULATED Food Waste Remote Study</t>
        </is>
      </c>
      <c r="B1410" t="inlineStr">
        <is>
          <t>RESP0201</t>
        </is>
      </c>
      <c r="C1410" t="inlineStr">
        <is>
          <t>Stimulus</t>
        </is>
      </c>
      <c r="D1410" t="inlineStr">
        <is>
          <t>foodwaste_visual</t>
        </is>
      </c>
      <c r="E1410" t="n">
        <v>62</v>
      </c>
      <c r="F1410" t="inlineStr">
        <is>
          <t>Positive Valence</t>
        </is>
      </c>
      <c r="G1410" t="n">
        <v>50</v>
      </c>
      <c r="H1410" t="n">
        <v>6.51</v>
      </c>
      <c r="I1410" t="n">
        <v>9</v>
      </c>
      <c r="J1410" t="inlineStr">
        <is>
          <t>NA</t>
        </is>
      </c>
      <c r="K1410" t="n">
        <v>81.59999999999999</v>
      </c>
    </row>
    <row r="1411">
      <c r="A1411" t="inlineStr">
        <is>
          <t>SIMULATED Food Waste Remote Study</t>
        </is>
      </c>
      <c r="B1411" t="inlineStr">
        <is>
          <t>RESP0201</t>
        </is>
      </c>
      <c r="C1411" t="inlineStr">
        <is>
          <t>Stimulus</t>
        </is>
      </c>
      <c r="D1411" t="inlineStr">
        <is>
          <t>foodwaste_visual</t>
        </is>
      </c>
      <c r="E1411" t="n">
        <v>62</v>
      </c>
      <c r="F1411" t="inlineStr">
        <is>
          <t>Negative Valence</t>
        </is>
      </c>
      <c r="G1411" t="n">
        <v>-50</v>
      </c>
      <c r="H1411" t="n">
        <v>8.66</v>
      </c>
      <c r="I1411" t="n">
        <v>10</v>
      </c>
      <c r="J1411" t="inlineStr">
        <is>
          <t>NA</t>
        </is>
      </c>
      <c r="K1411" t="n">
        <v>81.59999999999999</v>
      </c>
    </row>
    <row r="1412">
      <c r="A1412" t="inlineStr">
        <is>
          <t>SIMULATED Food Waste Remote Study</t>
        </is>
      </c>
      <c r="B1412" t="inlineStr">
        <is>
          <t>RESP0202</t>
        </is>
      </c>
      <c r="C1412" t="inlineStr">
        <is>
          <t>Stimulus</t>
        </is>
      </c>
      <c r="D1412" t="inlineStr">
        <is>
          <t>foodwaste_narrative</t>
        </is>
      </c>
      <c r="E1412" t="n">
        <v>60</v>
      </c>
      <c r="F1412" t="inlineStr">
        <is>
          <t>Engagement</t>
        </is>
      </c>
      <c r="G1412" t="n">
        <v>50</v>
      </c>
      <c r="H1412" t="n">
        <v>0</v>
      </c>
      <c r="I1412" t="n">
        <v>0</v>
      </c>
      <c r="J1412" t="inlineStr">
        <is>
          <t>NA</t>
        </is>
      </c>
      <c r="K1412" t="n">
        <v>81.2</v>
      </c>
    </row>
    <row r="1413">
      <c r="A1413" t="inlineStr">
        <is>
          <t>SIMULATED Food Waste Remote Study</t>
        </is>
      </c>
      <c r="B1413" t="inlineStr">
        <is>
          <t>RESP0202</t>
        </is>
      </c>
      <c r="C1413" t="inlineStr">
        <is>
          <t>Stimulus</t>
        </is>
      </c>
      <c r="D1413" t="inlineStr">
        <is>
          <t>foodwaste_narrative</t>
        </is>
      </c>
      <c r="E1413" t="n">
        <v>60</v>
      </c>
      <c r="F1413" t="inlineStr">
        <is>
          <t>Joy</t>
        </is>
      </c>
      <c r="G1413" t="n">
        <v>50</v>
      </c>
      <c r="H1413" t="n">
        <v>28</v>
      </c>
      <c r="I1413" t="n">
        <v>17</v>
      </c>
      <c r="J1413" t="inlineStr">
        <is>
          <t>NA</t>
        </is>
      </c>
      <c r="K1413" t="n">
        <v>81.2</v>
      </c>
    </row>
    <row r="1414">
      <c r="A1414" t="inlineStr">
        <is>
          <t>SIMULATED Food Waste Remote Study</t>
        </is>
      </c>
      <c r="B1414" t="inlineStr">
        <is>
          <t>RESP0202</t>
        </is>
      </c>
      <c r="C1414" t="inlineStr">
        <is>
          <t>Stimulus</t>
        </is>
      </c>
      <c r="D1414" t="inlineStr">
        <is>
          <t>foodwaste_narrative</t>
        </is>
      </c>
      <c r="E1414" t="n">
        <v>60</v>
      </c>
      <c r="F1414" t="inlineStr">
        <is>
          <t>Brow Furrow</t>
        </is>
      </c>
      <c r="G1414" t="n">
        <v>50</v>
      </c>
      <c r="H1414" t="n">
        <v>0</v>
      </c>
      <c r="I1414" t="n">
        <v>0</v>
      </c>
      <c r="J1414" t="inlineStr">
        <is>
          <t>NA</t>
        </is>
      </c>
      <c r="K1414" t="n">
        <v>81.2</v>
      </c>
    </row>
    <row r="1415">
      <c r="A1415" t="inlineStr">
        <is>
          <t>SIMULATED Food Waste Remote Study</t>
        </is>
      </c>
      <c r="B1415" t="inlineStr">
        <is>
          <t>RESP0202</t>
        </is>
      </c>
      <c r="C1415" t="inlineStr">
        <is>
          <t>Stimulus</t>
        </is>
      </c>
      <c r="D1415" t="inlineStr">
        <is>
          <t>foodwaste_narrative</t>
        </is>
      </c>
      <c r="E1415" t="n">
        <v>60</v>
      </c>
      <c r="F1415" t="inlineStr">
        <is>
          <t>Positive Valence</t>
        </is>
      </c>
      <c r="G1415" t="n">
        <v>50</v>
      </c>
      <c r="H1415" t="n">
        <v>2.67</v>
      </c>
      <c r="I1415" t="n">
        <v>1</v>
      </c>
      <c r="J1415" t="inlineStr">
        <is>
          <t>NA</t>
        </is>
      </c>
      <c r="K1415" t="n">
        <v>81.2</v>
      </c>
    </row>
    <row r="1416">
      <c r="A1416" t="inlineStr">
        <is>
          <t>SIMULATED Food Waste Remote Study</t>
        </is>
      </c>
      <c r="B1416" t="inlineStr">
        <is>
          <t>RESP0202</t>
        </is>
      </c>
      <c r="C1416" t="inlineStr">
        <is>
          <t>Stimulus</t>
        </is>
      </c>
      <c r="D1416" t="inlineStr">
        <is>
          <t>foodwaste_narrative</t>
        </is>
      </c>
      <c r="E1416" t="n">
        <v>60</v>
      </c>
      <c r="F1416" t="inlineStr">
        <is>
          <t>Negative Valence</t>
        </is>
      </c>
      <c r="G1416" t="n">
        <v>-50</v>
      </c>
      <c r="H1416" t="n">
        <v>0</v>
      </c>
      <c r="I1416" t="n">
        <v>0</v>
      </c>
      <c r="J1416" t="inlineStr">
        <is>
          <t>NA</t>
        </is>
      </c>
      <c r="K1416" t="n">
        <v>81.2</v>
      </c>
    </row>
    <row r="1417">
      <c r="A1417" t="inlineStr">
        <is>
          <t>SIMULATED Food Waste Remote Study</t>
        </is>
      </c>
      <c r="B1417" t="inlineStr">
        <is>
          <t>RESP0202</t>
        </is>
      </c>
      <c r="C1417" t="inlineStr">
        <is>
          <t>Stimulus</t>
        </is>
      </c>
      <c r="D1417" t="inlineStr">
        <is>
          <t>foodwaste_visual</t>
        </is>
      </c>
      <c r="E1417" t="n">
        <v>62</v>
      </c>
      <c r="F1417" t="inlineStr">
        <is>
          <t>Engagement</t>
        </is>
      </c>
      <c r="G1417" t="n">
        <v>50</v>
      </c>
      <c r="H1417" t="n">
        <v>67.58</v>
      </c>
      <c r="I1417" t="n">
        <v>20</v>
      </c>
      <c r="J1417" t="inlineStr">
        <is>
          <t>NA</t>
        </is>
      </c>
      <c r="K1417" t="n">
        <v>73.09999999999999</v>
      </c>
    </row>
    <row r="1418">
      <c r="A1418" t="inlineStr">
        <is>
          <t>SIMULATED Food Waste Remote Study</t>
        </is>
      </c>
      <c r="B1418" t="inlineStr">
        <is>
          <t>RESP0202</t>
        </is>
      </c>
      <c r="C1418" t="inlineStr">
        <is>
          <t>Stimulus</t>
        </is>
      </c>
      <c r="D1418" t="inlineStr">
        <is>
          <t>foodwaste_visual</t>
        </is>
      </c>
      <c r="E1418" t="n">
        <v>62</v>
      </c>
      <c r="F1418" t="inlineStr">
        <is>
          <t>Joy</t>
        </is>
      </c>
      <c r="G1418" t="n">
        <v>50</v>
      </c>
      <c r="H1418" t="n">
        <v>26.51</v>
      </c>
      <c r="I1418" t="n">
        <v>9</v>
      </c>
      <c r="J1418" t="inlineStr">
        <is>
          <t>NA</t>
        </is>
      </c>
      <c r="K1418" t="n">
        <v>73.09999999999999</v>
      </c>
    </row>
    <row r="1419">
      <c r="A1419" t="inlineStr">
        <is>
          <t>SIMULATED Food Waste Remote Study</t>
        </is>
      </c>
      <c r="B1419" t="inlineStr">
        <is>
          <t>RESP0202</t>
        </is>
      </c>
      <c r="C1419" t="inlineStr">
        <is>
          <t>Stimulus</t>
        </is>
      </c>
      <c r="D1419" t="inlineStr">
        <is>
          <t>foodwaste_visual</t>
        </is>
      </c>
      <c r="E1419" t="n">
        <v>62</v>
      </c>
      <c r="F1419" t="inlineStr">
        <is>
          <t>Brow Furrow</t>
        </is>
      </c>
      <c r="G1419" t="n">
        <v>50</v>
      </c>
      <c r="H1419" t="n">
        <v>2.2</v>
      </c>
      <c r="I1419" t="n">
        <v>2</v>
      </c>
      <c r="J1419" t="inlineStr">
        <is>
          <t>NA</t>
        </is>
      </c>
      <c r="K1419" t="n">
        <v>73.09999999999999</v>
      </c>
    </row>
    <row r="1420">
      <c r="A1420" t="inlineStr">
        <is>
          <t>SIMULATED Food Waste Remote Study</t>
        </is>
      </c>
      <c r="B1420" t="inlineStr">
        <is>
          <t>RESP0202</t>
        </is>
      </c>
      <c r="C1420" t="inlineStr">
        <is>
          <t>Stimulus</t>
        </is>
      </c>
      <c r="D1420" t="inlineStr">
        <is>
          <t>foodwaste_visual</t>
        </is>
      </c>
      <c r="E1420" t="n">
        <v>62</v>
      </c>
      <c r="F1420" t="inlineStr">
        <is>
          <t>Positive Valence</t>
        </is>
      </c>
      <c r="G1420" t="n">
        <v>50</v>
      </c>
      <c r="H1420" t="n">
        <v>0</v>
      </c>
      <c r="I1420" t="n">
        <v>0</v>
      </c>
      <c r="J1420" t="inlineStr">
        <is>
          <t>NA</t>
        </is>
      </c>
      <c r="K1420" t="n">
        <v>73.09999999999999</v>
      </c>
    </row>
    <row r="1421">
      <c r="A1421" t="inlineStr">
        <is>
          <t>SIMULATED Food Waste Remote Study</t>
        </is>
      </c>
      <c r="B1421" t="inlineStr">
        <is>
          <t>RESP0202</t>
        </is>
      </c>
      <c r="C1421" t="inlineStr">
        <is>
          <t>Stimulus</t>
        </is>
      </c>
      <c r="D1421" t="inlineStr">
        <is>
          <t>foodwaste_visual</t>
        </is>
      </c>
      <c r="E1421" t="n">
        <v>62</v>
      </c>
      <c r="F1421" t="inlineStr">
        <is>
          <t>Negative Valence</t>
        </is>
      </c>
      <c r="G1421" t="n">
        <v>-50</v>
      </c>
      <c r="H1421" t="n">
        <v>5.32</v>
      </c>
      <c r="I1421" t="n">
        <v>2</v>
      </c>
      <c r="J1421" t="inlineStr">
        <is>
          <t>NA</t>
        </is>
      </c>
      <c r="K1421" t="n">
        <v>73.09999999999999</v>
      </c>
    </row>
    <row r="1422">
      <c r="A1422" t="inlineStr">
        <is>
          <t>SIMULATED Food Waste Remote Study</t>
        </is>
      </c>
      <c r="B1422" t="inlineStr">
        <is>
          <t>RESP0203</t>
        </is>
      </c>
      <c r="C1422" t="inlineStr">
        <is>
          <t>Stimulus</t>
        </is>
      </c>
      <c r="D1422" t="inlineStr">
        <is>
          <t>foodwaste_narrative</t>
        </is>
      </c>
      <c r="E1422" t="n">
        <v>60</v>
      </c>
      <c r="F1422" t="inlineStr">
        <is>
          <t>Engagement</t>
        </is>
      </c>
      <c r="G1422" t="n">
        <v>50</v>
      </c>
      <c r="H1422" t="n">
        <v>38.67</v>
      </c>
      <c r="I1422" t="n">
        <v>9</v>
      </c>
      <c r="J1422" t="inlineStr">
        <is>
          <t>NA</t>
        </is>
      </c>
      <c r="K1422" t="n">
        <v>87.40000000000001</v>
      </c>
    </row>
    <row r="1423">
      <c r="A1423" t="inlineStr">
        <is>
          <t>SIMULATED Food Waste Remote Study</t>
        </is>
      </c>
      <c r="B1423" t="inlineStr">
        <is>
          <t>RESP0203</t>
        </is>
      </c>
      <c r="C1423" t="inlineStr">
        <is>
          <t>Stimulus</t>
        </is>
      </c>
      <c r="D1423" t="inlineStr">
        <is>
          <t>foodwaste_narrative</t>
        </is>
      </c>
      <c r="E1423" t="n">
        <v>60</v>
      </c>
      <c r="F1423" t="inlineStr">
        <is>
          <t>Joy</t>
        </is>
      </c>
      <c r="G1423" t="n">
        <v>50</v>
      </c>
      <c r="H1423" t="n">
        <v>0</v>
      </c>
      <c r="I1423" t="n">
        <v>0</v>
      </c>
      <c r="J1423" t="inlineStr">
        <is>
          <t>NA</t>
        </is>
      </c>
      <c r="K1423" t="n">
        <v>87.40000000000001</v>
      </c>
    </row>
    <row r="1424">
      <c r="A1424" t="inlineStr">
        <is>
          <t>SIMULATED Food Waste Remote Study</t>
        </is>
      </c>
      <c r="B1424" t="inlineStr">
        <is>
          <t>RESP0203</t>
        </is>
      </c>
      <c r="C1424" t="inlineStr">
        <is>
          <t>Stimulus</t>
        </is>
      </c>
      <c r="D1424" t="inlineStr">
        <is>
          <t>foodwaste_narrative</t>
        </is>
      </c>
      <c r="E1424" t="n">
        <v>60</v>
      </c>
      <c r="F1424" t="inlineStr">
        <is>
          <t>Brow Furrow</t>
        </is>
      </c>
      <c r="G1424" t="n">
        <v>50</v>
      </c>
      <c r="H1424" t="n">
        <v>0</v>
      </c>
      <c r="I1424" t="n">
        <v>0</v>
      </c>
      <c r="J1424" t="inlineStr">
        <is>
          <t>NA</t>
        </is>
      </c>
      <c r="K1424" t="n">
        <v>87.40000000000001</v>
      </c>
    </row>
    <row r="1425">
      <c r="A1425" t="inlineStr">
        <is>
          <t>SIMULATED Food Waste Remote Study</t>
        </is>
      </c>
      <c r="B1425" t="inlineStr">
        <is>
          <t>RESP0203</t>
        </is>
      </c>
      <c r="C1425" t="inlineStr">
        <is>
          <t>Stimulus</t>
        </is>
      </c>
      <c r="D1425" t="inlineStr">
        <is>
          <t>foodwaste_narrative</t>
        </is>
      </c>
      <c r="E1425" t="n">
        <v>60</v>
      </c>
      <c r="F1425" t="inlineStr">
        <is>
          <t>Positive Valence</t>
        </is>
      </c>
      <c r="G1425" t="n">
        <v>50</v>
      </c>
      <c r="H1425" t="n">
        <v>5.56</v>
      </c>
      <c r="I1425" t="n">
        <v>1</v>
      </c>
      <c r="J1425" t="inlineStr">
        <is>
          <t>NA</t>
        </is>
      </c>
      <c r="K1425" t="n">
        <v>87.40000000000001</v>
      </c>
    </row>
    <row r="1426">
      <c r="A1426" t="inlineStr">
        <is>
          <t>SIMULATED Food Waste Remote Study</t>
        </is>
      </c>
      <c r="B1426" t="inlineStr">
        <is>
          <t>RESP0203</t>
        </is>
      </c>
      <c r="C1426" t="inlineStr">
        <is>
          <t>Stimulus</t>
        </is>
      </c>
      <c r="D1426" t="inlineStr">
        <is>
          <t>foodwaste_narrative</t>
        </is>
      </c>
      <c r="E1426" t="n">
        <v>60</v>
      </c>
      <c r="F1426" t="inlineStr">
        <is>
          <t>Negative Valence</t>
        </is>
      </c>
      <c r="G1426" t="n">
        <v>-50</v>
      </c>
      <c r="H1426" t="n">
        <v>16.22</v>
      </c>
      <c r="I1426" t="n">
        <v>9</v>
      </c>
      <c r="J1426" t="inlineStr">
        <is>
          <t>NA</t>
        </is>
      </c>
      <c r="K1426" t="n">
        <v>87.40000000000001</v>
      </c>
    </row>
    <row r="1427">
      <c r="A1427" t="inlineStr">
        <is>
          <t>SIMULATED Food Waste Remote Study</t>
        </is>
      </c>
      <c r="B1427" t="inlineStr">
        <is>
          <t>RESP0203</t>
        </is>
      </c>
      <c r="C1427" t="inlineStr">
        <is>
          <t>Stimulus</t>
        </is>
      </c>
      <c r="D1427" t="inlineStr">
        <is>
          <t>foodwaste_visual</t>
        </is>
      </c>
      <c r="E1427" t="n">
        <v>62</v>
      </c>
      <c r="F1427" t="inlineStr">
        <is>
          <t>Engagement</t>
        </is>
      </c>
      <c r="G1427" t="n">
        <v>50</v>
      </c>
      <c r="H1427" t="n">
        <v>31.61</v>
      </c>
      <c r="I1427" t="n">
        <v>10</v>
      </c>
      <c r="J1427" t="inlineStr">
        <is>
          <t>NA</t>
        </is>
      </c>
      <c r="K1427" t="n">
        <v>84.8</v>
      </c>
    </row>
    <row r="1428">
      <c r="A1428" t="inlineStr">
        <is>
          <t>SIMULATED Food Waste Remote Study</t>
        </is>
      </c>
      <c r="B1428" t="inlineStr">
        <is>
          <t>RESP0203</t>
        </is>
      </c>
      <c r="C1428" t="inlineStr">
        <is>
          <t>Stimulus</t>
        </is>
      </c>
      <c r="D1428" t="inlineStr">
        <is>
          <t>foodwaste_visual</t>
        </is>
      </c>
      <c r="E1428" t="n">
        <v>62</v>
      </c>
      <c r="F1428" t="inlineStr">
        <is>
          <t>Joy</t>
        </is>
      </c>
      <c r="G1428" t="n">
        <v>50</v>
      </c>
      <c r="H1428" t="n">
        <v>2.1</v>
      </c>
      <c r="I1428" t="n">
        <v>2</v>
      </c>
      <c r="J1428" t="inlineStr">
        <is>
          <t>NA</t>
        </is>
      </c>
      <c r="K1428" t="n">
        <v>84.8</v>
      </c>
    </row>
    <row r="1429">
      <c r="A1429" t="inlineStr">
        <is>
          <t>SIMULATED Food Waste Remote Study</t>
        </is>
      </c>
      <c r="B1429" t="inlineStr">
        <is>
          <t>RESP0203</t>
        </is>
      </c>
      <c r="C1429" t="inlineStr">
        <is>
          <t>Stimulus</t>
        </is>
      </c>
      <c r="D1429" t="inlineStr">
        <is>
          <t>foodwaste_visual</t>
        </is>
      </c>
      <c r="E1429" t="n">
        <v>62</v>
      </c>
      <c r="F1429" t="inlineStr">
        <is>
          <t>Brow Furrow</t>
        </is>
      </c>
      <c r="G1429" t="n">
        <v>50</v>
      </c>
      <c r="H1429" t="n">
        <v>5.86</v>
      </c>
      <c r="I1429" t="n">
        <v>3</v>
      </c>
      <c r="J1429" t="inlineStr">
        <is>
          <t>NA</t>
        </is>
      </c>
      <c r="K1429" t="n">
        <v>84.8</v>
      </c>
    </row>
    <row r="1430">
      <c r="A1430" t="inlineStr">
        <is>
          <t>SIMULATED Food Waste Remote Study</t>
        </is>
      </c>
      <c r="B1430" t="inlineStr">
        <is>
          <t>RESP0203</t>
        </is>
      </c>
      <c r="C1430" t="inlineStr">
        <is>
          <t>Stimulus</t>
        </is>
      </c>
      <c r="D1430" t="inlineStr">
        <is>
          <t>foodwaste_visual</t>
        </is>
      </c>
      <c r="E1430" t="n">
        <v>62</v>
      </c>
      <c r="F1430" t="inlineStr">
        <is>
          <t>Positive Valence</t>
        </is>
      </c>
      <c r="G1430" t="n">
        <v>50</v>
      </c>
      <c r="H1430" t="n">
        <v>9.949999999999999</v>
      </c>
      <c r="I1430" t="n">
        <v>4</v>
      </c>
      <c r="J1430" t="inlineStr">
        <is>
          <t>NA</t>
        </is>
      </c>
      <c r="K1430" t="n">
        <v>84.8</v>
      </c>
    </row>
    <row r="1431">
      <c r="A1431" t="inlineStr">
        <is>
          <t>SIMULATED Food Waste Remote Study</t>
        </is>
      </c>
      <c r="B1431" t="inlineStr">
        <is>
          <t>RESP0203</t>
        </is>
      </c>
      <c r="C1431" t="inlineStr">
        <is>
          <t>Stimulus</t>
        </is>
      </c>
      <c r="D1431" t="inlineStr">
        <is>
          <t>foodwaste_visual</t>
        </is>
      </c>
      <c r="E1431" t="n">
        <v>62</v>
      </c>
      <c r="F1431" t="inlineStr">
        <is>
          <t>Negative Valence</t>
        </is>
      </c>
      <c r="G1431" t="n">
        <v>-50</v>
      </c>
      <c r="H1431" t="n">
        <v>37.47</v>
      </c>
      <c r="I1431" t="n">
        <v>18</v>
      </c>
      <c r="J1431" t="inlineStr">
        <is>
          <t>NA</t>
        </is>
      </c>
      <c r="K1431" t="n">
        <v>84.8</v>
      </c>
    </row>
    <row r="1432">
      <c r="A1432" t="inlineStr">
        <is>
          <t>SIMULATED Food Waste Remote Study</t>
        </is>
      </c>
      <c r="B1432" t="inlineStr">
        <is>
          <t>RESP0204</t>
        </is>
      </c>
      <c r="C1432" t="inlineStr">
        <is>
          <t>Stimulus</t>
        </is>
      </c>
      <c r="D1432" t="inlineStr">
        <is>
          <t>foodwaste_narrative</t>
        </is>
      </c>
      <c r="E1432" t="n">
        <v>60</v>
      </c>
      <c r="F1432" t="inlineStr">
        <is>
          <t>Engagement</t>
        </is>
      </c>
      <c r="G1432" t="n">
        <v>50</v>
      </c>
      <c r="H1432" t="n">
        <v>0.9399999999999999</v>
      </c>
      <c r="I1432" t="n">
        <v>1</v>
      </c>
      <c r="J1432" t="inlineStr">
        <is>
          <t>NA</t>
        </is>
      </c>
      <c r="K1432" t="n">
        <v>99.09999999999999</v>
      </c>
    </row>
    <row r="1433">
      <c r="A1433" t="inlineStr">
        <is>
          <t>SIMULATED Food Waste Remote Study</t>
        </is>
      </c>
      <c r="B1433" t="inlineStr">
        <is>
          <t>RESP0204</t>
        </is>
      </c>
      <c r="C1433" t="inlineStr">
        <is>
          <t>Stimulus</t>
        </is>
      </c>
      <c r="D1433" t="inlineStr">
        <is>
          <t>foodwaste_narrative</t>
        </is>
      </c>
      <c r="E1433" t="n">
        <v>60</v>
      </c>
      <c r="F1433" t="inlineStr">
        <is>
          <t>Joy</t>
        </is>
      </c>
      <c r="G1433" t="n">
        <v>50</v>
      </c>
      <c r="H1433" t="n">
        <v>8.94</v>
      </c>
      <c r="I1433" t="n">
        <v>2</v>
      </c>
      <c r="J1433" t="inlineStr">
        <is>
          <t>NA</t>
        </is>
      </c>
      <c r="K1433" t="n">
        <v>99.09999999999999</v>
      </c>
    </row>
    <row r="1434">
      <c r="A1434" t="inlineStr">
        <is>
          <t>SIMULATED Food Waste Remote Study</t>
        </is>
      </c>
      <c r="B1434" t="inlineStr">
        <is>
          <t>RESP0204</t>
        </is>
      </c>
      <c r="C1434" t="inlineStr">
        <is>
          <t>Stimulus</t>
        </is>
      </c>
      <c r="D1434" t="inlineStr">
        <is>
          <t>foodwaste_narrative</t>
        </is>
      </c>
      <c r="E1434" t="n">
        <v>60</v>
      </c>
      <c r="F1434" t="inlineStr">
        <is>
          <t>Brow Furrow</t>
        </is>
      </c>
      <c r="G1434" t="n">
        <v>50</v>
      </c>
      <c r="H1434" t="n">
        <v>0</v>
      </c>
      <c r="I1434" t="n">
        <v>0</v>
      </c>
      <c r="J1434" t="inlineStr">
        <is>
          <t>NA</t>
        </is>
      </c>
      <c r="K1434" t="n">
        <v>99.09999999999999</v>
      </c>
    </row>
    <row r="1435">
      <c r="A1435" t="inlineStr">
        <is>
          <t>SIMULATED Food Waste Remote Study</t>
        </is>
      </c>
      <c r="B1435" t="inlineStr">
        <is>
          <t>RESP0204</t>
        </is>
      </c>
      <c r="C1435" t="inlineStr">
        <is>
          <t>Stimulus</t>
        </is>
      </c>
      <c r="D1435" t="inlineStr">
        <is>
          <t>foodwaste_narrative</t>
        </is>
      </c>
      <c r="E1435" t="n">
        <v>60</v>
      </c>
      <c r="F1435" t="inlineStr">
        <is>
          <t>Positive Valence</t>
        </is>
      </c>
      <c r="G1435" t="n">
        <v>50</v>
      </c>
      <c r="H1435" t="n">
        <v>0</v>
      </c>
      <c r="I1435" t="n">
        <v>0</v>
      </c>
      <c r="J1435" t="inlineStr">
        <is>
          <t>NA</t>
        </is>
      </c>
      <c r="K1435" t="n">
        <v>99.09999999999999</v>
      </c>
    </row>
    <row r="1436">
      <c r="A1436" t="inlineStr">
        <is>
          <t>SIMULATED Food Waste Remote Study</t>
        </is>
      </c>
      <c r="B1436" t="inlineStr">
        <is>
          <t>RESP0204</t>
        </is>
      </c>
      <c r="C1436" t="inlineStr">
        <is>
          <t>Stimulus</t>
        </is>
      </c>
      <c r="D1436" t="inlineStr">
        <is>
          <t>foodwaste_narrative</t>
        </is>
      </c>
      <c r="E1436" t="n">
        <v>60</v>
      </c>
      <c r="F1436" t="inlineStr">
        <is>
          <t>Negative Valence</t>
        </is>
      </c>
      <c r="G1436" t="n">
        <v>-50</v>
      </c>
      <c r="H1436" t="n">
        <v>1.83</v>
      </c>
      <c r="I1436" t="n">
        <v>1</v>
      </c>
      <c r="J1436" t="inlineStr">
        <is>
          <t>NA</t>
        </is>
      </c>
      <c r="K1436" t="n">
        <v>99.09999999999999</v>
      </c>
    </row>
    <row r="1437">
      <c r="A1437" t="inlineStr">
        <is>
          <t>SIMULATED Food Waste Remote Study</t>
        </is>
      </c>
      <c r="B1437" t="inlineStr">
        <is>
          <t>RESP0204</t>
        </is>
      </c>
      <c r="C1437" t="inlineStr">
        <is>
          <t>Stimulus</t>
        </is>
      </c>
      <c r="D1437" t="inlineStr">
        <is>
          <t>foodwaste_visual</t>
        </is>
      </c>
      <c r="E1437" t="n">
        <v>62</v>
      </c>
      <c r="F1437" t="inlineStr">
        <is>
          <t>Engagement</t>
        </is>
      </c>
      <c r="G1437" t="n">
        <v>50</v>
      </c>
      <c r="H1437" t="n">
        <v>27.8</v>
      </c>
      <c r="I1437" t="n">
        <v>9</v>
      </c>
      <c r="J1437" t="inlineStr">
        <is>
          <t>NA</t>
        </is>
      </c>
      <c r="K1437" t="n">
        <v>98.90000000000001</v>
      </c>
    </row>
    <row r="1438">
      <c r="A1438" t="inlineStr">
        <is>
          <t>SIMULATED Food Waste Remote Study</t>
        </is>
      </c>
      <c r="B1438" t="inlineStr">
        <is>
          <t>RESP0204</t>
        </is>
      </c>
      <c r="C1438" t="inlineStr">
        <is>
          <t>Stimulus</t>
        </is>
      </c>
      <c r="D1438" t="inlineStr">
        <is>
          <t>foodwaste_visual</t>
        </is>
      </c>
      <c r="E1438" t="n">
        <v>62</v>
      </c>
      <c r="F1438" t="inlineStr">
        <is>
          <t>Joy</t>
        </is>
      </c>
      <c r="G1438" t="n">
        <v>50</v>
      </c>
      <c r="H1438" t="n">
        <v>3.92</v>
      </c>
      <c r="I1438" t="n">
        <v>6</v>
      </c>
      <c r="J1438" t="inlineStr">
        <is>
          <t>NA</t>
        </is>
      </c>
      <c r="K1438" t="n">
        <v>98.90000000000001</v>
      </c>
    </row>
    <row r="1439">
      <c r="A1439" t="inlineStr">
        <is>
          <t>SIMULATED Food Waste Remote Study</t>
        </is>
      </c>
      <c r="B1439" t="inlineStr">
        <is>
          <t>RESP0204</t>
        </is>
      </c>
      <c r="C1439" t="inlineStr">
        <is>
          <t>Stimulus</t>
        </is>
      </c>
      <c r="D1439" t="inlineStr">
        <is>
          <t>foodwaste_visual</t>
        </is>
      </c>
      <c r="E1439" t="n">
        <v>62</v>
      </c>
      <c r="F1439" t="inlineStr">
        <is>
          <t>Brow Furrow</t>
        </is>
      </c>
      <c r="G1439" t="n">
        <v>50</v>
      </c>
      <c r="H1439" t="n">
        <v>0.16</v>
      </c>
      <c r="I1439" t="n">
        <v>1</v>
      </c>
      <c r="J1439" t="inlineStr">
        <is>
          <t>NA</t>
        </is>
      </c>
      <c r="K1439" t="n">
        <v>98.90000000000001</v>
      </c>
    </row>
    <row r="1440">
      <c r="A1440" t="inlineStr">
        <is>
          <t>SIMULATED Food Waste Remote Study</t>
        </is>
      </c>
      <c r="B1440" t="inlineStr">
        <is>
          <t>RESP0204</t>
        </is>
      </c>
      <c r="C1440" t="inlineStr">
        <is>
          <t>Stimulus</t>
        </is>
      </c>
      <c r="D1440" t="inlineStr">
        <is>
          <t>foodwaste_visual</t>
        </is>
      </c>
      <c r="E1440" t="n">
        <v>62</v>
      </c>
      <c r="F1440" t="inlineStr">
        <is>
          <t>Positive Valence</t>
        </is>
      </c>
      <c r="G1440" t="n">
        <v>50</v>
      </c>
      <c r="H1440" t="n">
        <v>1.24</v>
      </c>
      <c r="I1440" t="n">
        <v>2</v>
      </c>
      <c r="J1440" t="inlineStr">
        <is>
          <t>NA</t>
        </is>
      </c>
      <c r="K1440" t="n">
        <v>98.90000000000001</v>
      </c>
    </row>
    <row r="1441">
      <c r="A1441" t="inlineStr">
        <is>
          <t>SIMULATED Food Waste Remote Study</t>
        </is>
      </c>
      <c r="B1441" t="inlineStr">
        <is>
          <t>RESP0204</t>
        </is>
      </c>
      <c r="C1441" t="inlineStr">
        <is>
          <t>Stimulus</t>
        </is>
      </c>
      <c r="D1441" t="inlineStr">
        <is>
          <t>foodwaste_visual</t>
        </is>
      </c>
      <c r="E1441" t="n">
        <v>62</v>
      </c>
      <c r="F1441" t="inlineStr">
        <is>
          <t>Negative Valence</t>
        </is>
      </c>
      <c r="G1441" t="n">
        <v>-50</v>
      </c>
      <c r="H1441" t="n">
        <v>7.42</v>
      </c>
      <c r="I1441" t="n">
        <v>2</v>
      </c>
      <c r="J1441" t="inlineStr">
        <is>
          <t>NA</t>
        </is>
      </c>
      <c r="K1441" t="n">
        <v>98.90000000000001</v>
      </c>
    </row>
    <row r="1442">
      <c r="A1442" t="inlineStr">
        <is>
          <t>SIMULATED Food Waste Remote Study</t>
        </is>
      </c>
      <c r="B1442" t="inlineStr">
        <is>
          <t>RESP0206</t>
        </is>
      </c>
      <c r="C1442" t="inlineStr">
        <is>
          <t>Stimulus</t>
        </is>
      </c>
      <c r="D1442" t="inlineStr">
        <is>
          <t>foodwaste_narrative</t>
        </is>
      </c>
      <c r="E1442" t="n">
        <v>60</v>
      </c>
      <c r="F1442" t="inlineStr">
        <is>
          <t>Engagement</t>
        </is>
      </c>
      <c r="G1442" t="n">
        <v>50</v>
      </c>
      <c r="H1442" t="n">
        <v>9.390000000000001</v>
      </c>
      <c r="I1442" t="n">
        <v>2</v>
      </c>
      <c r="J1442" t="inlineStr">
        <is>
          <t>NA</t>
        </is>
      </c>
      <c r="K1442" t="n">
        <v>98.59999999999999</v>
      </c>
    </row>
    <row r="1443">
      <c r="A1443" t="inlineStr">
        <is>
          <t>SIMULATED Food Waste Remote Study</t>
        </is>
      </c>
      <c r="B1443" t="inlineStr">
        <is>
          <t>RESP0206</t>
        </is>
      </c>
      <c r="C1443" t="inlineStr">
        <is>
          <t>Stimulus</t>
        </is>
      </c>
      <c r="D1443" t="inlineStr">
        <is>
          <t>foodwaste_narrative</t>
        </is>
      </c>
      <c r="E1443" t="n">
        <v>60</v>
      </c>
      <c r="F1443" t="inlineStr">
        <is>
          <t>Joy</t>
        </is>
      </c>
      <c r="G1443" t="n">
        <v>50</v>
      </c>
      <c r="H1443" t="n">
        <v>10.5</v>
      </c>
      <c r="I1443" t="n">
        <v>2</v>
      </c>
      <c r="J1443" t="inlineStr">
        <is>
          <t>NA</t>
        </is>
      </c>
      <c r="K1443" t="n">
        <v>98.59999999999999</v>
      </c>
    </row>
    <row r="1444">
      <c r="A1444" t="inlineStr">
        <is>
          <t>SIMULATED Food Waste Remote Study</t>
        </is>
      </c>
      <c r="B1444" t="inlineStr">
        <is>
          <t>RESP0206</t>
        </is>
      </c>
      <c r="C1444" t="inlineStr">
        <is>
          <t>Stimulus</t>
        </is>
      </c>
      <c r="D1444" t="inlineStr">
        <is>
          <t>foodwaste_narrative</t>
        </is>
      </c>
      <c r="E1444" t="n">
        <v>60</v>
      </c>
      <c r="F1444" t="inlineStr">
        <is>
          <t>Brow Furrow</t>
        </is>
      </c>
      <c r="G1444" t="n">
        <v>50</v>
      </c>
      <c r="H1444" t="n">
        <v>0</v>
      </c>
      <c r="I1444" t="n">
        <v>0</v>
      </c>
      <c r="J1444" t="inlineStr">
        <is>
          <t>NA</t>
        </is>
      </c>
      <c r="K1444" t="n">
        <v>98.59999999999999</v>
      </c>
    </row>
    <row r="1445">
      <c r="A1445" t="inlineStr">
        <is>
          <t>SIMULATED Food Waste Remote Study</t>
        </is>
      </c>
      <c r="B1445" t="inlineStr">
        <is>
          <t>RESP0206</t>
        </is>
      </c>
      <c r="C1445" t="inlineStr">
        <is>
          <t>Stimulus</t>
        </is>
      </c>
      <c r="D1445" t="inlineStr">
        <is>
          <t>foodwaste_narrative</t>
        </is>
      </c>
      <c r="E1445" t="n">
        <v>60</v>
      </c>
      <c r="F1445" t="inlineStr">
        <is>
          <t>Positive Valence</t>
        </is>
      </c>
      <c r="G1445" t="n">
        <v>50</v>
      </c>
      <c r="H1445" t="n">
        <v>0</v>
      </c>
      <c r="I1445" t="n">
        <v>0</v>
      </c>
      <c r="J1445" t="inlineStr">
        <is>
          <t>NA</t>
        </is>
      </c>
      <c r="K1445" t="n">
        <v>98.59999999999999</v>
      </c>
    </row>
    <row r="1446">
      <c r="A1446" t="inlineStr">
        <is>
          <t>SIMULATED Food Waste Remote Study</t>
        </is>
      </c>
      <c r="B1446" t="inlineStr">
        <is>
          <t>RESP0206</t>
        </is>
      </c>
      <c r="C1446" t="inlineStr">
        <is>
          <t>Stimulus</t>
        </is>
      </c>
      <c r="D1446" t="inlineStr">
        <is>
          <t>foodwaste_narrative</t>
        </is>
      </c>
      <c r="E1446" t="n">
        <v>60</v>
      </c>
      <c r="F1446" t="inlineStr">
        <is>
          <t>Negative Valence</t>
        </is>
      </c>
      <c r="G1446" t="n">
        <v>-50</v>
      </c>
      <c r="H1446" t="n">
        <v>9.33</v>
      </c>
      <c r="I1446" t="n">
        <v>1</v>
      </c>
      <c r="J1446" t="inlineStr">
        <is>
          <t>NA</t>
        </is>
      </c>
      <c r="K1446" t="n">
        <v>98.59999999999999</v>
      </c>
    </row>
    <row r="1447">
      <c r="A1447" t="inlineStr">
        <is>
          <t>SIMULATED Food Waste Remote Study</t>
        </is>
      </c>
      <c r="B1447" t="inlineStr">
        <is>
          <t>RESP0206</t>
        </is>
      </c>
      <c r="C1447" t="inlineStr">
        <is>
          <t>Stimulus</t>
        </is>
      </c>
      <c r="D1447" t="inlineStr">
        <is>
          <t>foodwaste_visual</t>
        </is>
      </c>
      <c r="E1447" t="n">
        <v>62</v>
      </c>
      <c r="F1447" t="inlineStr">
        <is>
          <t>Engagement</t>
        </is>
      </c>
      <c r="G1447" t="n">
        <v>50</v>
      </c>
      <c r="H1447" t="n">
        <v>11.02</v>
      </c>
      <c r="I1447" t="n">
        <v>4</v>
      </c>
      <c r="J1447" t="inlineStr">
        <is>
          <t>NA</t>
        </is>
      </c>
      <c r="K1447" t="n">
        <v>97.40000000000001</v>
      </c>
    </row>
    <row r="1448">
      <c r="A1448" t="inlineStr">
        <is>
          <t>SIMULATED Food Waste Remote Study</t>
        </is>
      </c>
      <c r="B1448" t="inlineStr">
        <is>
          <t>RESP0206</t>
        </is>
      </c>
      <c r="C1448" t="inlineStr">
        <is>
          <t>Stimulus</t>
        </is>
      </c>
      <c r="D1448" t="inlineStr">
        <is>
          <t>foodwaste_visual</t>
        </is>
      </c>
      <c r="E1448" t="n">
        <v>62</v>
      </c>
      <c r="F1448" t="inlineStr">
        <is>
          <t>Joy</t>
        </is>
      </c>
      <c r="G1448" t="n">
        <v>50</v>
      </c>
      <c r="H1448" t="n">
        <v>0</v>
      </c>
      <c r="I1448" t="n">
        <v>0</v>
      </c>
      <c r="J1448" t="inlineStr">
        <is>
          <t>NA</t>
        </is>
      </c>
      <c r="K1448" t="n">
        <v>97.40000000000001</v>
      </c>
    </row>
    <row r="1449">
      <c r="A1449" t="inlineStr">
        <is>
          <t>SIMULATED Food Waste Remote Study</t>
        </is>
      </c>
      <c r="B1449" t="inlineStr">
        <is>
          <t>RESP0206</t>
        </is>
      </c>
      <c r="C1449" t="inlineStr">
        <is>
          <t>Stimulus</t>
        </is>
      </c>
      <c r="D1449" t="inlineStr">
        <is>
          <t>foodwaste_visual</t>
        </is>
      </c>
      <c r="E1449" t="n">
        <v>62</v>
      </c>
      <c r="F1449" t="inlineStr">
        <is>
          <t>Brow Furrow</t>
        </is>
      </c>
      <c r="G1449" t="n">
        <v>50</v>
      </c>
      <c r="H1449" t="n">
        <v>0.75</v>
      </c>
      <c r="I1449" t="n">
        <v>1</v>
      </c>
      <c r="J1449" t="inlineStr">
        <is>
          <t>NA</t>
        </is>
      </c>
      <c r="K1449" t="n">
        <v>97.40000000000001</v>
      </c>
    </row>
    <row r="1450">
      <c r="A1450" t="inlineStr">
        <is>
          <t>SIMULATED Food Waste Remote Study</t>
        </is>
      </c>
      <c r="B1450" t="inlineStr">
        <is>
          <t>RESP0206</t>
        </is>
      </c>
      <c r="C1450" t="inlineStr">
        <is>
          <t>Stimulus</t>
        </is>
      </c>
      <c r="D1450" t="inlineStr">
        <is>
          <t>foodwaste_visual</t>
        </is>
      </c>
      <c r="E1450" t="n">
        <v>62</v>
      </c>
      <c r="F1450" t="inlineStr">
        <is>
          <t>Positive Valence</t>
        </is>
      </c>
      <c r="G1450" t="n">
        <v>50</v>
      </c>
      <c r="H1450" t="n">
        <v>2.63</v>
      </c>
      <c r="I1450" t="n">
        <v>1</v>
      </c>
      <c r="J1450" t="inlineStr">
        <is>
          <t>NA</t>
        </is>
      </c>
      <c r="K1450" t="n">
        <v>97.40000000000001</v>
      </c>
    </row>
    <row r="1451">
      <c r="A1451" t="inlineStr">
        <is>
          <t>SIMULATED Food Waste Remote Study</t>
        </is>
      </c>
      <c r="B1451" t="inlineStr">
        <is>
          <t>RESP0206</t>
        </is>
      </c>
      <c r="C1451" t="inlineStr">
        <is>
          <t>Stimulus</t>
        </is>
      </c>
      <c r="D1451" t="inlineStr">
        <is>
          <t>foodwaste_visual</t>
        </is>
      </c>
      <c r="E1451" t="n">
        <v>62</v>
      </c>
      <c r="F1451" t="inlineStr">
        <is>
          <t>Negative Valence</t>
        </is>
      </c>
      <c r="G1451" t="n">
        <v>-50</v>
      </c>
      <c r="H1451" t="n">
        <v>9.779999999999999</v>
      </c>
      <c r="I1451" t="n">
        <v>5</v>
      </c>
      <c r="J1451" t="inlineStr">
        <is>
          <t>NA</t>
        </is>
      </c>
      <c r="K1451" t="n">
        <v>97.40000000000001</v>
      </c>
    </row>
    <row r="1452">
      <c r="A1452" t="inlineStr">
        <is>
          <t>SIMULATED Food Waste Remote Study</t>
        </is>
      </c>
      <c r="B1452" t="inlineStr">
        <is>
          <t>RESP0207</t>
        </is>
      </c>
      <c r="C1452" t="inlineStr">
        <is>
          <t>Stimulus</t>
        </is>
      </c>
      <c r="D1452" t="inlineStr">
        <is>
          <t>foodwaste_narrative</t>
        </is>
      </c>
      <c r="E1452" t="n">
        <v>60</v>
      </c>
      <c r="F1452" t="inlineStr">
        <is>
          <t>Engagement</t>
        </is>
      </c>
      <c r="G1452" t="n">
        <v>50</v>
      </c>
      <c r="H1452" t="n">
        <v>45.39</v>
      </c>
      <c r="I1452" t="n">
        <v>11</v>
      </c>
      <c r="J1452" t="inlineStr">
        <is>
          <t>NA</t>
        </is>
      </c>
      <c r="K1452" t="n">
        <v>99.59999999999999</v>
      </c>
    </row>
    <row r="1453">
      <c r="A1453" t="inlineStr">
        <is>
          <t>SIMULATED Food Waste Remote Study</t>
        </is>
      </c>
      <c r="B1453" t="inlineStr">
        <is>
          <t>RESP0207</t>
        </is>
      </c>
      <c r="C1453" t="inlineStr">
        <is>
          <t>Stimulus</t>
        </is>
      </c>
      <c r="D1453" t="inlineStr">
        <is>
          <t>foodwaste_narrative</t>
        </is>
      </c>
      <c r="E1453" t="n">
        <v>60</v>
      </c>
      <c r="F1453" t="inlineStr">
        <is>
          <t>Joy</t>
        </is>
      </c>
      <c r="G1453" t="n">
        <v>50</v>
      </c>
      <c r="H1453" t="n">
        <v>5.06</v>
      </c>
      <c r="I1453" t="n">
        <v>2</v>
      </c>
      <c r="J1453" t="inlineStr">
        <is>
          <t>NA</t>
        </is>
      </c>
      <c r="K1453" t="n">
        <v>99.59999999999999</v>
      </c>
    </row>
    <row r="1454">
      <c r="A1454" t="inlineStr">
        <is>
          <t>SIMULATED Food Waste Remote Study</t>
        </is>
      </c>
      <c r="B1454" t="inlineStr">
        <is>
          <t>RESP0207</t>
        </is>
      </c>
      <c r="C1454" t="inlineStr">
        <is>
          <t>Stimulus</t>
        </is>
      </c>
      <c r="D1454" t="inlineStr">
        <is>
          <t>foodwaste_narrative</t>
        </is>
      </c>
      <c r="E1454" t="n">
        <v>60</v>
      </c>
      <c r="F1454" t="inlineStr">
        <is>
          <t>Brow Furrow</t>
        </is>
      </c>
      <c r="G1454" t="n">
        <v>50</v>
      </c>
      <c r="H1454" t="n">
        <v>4.44</v>
      </c>
      <c r="I1454" t="n">
        <v>1</v>
      </c>
      <c r="J1454" t="inlineStr">
        <is>
          <t>NA</t>
        </is>
      </c>
      <c r="K1454" t="n">
        <v>99.59999999999999</v>
      </c>
    </row>
    <row r="1455">
      <c r="A1455" t="inlineStr">
        <is>
          <t>SIMULATED Food Waste Remote Study</t>
        </is>
      </c>
      <c r="B1455" t="inlineStr">
        <is>
          <t>RESP0207</t>
        </is>
      </c>
      <c r="C1455" t="inlineStr">
        <is>
          <t>Stimulus</t>
        </is>
      </c>
      <c r="D1455" t="inlineStr">
        <is>
          <t>foodwaste_narrative</t>
        </is>
      </c>
      <c r="E1455" t="n">
        <v>60</v>
      </c>
      <c r="F1455" t="inlineStr">
        <is>
          <t>Positive Valence</t>
        </is>
      </c>
      <c r="G1455" t="n">
        <v>50</v>
      </c>
      <c r="H1455" t="n">
        <v>17.22</v>
      </c>
      <c r="I1455" t="n">
        <v>2</v>
      </c>
      <c r="J1455" t="inlineStr">
        <is>
          <t>NA</t>
        </is>
      </c>
      <c r="K1455" t="n">
        <v>99.59999999999999</v>
      </c>
    </row>
    <row r="1456">
      <c r="A1456" t="inlineStr">
        <is>
          <t>SIMULATED Food Waste Remote Study</t>
        </is>
      </c>
      <c r="B1456" t="inlineStr">
        <is>
          <t>RESP0207</t>
        </is>
      </c>
      <c r="C1456" t="inlineStr">
        <is>
          <t>Stimulus</t>
        </is>
      </c>
      <c r="D1456" t="inlineStr">
        <is>
          <t>foodwaste_narrative</t>
        </is>
      </c>
      <c r="E1456" t="n">
        <v>60</v>
      </c>
      <c r="F1456" t="inlineStr">
        <is>
          <t>Negative Valence</t>
        </is>
      </c>
      <c r="G1456" t="n">
        <v>-50</v>
      </c>
      <c r="H1456" t="n">
        <v>0</v>
      </c>
      <c r="I1456" t="n">
        <v>0</v>
      </c>
      <c r="J1456" t="inlineStr">
        <is>
          <t>NA</t>
        </is>
      </c>
      <c r="K1456" t="n">
        <v>99.59999999999999</v>
      </c>
    </row>
    <row r="1457">
      <c r="A1457" t="inlineStr">
        <is>
          <t>SIMULATED Food Waste Remote Study</t>
        </is>
      </c>
      <c r="B1457" t="inlineStr">
        <is>
          <t>RESP0207</t>
        </is>
      </c>
      <c r="C1457" t="inlineStr">
        <is>
          <t>Stimulus</t>
        </is>
      </c>
      <c r="D1457" t="inlineStr">
        <is>
          <t>foodwaste_visual</t>
        </is>
      </c>
      <c r="E1457" t="n">
        <v>62</v>
      </c>
      <c r="F1457" t="inlineStr">
        <is>
          <t>Engagement</t>
        </is>
      </c>
      <c r="G1457" t="n">
        <v>50</v>
      </c>
      <c r="H1457" t="n">
        <v>21.24</v>
      </c>
      <c r="I1457" t="n">
        <v>7</v>
      </c>
      <c r="J1457" t="inlineStr">
        <is>
          <t>NA</t>
        </is>
      </c>
      <c r="K1457" t="n">
        <v>99.2</v>
      </c>
    </row>
    <row r="1458">
      <c r="A1458" t="inlineStr">
        <is>
          <t>SIMULATED Food Waste Remote Study</t>
        </is>
      </c>
      <c r="B1458" t="inlineStr">
        <is>
          <t>RESP0207</t>
        </is>
      </c>
      <c r="C1458" t="inlineStr">
        <is>
          <t>Stimulus</t>
        </is>
      </c>
      <c r="D1458" t="inlineStr">
        <is>
          <t>foodwaste_visual</t>
        </is>
      </c>
      <c r="E1458" t="n">
        <v>62</v>
      </c>
      <c r="F1458" t="inlineStr">
        <is>
          <t>Joy</t>
        </is>
      </c>
      <c r="G1458" t="n">
        <v>50</v>
      </c>
      <c r="H1458" t="n">
        <v>1.67</v>
      </c>
      <c r="I1458" t="n">
        <v>1</v>
      </c>
      <c r="J1458" t="inlineStr">
        <is>
          <t>NA</t>
        </is>
      </c>
      <c r="K1458" t="n">
        <v>99.2</v>
      </c>
    </row>
    <row r="1459">
      <c r="A1459" t="inlineStr">
        <is>
          <t>SIMULATED Food Waste Remote Study</t>
        </is>
      </c>
      <c r="B1459" t="inlineStr">
        <is>
          <t>RESP0207</t>
        </is>
      </c>
      <c r="C1459" t="inlineStr">
        <is>
          <t>Stimulus</t>
        </is>
      </c>
      <c r="D1459" t="inlineStr">
        <is>
          <t>foodwaste_visual</t>
        </is>
      </c>
      <c r="E1459" t="n">
        <v>62</v>
      </c>
      <c r="F1459" t="inlineStr">
        <is>
          <t>Brow Furrow</t>
        </is>
      </c>
      <c r="G1459" t="n">
        <v>50</v>
      </c>
      <c r="H1459" t="n">
        <v>18.92</v>
      </c>
      <c r="I1459" t="n">
        <v>4</v>
      </c>
      <c r="J1459" t="inlineStr">
        <is>
          <t>NA</t>
        </is>
      </c>
      <c r="K1459" t="n">
        <v>99.2</v>
      </c>
    </row>
    <row r="1460">
      <c r="A1460" t="inlineStr">
        <is>
          <t>SIMULATED Food Waste Remote Study</t>
        </is>
      </c>
      <c r="B1460" t="inlineStr">
        <is>
          <t>RESP0207</t>
        </is>
      </c>
      <c r="C1460" t="inlineStr">
        <is>
          <t>Stimulus</t>
        </is>
      </c>
      <c r="D1460" t="inlineStr">
        <is>
          <t>foodwaste_visual</t>
        </is>
      </c>
      <c r="E1460" t="n">
        <v>62</v>
      </c>
      <c r="F1460" t="inlineStr">
        <is>
          <t>Positive Valence</t>
        </is>
      </c>
      <c r="G1460" t="n">
        <v>50</v>
      </c>
      <c r="H1460" t="n">
        <v>0</v>
      </c>
      <c r="I1460" t="n">
        <v>0</v>
      </c>
      <c r="J1460" t="inlineStr">
        <is>
          <t>NA</t>
        </is>
      </c>
      <c r="K1460" t="n">
        <v>99.2</v>
      </c>
    </row>
    <row r="1461">
      <c r="A1461" t="inlineStr">
        <is>
          <t>SIMULATED Food Waste Remote Study</t>
        </is>
      </c>
      <c r="B1461" t="inlineStr">
        <is>
          <t>RESP0207</t>
        </is>
      </c>
      <c r="C1461" t="inlineStr">
        <is>
          <t>Stimulus</t>
        </is>
      </c>
      <c r="D1461" t="inlineStr">
        <is>
          <t>foodwaste_visual</t>
        </is>
      </c>
      <c r="E1461" t="n">
        <v>62</v>
      </c>
      <c r="F1461" t="inlineStr">
        <is>
          <t>Negative Valence</t>
        </is>
      </c>
      <c r="G1461" t="n">
        <v>-50</v>
      </c>
      <c r="H1461" t="n">
        <v>15.65</v>
      </c>
      <c r="I1461" t="n">
        <v>7</v>
      </c>
      <c r="J1461" t="inlineStr">
        <is>
          <t>NA</t>
        </is>
      </c>
      <c r="K1461" t="n">
        <v>99.2</v>
      </c>
    </row>
    <row r="1462">
      <c r="A1462" t="inlineStr">
        <is>
          <t>SIMULATED Food Waste Remote Study</t>
        </is>
      </c>
      <c r="B1462" t="inlineStr">
        <is>
          <t>RESP0208</t>
        </is>
      </c>
      <c r="C1462" t="inlineStr">
        <is>
          <t>Stimulus</t>
        </is>
      </c>
      <c r="D1462" t="inlineStr">
        <is>
          <t>foodwaste_narrative</t>
        </is>
      </c>
      <c r="E1462" t="n">
        <v>60</v>
      </c>
      <c r="F1462" t="inlineStr">
        <is>
          <t>Engagement</t>
        </is>
      </c>
      <c r="G1462" t="n">
        <v>50</v>
      </c>
      <c r="H1462" t="n">
        <v>0</v>
      </c>
      <c r="I1462" t="n">
        <v>0</v>
      </c>
      <c r="J1462" t="inlineStr">
        <is>
          <t>NA</t>
        </is>
      </c>
      <c r="K1462" t="n">
        <v>94</v>
      </c>
    </row>
    <row r="1463">
      <c r="A1463" t="inlineStr">
        <is>
          <t>SIMULATED Food Waste Remote Study</t>
        </is>
      </c>
      <c r="B1463" t="inlineStr">
        <is>
          <t>RESP0208</t>
        </is>
      </c>
      <c r="C1463" t="inlineStr">
        <is>
          <t>Stimulus</t>
        </is>
      </c>
      <c r="D1463" t="inlineStr">
        <is>
          <t>foodwaste_narrative</t>
        </is>
      </c>
      <c r="E1463" t="n">
        <v>60</v>
      </c>
      <c r="F1463" t="inlineStr">
        <is>
          <t>Joy</t>
        </is>
      </c>
      <c r="G1463" t="n">
        <v>50</v>
      </c>
      <c r="H1463" t="n">
        <v>8.44</v>
      </c>
      <c r="I1463" t="n">
        <v>3</v>
      </c>
      <c r="J1463" t="inlineStr">
        <is>
          <t>NA</t>
        </is>
      </c>
      <c r="K1463" t="n">
        <v>94</v>
      </c>
    </row>
    <row r="1464">
      <c r="A1464" t="inlineStr">
        <is>
          <t>SIMULATED Food Waste Remote Study</t>
        </is>
      </c>
      <c r="B1464" t="inlineStr">
        <is>
          <t>RESP0208</t>
        </is>
      </c>
      <c r="C1464" t="inlineStr">
        <is>
          <t>Stimulus</t>
        </is>
      </c>
      <c r="D1464" t="inlineStr">
        <is>
          <t>foodwaste_narrative</t>
        </is>
      </c>
      <c r="E1464" t="n">
        <v>60</v>
      </c>
      <c r="F1464" t="inlineStr">
        <is>
          <t>Brow Furrow</t>
        </is>
      </c>
      <c r="G1464" t="n">
        <v>50</v>
      </c>
      <c r="H1464" t="n">
        <v>0</v>
      </c>
      <c r="I1464" t="n">
        <v>0</v>
      </c>
      <c r="J1464" t="inlineStr">
        <is>
          <t>NA</t>
        </is>
      </c>
      <c r="K1464" t="n">
        <v>94</v>
      </c>
    </row>
    <row r="1465">
      <c r="A1465" t="inlineStr">
        <is>
          <t>SIMULATED Food Waste Remote Study</t>
        </is>
      </c>
      <c r="B1465" t="inlineStr">
        <is>
          <t>RESP0208</t>
        </is>
      </c>
      <c r="C1465" t="inlineStr">
        <is>
          <t>Stimulus</t>
        </is>
      </c>
      <c r="D1465" t="inlineStr">
        <is>
          <t>foodwaste_narrative</t>
        </is>
      </c>
      <c r="E1465" t="n">
        <v>60</v>
      </c>
      <c r="F1465" t="inlineStr">
        <is>
          <t>Positive Valence</t>
        </is>
      </c>
      <c r="G1465" t="n">
        <v>50</v>
      </c>
      <c r="H1465" t="n">
        <v>0.5600000000000001</v>
      </c>
      <c r="I1465" t="n">
        <v>1</v>
      </c>
      <c r="J1465" t="inlineStr">
        <is>
          <t>NA</t>
        </is>
      </c>
      <c r="K1465" t="n">
        <v>94</v>
      </c>
    </row>
    <row r="1466">
      <c r="A1466" t="inlineStr">
        <is>
          <t>SIMULATED Food Waste Remote Study</t>
        </is>
      </c>
      <c r="B1466" t="inlineStr">
        <is>
          <t>RESP0208</t>
        </is>
      </c>
      <c r="C1466" t="inlineStr">
        <is>
          <t>Stimulus</t>
        </is>
      </c>
      <c r="D1466" t="inlineStr">
        <is>
          <t>foodwaste_narrative</t>
        </is>
      </c>
      <c r="E1466" t="n">
        <v>60</v>
      </c>
      <c r="F1466" t="inlineStr">
        <is>
          <t>Negative Valence</t>
        </is>
      </c>
      <c r="G1466" t="n">
        <v>-50</v>
      </c>
      <c r="H1466" t="n">
        <v>0</v>
      </c>
      <c r="I1466" t="n">
        <v>0</v>
      </c>
      <c r="J1466" t="inlineStr">
        <is>
          <t>NA</t>
        </is>
      </c>
      <c r="K1466" t="n">
        <v>94</v>
      </c>
    </row>
    <row r="1467">
      <c r="A1467" t="inlineStr">
        <is>
          <t>SIMULATED Food Waste Remote Study</t>
        </is>
      </c>
      <c r="B1467" t="inlineStr">
        <is>
          <t>RESP0208</t>
        </is>
      </c>
      <c r="C1467" t="inlineStr">
        <is>
          <t>Stimulus</t>
        </is>
      </c>
      <c r="D1467" t="inlineStr">
        <is>
          <t>foodwaste_visual</t>
        </is>
      </c>
      <c r="E1467" t="n">
        <v>62</v>
      </c>
      <c r="F1467" t="inlineStr">
        <is>
          <t>Engagement</t>
        </is>
      </c>
      <c r="G1467" t="n">
        <v>50</v>
      </c>
      <c r="H1467" t="n">
        <v>7.37</v>
      </c>
      <c r="I1467" t="n">
        <v>4</v>
      </c>
      <c r="J1467" t="inlineStr">
        <is>
          <t>NA</t>
        </is>
      </c>
      <c r="K1467" t="n">
        <v>91.59999999999999</v>
      </c>
    </row>
    <row r="1468">
      <c r="A1468" t="inlineStr">
        <is>
          <t>SIMULATED Food Waste Remote Study</t>
        </is>
      </c>
      <c r="B1468" t="inlineStr">
        <is>
          <t>RESP0208</t>
        </is>
      </c>
      <c r="C1468" t="inlineStr">
        <is>
          <t>Stimulus</t>
        </is>
      </c>
      <c r="D1468" t="inlineStr">
        <is>
          <t>foodwaste_visual</t>
        </is>
      </c>
      <c r="E1468" t="n">
        <v>62</v>
      </c>
      <c r="F1468" t="inlineStr">
        <is>
          <t>Joy</t>
        </is>
      </c>
      <c r="G1468" t="n">
        <v>50</v>
      </c>
      <c r="H1468" t="n">
        <v>0</v>
      </c>
      <c r="I1468" t="n">
        <v>0</v>
      </c>
      <c r="J1468" t="inlineStr">
        <is>
          <t>NA</t>
        </is>
      </c>
      <c r="K1468" t="n">
        <v>91.59999999999999</v>
      </c>
    </row>
    <row r="1469">
      <c r="A1469" t="inlineStr">
        <is>
          <t>SIMULATED Food Waste Remote Study</t>
        </is>
      </c>
      <c r="B1469" t="inlineStr">
        <is>
          <t>RESP0208</t>
        </is>
      </c>
      <c r="C1469" t="inlineStr">
        <is>
          <t>Stimulus</t>
        </is>
      </c>
      <c r="D1469" t="inlineStr">
        <is>
          <t>foodwaste_visual</t>
        </is>
      </c>
      <c r="E1469" t="n">
        <v>62</v>
      </c>
      <c r="F1469" t="inlineStr">
        <is>
          <t>Brow Furrow</t>
        </is>
      </c>
      <c r="G1469" t="n">
        <v>50</v>
      </c>
      <c r="H1469" t="n">
        <v>0</v>
      </c>
      <c r="I1469" t="n">
        <v>0</v>
      </c>
      <c r="J1469" t="inlineStr">
        <is>
          <t>NA</t>
        </is>
      </c>
      <c r="K1469" t="n">
        <v>91.59999999999999</v>
      </c>
    </row>
    <row r="1470">
      <c r="A1470" t="inlineStr">
        <is>
          <t>SIMULATED Food Waste Remote Study</t>
        </is>
      </c>
      <c r="B1470" t="inlineStr">
        <is>
          <t>RESP0208</t>
        </is>
      </c>
      <c r="C1470" t="inlineStr">
        <is>
          <t>Stimulus</t>
        </is>
      </c>
      <c r="D1470" t="inlineStr">
        <is>
          <t>foodwaste_visual</t>
        </is>
      </c>
      <c r="E1470" t="n">
        <v>62</v>
      </c>
      <c r="F1470" t="inlineStr">
        <is>
          <t>Positive Valence</t>
        </is>
      </c>
      <c r="G1470" t="n">
        <v>50</v>
      </c>
      <c r="H1470" t="n">
        <v>5.48</v>
      </c>
      <c r="I1470" t="n">
        <v>2</v>
      </c>
      <c r="J1470" t="inlineStr">
        <is>
          <t>NA</t>
        </is>
      </c>
      <c r="K1470" t="n">
        <v>91.59999999999999</v>
      </c>
    </row>
    <row r="1471">
      <c r="A1471" t="inlineStr">
        <is>
          <t>SIMULATED Food Waste Remote Study</t>
        </is>
      </c>
      <c r="B1471" t="inlineStr">
        <is>
          <t>RESP0208</t>
        </is>
      </c>
      <c r="C1471" t="inlineStr">
        <is>
          <t>Stimulus</t>
        </is>
      </c>
      <c r="D1471" t="inlineStr">
        <is>
          <t>foodwaste_visual</t>
        </is>
      </c>
      <c r="E1471" t="n">
        <v>62</v>
      </c>
      <c r="F1471" t="inlineStr">
        <is>
          <t>Negative Valence</t>
        </is>
      </c>
      <c r="G1471" t="n">
        <v>-50</v>
      </c>
      <c r="H1471" t="n">
        <v>13.28</v>
      </c>
      <c r="I1471" t="n">
        <v>3</v>
      </c>
      <c r="J1471" t="inlineStr">
        <is>
          <t>NA</t>
        </is>
      </c>
      <c r="K1471" t="n">
        <v>91.59999999999999</v>
      </c>
    </row>
    <row r="1472">
      <c r="A1472" t="inlineStr">
        <is>
          <t>SIMULATED Food Waste Remote Study</t>
        </is>
      </c>
      <c r="B1472" t="inlineStr">
        <is>
          <t>RESP0210</t>
        </is>
      </c>
      <c r="C1472" t="inlineStr">
        <is>
          <t>Stimulus</t>
        </is>
      </c>
      <c r="D1472" t="inlineStr">
        <is>
          <t>foodwaste_narrative</t>
        </is>
      </c>
      <c r="E1472" t="n">
        <v>60</v>
      </c>
      <c r="F1472" t="inlineStr">
        <is>
          <t>Engagement</t>
        </is>
      </c>
      <c r="G1472" t="n">
        <v>50</v>
      </c>
      <c r="H1472" t="n">
        <v>7.83</v>
      </c>
      <c r="I1472" t="n">
        <v>5</v>
      </c>
      <c r="J1472" t="inlineStr">
        <is>
          <t>NA</t>
        </is>
      </c>
      <c r="K1472" t="n">
        <v>99</v>
      </c>
    </row>
    <row r="1473">
      <c r="A1473" t="inlineStr">
        <is>
          <t>SIMULATED Food Waste Remote Study</t>
        </is>
      </c>
      <c r="B1473" t="inlineStr">
        <is>
          <t>RESP0210</t>
        </is>
      </c>
      <c r="C1473" t="inlineStr">
        <is>
          <t>Stimulus</t>
        </is>
      </c>
      <c r="D1473" t="inlineStr">
        <is>
          <t>foodwaste_narrative</t>
        </is>
      </c>
      <c r="E1473" t="n">
        <v>60</v>
      </c>
      <c r="F1473" t="inlineStr">
        <is>
          <t>Joy</t>
        </is>
      </c>
      <c r="G1473" t="n">
        <v>50</v>
      </c>
      <c r="H1473" t="n">
        <v>8.94</v>
      </c>
      <c r="I1473" t="n">
        <v>1</v>
      </c>
      <c r="J1473" t="inlineStr">
        <is>
          <t>NA</t>
        </is>
      </c>
      <c r="K1473" t="n">
        <v>99</v>
      </c>
    </row>
    <row r="1474">
      <c r="A1474" t="inlineStr">
        <is>
          <t>SIMULATED Food Waste Remote Study</t>
        </is>
      </c>
      <c r="B1474" t="inlineStr">
        <is>
          <t>RESP0210</t>
        </is>
      </c>
      <c r="C1474" t="inlineStr">
        <is>
          <t>Stimulus</t>
        </is>
      </c>
      <c r="D1474" t="inlineStr">
        <is>
          <t>foodwaste_narrative</t>
        </is>
      </c>
      <c r="E1474" t="n">
        <v>60</v>
      </c>
      <c r="F1474" t="inlineStr">
        <is>
          <t>Brow Furrow</t>
        </is>
      </c>
      <c r="G1474" t="n">
        <v>50</v>
      </c>
      <c r="H1474" t="n">
        <v>1.28</v>
      </c>
      <c r="I1474" t="n">
        <v>1</v>
      </c>
      <c r="J1474" t="inlineStr">
        <is>
          <t>NA</t>
        </is>
      </c>
      <c r="K1474" t="n">
        <v>99</v>
      </c>
    </row>
    <row r="1475">
      <c r="A1475" t="inlineStr">
        <is>
          <t>SIMULATED Food Waste Remote Study</t>
        </is>
      </c>
      <c r="B1475" t="inlineStr">
        <is>
          <t>RESP0210</t>
        </is>
      </c>
      <c r="C1475" t="inlineStr">
        <is>
          <t>Stimulus</t>
        </is>
      </c>
      <c r="D1475" t="inlineStr">
        <is>
          <t>foodwaste_narrative</t>
        </is>
      </c>
      <c r="E1475" t="n">
        <v>60</v>
      </c>
      <c r="F1475" t="inlineStr">
        <is>
          <t>Positive Valence</t>
        </is>
      </c>
      <c r="G1475" t="n">
        <v>50</v>
      </c>
      <c r="H1475" t="n">
        <v>13.83</v>
      </c>
      <c r="I1475" t="n">
        <v>4</v>
      </c>
      <c r="J1475" t="inlineStr">
        <is>
          <t>NA</t>
        </is>
      </c>
      <c r="K1475" t="n">
        <v>99</v>
      </c>
    </row>
    <row r="1476">
      <c r="A1476" t="inlineStr">
        <is>
          <t>SIMULATED Food Waste Remote Study</t>
        </is>
      </c>
      <c r="B1476" t="inlineStr">
        <is>
          <t>RESP0210</t>
        </is>
      </c>
      <c r="C1476" t="inlineStr">
        <is>
          <t>Stimulus</t>
        </is>
      </c>
      <c r="D1476" t="inlineStr">
        <is>
          <t>foodwaste_narrative</t>
        </is>
      </c>
      <c r="E1476" t="n">
        <v>60</v>
      </c>
      <c r="F1476" t="inlineStr">
        <is>
          <t>Negative Valence</t>
        </is>
      </c>
      <c r="G1476" t="n">
        <v>-50</v>
      </c>
      <c r="H1476" t="n">
        <v>3.11</v>
      </c>
      <c r="I1476" t="n">
        <v>1</v>
      </c>
      <c r="J1476" t="inlineStr">
        <is>
          <t>NA</t>
        </is>
      </c>
      <c r="K1476" t="n">
        <v>99</v>
      </c>
    </row>
    <row r="1477">
      <c r="A1477" t="inlineStr">
        <is>
          <t>SIMULATED Food Waste Remote Study</t>
        </is>
      </c>
      <c r="B1477" t="inlineStr">
        <is>
          <t>RESP0210</t>
        </is>
      </c>
      <c r="C1477" t="inlineStr">
        <is>
          <t>Stimulus</t>
        </is>
      </c>
      <c r="D1477" t="inlineStr">
        <is>
          <t>foodwaste_visual</t>
        </is>
      </c>
      <c r="E1477" t="n">
        <v>62</v>
      </c>
      <c r="F1477" t="inlineStr">
        <is>
          <t>Engagement</t>
        </is>
      </c>
      <c r="G1477" t="n">
        <v>50</v>
      </c>
      <c r="H1477" t="n">
        <v>35.97</v>
      </c>
      <c r="I1477" t="n">
        <v>6</v>
      </c>
      <c r="J1477" t="inlineStr">
        <is>
          <t>NA</t>
        </is>
      </c>
      <c r="K1477" t="n">
        <v>98.8</v>
      </c>
    </row>
    <row r="1478">
      <c r="A1478" t="inlineStr">
        <is>
          <t>SIMULATED Food Waste Remote Study</t>
        </is>
      </c>
      <c r="B1478" t="inlineStr">
        <is>
          <t>RESP0210</t>
        </is>
      </c>
      <c r="C1478" t="inlineStr">
        <is>
          <t>Stimulus</t>
        </is>
      </c>
      <c r="D1478" t="inlineStr">
        <is>
          <t>foodwaste_visual</t>
        </is>
      </c>
      <c r="E1478" t="n">
        <v>62</v>
      </c>
      <c r="F1478" t="inlineStr">
        <is>
          <t>Joy</t>
        </is>
      </c>
      <c r="G1478" t="n">
        <v>50</v>
      </c>
      <c r="H1478" t="n">
        <v>4.3</v>
      </c>
      <c r="I1478" t="n">
        <v>4</v>
      </c>
      <c r="J1478" t="inlineStr">
        <is>
          <t>NA</t>
        </is>
      </c>
      <c r="K1478" t="n">
        <v>98.8</v>
      </c>
    </row>
    <row r="1479">
      <c r="A1479" t="inlineStr">
        <is>
          <t>SIMULATED Food Waste Remote Study</t>
        </is>
      </c>
      <c r="B1479" t="inlineStr">
        <is>
          <t>RESP0210</t>
        </is>
      </c>
      <c r="C1479" t="inlineStr">
        <is>
          <t>Stimulus</t>
        </is>
      </c>
      <c r="D1479" t="inlineStr">
        <is>
          <t>foodwaste_visual</t>
        </is>
      </c>
      <c r="E1479" t="n">
        <v>62</v>
      </c>
      <c r="F1479" t="inlineStr">
        <is>
          <t>Brow Furrow</t>
        </is>
      </c>
      <c r="G1479" t="n">
        <v>50</v>
      </c>
      <c r="H1479" t="n">
        <v>1.34</v>
      </c>
      <c r="I1479" t="n">
        <v>1</v>
      </c>
      <c r="J1479" t="inlineStr">
        <is>
          <t>NA</t>
        </is>
      </c>
      <c r="K1479" t="n">
        <v>98.8</v>
      </c>
    </row>
    <row r="1480">
      <c r="A1480" t="inlineStr">
        <is>
          <t>SIMULATED Food Waste Remote Study</t>
        </is>
      </c>
      <c r="B1480" t="inlineStr">
        <is>
          <t>RESP0210</t>
        </is>
      </c>
      <c r="C1480" t="inlineStr">
        <is>
          <t>Stimulus</t>
        </is>
      </c>
      <c r="D1480" t="inlineStr">
        <is>
          <t>foodwaste_visual</t>
        </is>
      </c>
      <c r="E1480" t="n">
        <v>62</v>
      </c>
      <c r="F1480" t="inlineStr">
        <is>
          <t>Positive Valence</t>
        </is>
      </c>
      <c r="G1480" t="n">
        <v>50</v>
      </c>
      <c r="H1480" t="n">
        <v>0.48</v>
      </c>
      <c r="I1480" t="n">
        <v>1</v>
      </c>
      <c r="J1480" t="inlineStr">
        <is>
          <t>NA</t>
        </is>
      </c>
      <c r="K1480" t="n">
        <v>98.8</v>
      </c>
    </row>
    <row r="1481">
      <c r="A1481" t="inlineStr">
        <is>
          <t>SIMULATED Food Waste Remote Study</t>
        </is>
      </c>
      <c r="B1481" t="inlineStr">
        <is>
          <t>RESP0210</t>
        </is>
      </c>
      <c r="C1481" t="inlineStr">
        <is>
          <t>Stimulus</t>
        </is>
      </c>
      <c r="D1481" t="inlineStr">
        <is>
          <t>foodwaste_visual</t>
        </is>
      </c>
      <c r="E1481" t="n">
        <v>62</v>
      </c>
      <c r="F1481" t="inlineStr">
        <is>
          <t>Negative Valence</t>
        </is>
      </c>
      <c r="G1481" t="n">
        <v>-50</v>
      </c>
      <c r="H1481" t="n">
        <v>10.97</v>
      </c>
      <c r="I1481" t="n">
        <v>5</v>
      </c>
      <c r="J1481" t="inlineStr">
        <is>
          <t>NA</t>
        </is>
      </c>
      <c r="K1481" t="n">
        <v>98.8</v>
      </c>
    </row>
    <row r="1482">
      <c r="A1482" t="inlineStr">
        <is>
          <t>SIMULATED Food Waste Remote Study</t>
        </is>
      </c>
      <c r="B1482" t="inlineStr">
        <is>
          <t>RESP0211</t>
        </is>
      </c>
      <c r="C1482" t="inlineStr">
        <is>
          <t>Stimulus</t>
        </is>
      </c>
      <c r="D1482" t="inlineStr">
        <is>
          <t>foodwaste_narrative</t>
        </is>
      </c>
      <c r="E1482" t="n">
        <v>60</v>
      </c>
      <c r="F1482" t="inlineStr">
        <is>
          <t>Engagement</t>
        </is>
      </c>
      <c r="G1482" t="n">
        <v>50</v>
      </c>
      <c r="H1482" t="n">
        <v>77.67</v>
      </c>
      <c r="I1482" t="n">
        <v>17</v>
      </c>
      <c r="J1482" t="inlineStr">
        <is>
          <t>NA</t>
        </is>
      </c>
      <c r="K1482" t="n">
        <v>99.90000000000001</v>
      </c>
    </row>
    <row r="1483">
      <c r="A1483" t="inlineStr">
        <is>
          <t>SIMULATED Food Waste Remote Study</t>
        </is>
      </c>
      <c r="B1483" t="inlineStr">
        <is>
          <t>RESP0211</t>
        </is>
      </c>
      <c r="C1483" t="inlineStr">
        <is>
          <t>Stimulus</t>
        </is>
      </c>
      <c r="D1483" t="inlineStr">
        <is>
          <t>foodwaste_narrative</t>
        </is>
      </c>
      <c r="E1483" t="n">
        <v>60</v>
      </c>
      <c r="F1483" t="inlineStr">
        <is>
          <t>Joy</t>
        </is>
      </c>
      <c r="G1483" t="n">
        <v>50</v>
      </c>
      <c r="H1483" t="n">
        <v>2.22</v>
      </c>
      <c r="I1483" t="n">
        <v>2</v>
      </c>
      <c r="J1483" t="inlineStr">
        <is>
          <t>NA</t>
        </is>
      </c>
      <c r="K1483" t="n">
        <v>99.90000000000001</v>
      </c>
    </row>
    <row r="1484">
      <c r="A1484" t="inlineStr">
        <is>
          <t>SIMULATED Food Waste Remote Study</t>
        </is>
      </c>
      <c r="B1484" t="inlineStr">
        <is>
          <t>RESP0211</t>
        </is>
      </c>
      <c r="C1484" t="inlineStr">
        <is>
          <t>Stimulus</t>
        </is>
      </c>
      <c r="D1484" t="inlineStr">
        <is>
          <t>foodwaste_narrative</t>
        </is>
      </c>
      <c r="E1484" t="n">
        <v>60</v>
      </c>
      <c r="F1484" t="inlineStr">
        <is>
          <t>Brow Furrow</t>
        </is>
      </c>
      <c r="G1484" t="n">
        <v>50</v>
      </c>
      <c r="H1484" t="n">
        <v>6.22</v>
      </c>
      <c r="I1484" t="n">
        <v>2</v>
      </c>
      <c r="J1484" t="inlineStr">
        <is>
          <t>NA</t>
        </is>
      </c>
      <c r="K1484" t="n">
        <v>99.90000000000001</v>
      </c>
    </row>
    <row r="1485">
      <c r="A1485" t="inlineStr">
        <is>
          <t>SIMULATED Food Waste Remote Study</t>
        </is>
      </c>
      <c r="B1485" t="inlineStr">
        <is>
          <t>RESP0211</t>
        </is>
      </c>
      <c r="C1485" t="inlineStr">
        <is>
          <t>Stimulus</t>
        </is>
      </c>
      <c r="D1485" t="inlineStr">
        <is>
          <t>foodwaste_narrative</t>
        </is>
      </c>
      <c r="E1485" t="n">
        <v>60</v>
      </c>
      <c r="F1485" t="inlineStr">
        <is>
          <t>Positive Valence</t>
        </is>
      </c>
      <c r="G1485" t="n">
        <v>50</v>
      </c>
      <c r="H1485" t="n">
        <v>26.22</v>
      </c>
      <c r="I1485" t="n">
        <v>3</v>
      </c>
      <c r="J1485" t="inlineStr">
        <is>
          <t>NA</t>
        </is>
      </c>
      <c r="K1485" t="n">
        <v>99.90000000000001</v>
      </c>
    </row>
    <row r="1486">
      <c r="A1486" t="inlineStr">
        <is>
          <t>SIMULATED Food Waste Remote Study</t>
        </is>
      </c>
      <c r="B1486" t="inlineStr">
        <is>
          <t>RESP0211</t>
        </is>
      </c>
      <c r="C1486" t="inlineStr">
        <is>
          <t>Stimulus</t>
        </is>
      </c>
      <c r="D1486" t="inlineStr">
        <is>
          <t>foodwaste_narrative</t>
        </is>
      </c>
      <c r="E1486" t="n">
        <v>60</v>
      </c>
      <c r="F1486" t="inlineStr">
        <is>
          <t>Negative Valence</t>
        </is>
      </c>
      <c r="G1486" t="n">
        <v>-50</v>
      </c>
      <c r="H1486" t="n">
        <v>2.28</v>
      </c>
      <c r="I1486" t="n">
        <v>1</v>
      </c>
      <c r="J1486" t="inlineStr">
        <is>
          <t>NA</t>
        </is>
      </c>
      <c r="K1486" t="n">
        <v>99.90000000000001</v>
      </c>
    </row>
    <row r="1487">
      <c r="A1487" t="inlineStr">
        <is>
          <t>SIMULATED Food Waste Remote Study</t>
        </is>
      </c>
      <c r="B1487" t="inlineStr">
        <is>
          <t>RESP0211</t>
        </is>
      </c>
      <c r="C1487" t="inlineStr">
        <is>
          <t>Stimulus</t>
        </is>
      </c>
      <c r="D1487" t="inlineStr">
        <is>
          <t>foodwaste_visual</t>
        </is>
      </c>
      <c r="E1487" t="n">
        <v>62</v>
      </c>
      <c r="F1487" t="inlineStr">
        <is>
          <t>Engagement</t>
        </is>
      </c>
      <c r="G1487" t="n">
        <v>50</v>
      </c>
      <c r="H1487" t="n">
        <v>80</v>
      </c>
      <c r="I1487" t="n">
        <v>19</v>
      </c>
      <c r="J1487" t="inlineStr">
        <is>
          <t>NA</t>
        </is>
      </c>
      <c r="K1487" t="n">
        <v>99.8</v>
      </c>
    </row>
    <row r="1488">
      <c r="A1488" t="inlineStr">
        <is>
          <t>SIMULATED Food Waste Remote Study</t>
        </is>
      </c>
      <c r="B1488" t="inlineStr">
        <is>
          <t>RESP0211</t>
        </is>
      </c>
      <c r="C1488" t="inlineStr">
        <is>
          <t>Stimulus</t>
        </is>
      </c>
      <c r="D1488" t="inlineStr">
        <is>
          <t>foodwaste_visual</t>
        </is>
      </c>
      <c r="E1488" t="n">
        <v>62</v>
      </c>
      <c r="F1488" t="inlineStr">
        <is>
          <t>Joy</t>
        </is>
      </c>
      <c r="G1488" t="n">
        <v>50</v>
      </c>
      <c r="H1488" t="n">
        <v>31.18</v>
      </c>
      <c r="I1488" t="n">
        <v>8</v>
      </c>
      <c r="J1488" t="inlineStr">
        <is>
          <t>NA</t>
        </is>
      </c>
      <c r="K1488" t="n">
        <v>99.8</v>
      </c>
    </row>
    <row r="1489">
      <c r="A1489" t="inlineStr">
        <is>
          <t>SIMULATED Food Waste Remote Study</t>
        </is>
      </c>
      <c r="B1489" t="inlineStr">
        <is>
          <t>RESP0211</t>
        </is>
      </c>
      <c r="C1489" t="inlineStr">
        <is>
          <t>Stimulus</t>
        </is>
      </c>
      <c r="D1489" t="inlineStr">
        <is>
          <t>foodwaste_visual</t>
        </is>
      </c>
      <c r="E1489" t="n">
        <v>62</v>
      </c>
      <c r="F1489" t="inlineStr">
        <is>
          <t>Brow Furrow</t>
        </is>
      </c>
      <c r="G1489" t="n">
        <v>50</v>
      </c>
      <c r="H1489" t="n">
        <v>30.05</v>
      </c>
      <c r="I1489" t="n">
        <v>7</v>
      </c>
      <c r="J1489" t="inlineStr">
        <is>
          <t>NA</t>
        </is>
      </c>
      <c r="K1489" t="n">
        <v>99.8</v>
      </c>
    </row>
    <row r="1490">
      <c r="A1490" t="inlineStr">
        <is>
          <t>SIMULATED Food Waste Remote Study</t>
        </is>
      </c>
      <c r="B1490" t="inlineStr">
        <is>
          <t>RESP0211</t>
        </is>
      </c>
      <c r="C1490" t="inlineStr">
        <is>
          <t>Stimulus</t>
        </is>
      </c>
      <c r="D1490" t="inlineStr">
        <is>
          <t>foodwaste_visual</t>
        </is>
      </c>
      <c r="E1490" t="n">
        <v>62</v>
      </c>
      <c r="F1490" t="inlineStr">
        <is>
          <t>Positive Valence</t>
        </is>
      </c>
      <c r="G1490" t="n">
        <v>50</v>
      </c>
      <c r="H1490" t="n">
        <v>3.6</v>
      </c>
      <c r="I1490" t="n">
        <v>2</v>
      </c>
      <c r="J1490" t="inlineStr">
        <is>
          <t>NA</t>
        </is>
      </c>
      <c r="K1490" t="n">
        <v>99.8</v>
      </c>
    </row>
    <row r="1491">
      <c r="A1491" t="inlineStr">
        <is>
          <t>SIMULATED Food Waste Remote Study</t>
        </is>
      </c>
      <c r="B1491" t="inlineStr">
        <is>
          <t>RESP0211</t>
        </is>
      </c>
      <c r="C1491" t="inlineStr">
        <is>
          <t>Stimulus</t>
        </is>
      </c>
      <c r="D1491" t="inlineStr">
        <is>
          <t>foodwaste_visual</t>
        </is>
      </c>
      <c r="E1491" t="n">
        <v>62</v>
      </c>
      <c r="F1491" t="inlineStr">
        <is>
          <t>Negative Valence</t>
        </is>
      </c>
      <c r="G1491" t="n">
        <v>-50</v>
      </c>
      <c r="H1491" t="n">
        <v>1.02</v>
      </c>
      <c r="I1491" t="n">
        <v>1</v>
      </c>
      <c r="J1491" t="inlineStr">
        <is>
          <t>NA</t>
        </is>
      </c>
      <c r="K1491" t="n">
        <v>99.8</v>
      </c>
    </row>
    <row r="1492">
      <c r="A1492" t="inlineStr">
        <is>
          <t>SIMULATED Food Waste Remote Study</t>
        </is>
      </c>
      <c r="B1492" t="inlineStr">
        <is>
          <t>RESP0212</t>
        </is>
      </c>
      <c r="C1492" t="inlineStr">
        <is>
          <t>Stimulus</t>
        </is>
      </c>
      <c r="D1492" t="inlineStr">
        <is>
          <t>foodwaste_narrative</t>
        </is>
      </c>
      <c r="E1492" t="n">
        <v>60</v>
      </c>
      <c r="F1492" t="inlineStr">
        <is>
          <t>Engagement</t>
        </is>
      </c>
      <c r="G1492" t="n">
        <v>50</v>
      </c>
      <c r="H1492" t="n">
        <v>33.61</v>
      </c>
      <c r="I1492" t="n">
        <v>9</v>
      </c>
      <c r="J1492" t="inlineStr">
        <is>
          <t>NA</t>
        </is>
      </c>
      <c r="K1492" t="n">
        <v>97.40000000000001</v>
      </c>
    </row>
    <row r="1493">
      <c r="A1493" t="inlineStr">
        <is>
          <t>SIMULATED Food Waste Remote Study</t>
        </is>
      </c>
      <c r="B1493" t="inlineStr">
        <is>
          <t>RESP0212</t>
        </is>
      </c>
      <c r="C1493" t="inlineStr">
        <is>
          <t>Stimulus</t>
        </is>
      </c>
      <c r="D1493" t="inlineStr">
        <is>
          <t>foodwaste_narrative</t>
        </is>
      </c>
      <c r="E1493" t="n">
        <v>60</v>
      </c>
      <c r="F1493" t="inlineStr">
        <is>
          <t>Joy</t>
        </is>
      </c>
      <c r="G1493" t="n">
        <v>50</v>
      </c>
      <c r="H1493" t="n">
        <v>10.89</v>
      </c>
      <c r="I1493" t="n">
        <v>3</v>
      </c>
      <c r="J1493" t="inlineStr">
        <is>
          <t>NA</t>
        </is>
      </c>
      <c r="K1493" t="n">
        <v>97.40000000000001</v>
      </c>
    </row>
    <row r="1494">
      <c r="A1494" t="inlineStr">
        <is>
          <t>SIMULATED Food Waste Remote Study</t>
        </is>
      </c>
      <c r="B1494" t="inlineStr">
        <is>
          <t>RESP0212</t>
        </is>
      </c>
      <c r="C1494" t="inlineStr">
        <is>
          <t>Stimulus</t>
        </is>
      </c>
      <c r="D1494" t="inlineStr">
        <is>
          <t>foodwaste_narrative</t>
        </is>
      </c>
      <c r="E1494" t="n">
        <v>60</v>
      </c>
      <c r="F1494" t="inlineStr">
        <is>
          <t>Brow Furrow</t>
        </is>
      </c>
      <c r="G1494" t="n">
        <v>50</v>
      </c>
      <c r="H1494" t="n">
        <v>12.5</v>
      </c>
      <c r="I1494" t="n">
        <v>9</v>
      </c>
      <c r="J1494" t="inlineStr">
        <is>
          <t>NA</t>
        </is>
      </c>
      <c r="K1494" t="n">
        <v>97.40000000000001</v>
      </c>
    </row>
    <row r="1495">
      <c r="A1495" t="inlineStr">
        <is>
          <t>SIMULATED Food Waste Remote Study</t>
        </is>
      </c>
      <c r="B1495" t="inlineStr">
        <is>
          <t>RESP0212</t>
        </is>
      </c>
      <c r="C1495" t="inlineStr">
        <is>
          <t>Stimulus</t>
        </is>
      </c>
      <c r="D1495" t="inlineStr">
        <is>
          <t>foodwaste_narrative</t>
        </is>
      </c>
      <c r="E1495" t="n">
        <v>60</v>
      </c>
      <c r="F1495" t="inlineStr">
        <is>
          <t>Positive Valence</t>
        </is>
      </c>
      <c r="G1495" t="n">
        <v>50</v>
      </c>
      <c r="H1495" t="n">
        <v>0</v>
      </c>
      <c r="I1495" t="n">
        <v>0</v>
      </c>
      <c r="J1495" t="inlineStr">
        <is>
          <t>NA</t>
        </is>
      </c>
      <c r="K1495" t="n">
        <v>97.40000000000001</v>
      </c>
    </row>
    <row r="1496">
      <c r="A1496" t="inlineStr">
        <is>
          <t>SIMULATED Food Waste Remote Study</t>
        </is>
      </c>
      <c r="B1496" t="inlineStr">
        <is>
          <t>RESP0212</t>
        </is>
      </c>
      <c r="C1496" t="inlineStr">
        <is>
          <t>Stimulus</t>
        </is>
      </c>
      <c r="D1496" t="inlineStr">
        <is>
          <t>foodwaste_narrative</t>
        </is>
      </c>
      <c r="E1496" t="n">
        <v>60</v>
      </c>
      <c r="F1496" t="inlineStr">
        <is>
          <t>Negative Valence</t>
        </is>
      </c>
      <c r="G1496" t="n">
        <v>-50</v>
      </c>
      <c r="H1496" t="n">
        <v>7.89</v>
      </c>
      <c r="I1496" t="n">
        <v>3</v>
      </c>
      <c r="J1496" t="inlineStr">
        <is>
          <t>NA</t>
        </is>
      </c>
      <c r="K1496" t="n">
        <v>97.40000000000001</v>
      </c>
    </row>
    <row r="1497">
      <c r="A1497" t="inlineStr">
        <is>
          <t>SIMULATED Food Waste Remote Study</t>
        </is>
      </c>
      <c r="B1497" t="inlineStr">
        <is>
          <t>RESP0212</t>
        </is>
      </c>
      <c r="C1497" t="inlineStr">
        <is>
          <t>Stimulus</t>
        </is>
      </c>
      <c r="D1497" t="inlineStr">
        <is>
          <t>foodwaste_visual</t>
        </is>
      </c>
      <c r="E1497" t="n">
        <v>62</v>
      </c>
      <c r="F1497" t="inlineStr">
        <is>
          <t>Engagement</t>
        </is>
      </c>
      <c r="G1497" t="n">
        <v>50</v>
      </c>
      <c r="H1497" t="n">
        <v>90.43000000000001</v>
      </c>
      <c r="I1497" t="n">
        <v>25</v>
      </c>
      <c r="J1497" t="inlineStr">
        <is>
          <t>NA</t>
        </is>
      </c>
      <c r="K1497" t="n">
        <v>98.40000000000001</v>
      </c>
    </row>
    <row r="1498">
      <c r="A1498" t="inlineStr">
        <is>
          <t>SIMULATED Food Waste Remote Study</t>
        </is>
      </c>
      <c r="B1498" t="inlineStr">
        <is>
          <t>RESP0212</t>
        </is>
      </c>
      <c r="C1498" t="inlineStr">
        <is>
          <t>Stimulus</t>
        </is>
      </c>
      <c r="D1498" t="inlineStr">
        <is>
          <t>foodwaste_visual</t>
        </is>
      </c>
      <c r="E1498" t="n">
        <v>62</v>
      </c>
      <c r="F1498" t="inlineStr">
        <is>
          <t>Joy</t>
        </is>
      </c>
      <c r="G1498" t="n">
        <v>50</v>
      </c>
      <c r="H1498" t="n">
        <v>0</v>
      </c>
      <c r="I1498" t="n">
        <v>0</v>
      </c>
      <c r="J1498" t="inlineStr">
        <is>
          <t>NA</t>
        </is>
      </c>
      <c r="K1498" t="n">
        <v>98.40000000000001</v>
      </c>
    </row>
    <row r="1499">
      <c r="A1499" t="inlineStr">
        <is>
          <t>SIMULATED Food Waste Remote Study</t>
        </is>
      </c>
      <c r="B1499" t="inlineStr">
        <is>
          <t>RESP0212</t>
        </is>
      </c>
      <c r="C1499" t="inlineStr">
        <is>
          <t>Stimulus</t>
        </is>
      </c>
      <c r="D1499" t="inlineStr">
        <is>
          <t>foodwaste_visual</t>
        </is>
      </c>
      <c r="E1499" t="n">
        <v>62</v>
      </c>
      <c r="F1499" t="inlineStr">
        <is>
          <t>Brow Furrow</t>
        </is>
      </c>
      <c r="G1499" t="n">
        <v>50</v>
      </c>
      <c r="H1499" t="n">
        <v>2.74</v>
      </c>
      <c r="I1499" t="n">
        <v>2</v>
      </c>
      <c r="J1499" t="inlineStr">
        <is>
          <t>NA</t>
        </is>
      </c>
      <c r="K1499" t="n">
        <v>98.40000000000001</v>
      </c>
    </row>
    <row r="1500">
      <c r="A1500" t="inlineStr">
        <is>
          <t>SIMULATED Food Waste Remote Study</t>
        </is>
      </c>
      <c r="B1500" t="inlineStr">
        <is>
          <t>RESP0212</t>
        </is>
      </c>
      <c r="C1500" t="inlineStr">
        <is>
          <t>Stimulus</t>
        </is>
      </c>
      <c r="D1500" t="inlineStr">
        <is>
          <t>foodwaste_visual</t>
        </is>
      </c>
      <c r="E1500" t="n">
        <v>62</v>
      </c>
      <c r="F1500" t="inlineStr">
        <is>
          <t>Positive Valence</t>
        </is>
      </c>
      <c r="G1500" t="n">
        <v>50</v>
      </c>
      <c r="H1500" t="n">
        <v>1.29</v>
      </c>
      <c r="I1500" t="n">
        <v>1</v>
      </c>
      <c r="J1500" t="inlineStr">
        <is>
          <t>NA</t>
        </is>
      </c>
      <c r="K1500" t="n">
        <v>98.40000000000001</v>
      </c>
    </row>
    <row r="1501">
      <c r="A1501" t="inlineStr">
        <is>
          <t>SIMULATED Food Waste Remote Study</t>
        </is>
      </c>
      <c r="B1501" t="inlineStr">
        <is>
          <t>RESP0212</t>
        </is>
      </c>
      <c r="C1501" t="inlineStr">
        <is>
          <t>Stimulus</t>
        </is>
      </c>
      <c r="D1501" t="inlineStr">
        <is>
          <t>foodwaste_visual</t>
        </is>
      </c>
      <c r="E1501" t="n">
        <v>62</v>
      </c>
      <c r="F1501" t="inlineStr">
        <is>
          <t>Negative Valence</t>
        </is>
      </c>
      <c r="G1501" t="n">
        <v>-50</v>
      </c>
      <c r="H1501" t="n">
        <v>17.37</v>
      </c>
      <c r="I1501" t="n">
        <v>7</v>
      </c>
      <c r="J1501" t="inlineStr">
        <is>
          <t>NA</t>
        </is>
      </c>
      <c r="K1501" t="n">
        <v>98.40000000000001</v>
      </c>
    </row>
    <row r="1502">
      <c r="A1502" t="inlineStr">
        <is>
          <t>SIMULATED Food Waste Remote Study</t>
        </is>
      </c>
      <c r="B1502" t="inlineStr">
        <is>
          <t>RESP0214</t>
        </is>
      </c>
      <c r="C1502" t="inlineStr">
        <is>
          <t>Stimulus</t>
        </is>
      </c>
      <c r="D1502" t="inlineStr">
        <is>
          <t>foodwaste_narrative</t>
        </is>
      </c>
      <c r="E1502" t="n">
        <v>60</v>
      </c>
      <c r="F1502" t="inlineStr">
        <is>
          <t>Engagement</t>
        </is>
      </c>
      <c r="G1502" t="n">
        <v>50</v>
      </c>
      <c r="H1502" t="n">
        <v>0</v>
      </c>
      <c r="I1502" t="n">
        <v>0</v>
      </c>
      <c r="J1502" t="inlineStr">
        <is>
          <t>NA</t>
        </is>
      </c>
      <c r="K1502" t="n">
        <v>99.2</v>
      </c>
    </row>
    <row r="1503">
      <c r="A1503" t="inlineStr">
        <is>
          <t>SIMULATED Food Waste Remote Study</t>
        </is>
      </c>
      <c r="B1503" t="inlineStr">
        <is>
          <t>RESP0214</t>
        </is>
      </c>
      <c r="C1503" t="inlineStr">
        <is>
          <t>Stimulus</t>
        </is>
      </c>
      <c r="D1503" t="inlineStr">
        <is>
          <t>foodwaste_narrative</t>
        </is>
      </c>
      <c r="E1503" t="n">
        <v>60</v>
      </c>
      <c r="F1503" t="inlineStr">
        <is>
          <t>Joy</t>
        </is>
      </c>
      <c r="G1503" t="n">
        <v>50</v>
      </c>
      <c r="H1503" t="n">
        <v>0</v>
      </c>
      <c r="I1503" t="n">
        <v>0</v>
      </c>
      <c r="J1503" t="inlineStr">
        <is>
          <t>NA</t>
        </is>
      </c>
      <c r="K1503" t="n">
        <v>99.2</v>
      </c>
    </row>
    <row r="1504">
      <c r="A1504" t="inlineStr">
        <is>
          <t>SIMULATED Food Waste Remote Study</t>
        </is>
      </c>
      <c r="B1504" t="inlineStr">
        <is>
          <t>RESP0214</t>
        </is>
      </c>
      <c r="C1504" t="inlineStr">
        <is>
          <t>Stimulus</t>
        </is>
      </c>
      <c r="D1504" t="inlineStr">
        <is>
          <t>foodwaste_narrative</t>
        </is>
      </c>
      <c r="E1504" t="n">
        <v>60</v>
      </c>
      <c r="F1504" t="inlineStr">
        <is>
          <t>Brow Furrow</t>
        </is>
      </c>
      <c r="G1504" t="n">
        <v>50</v>
      </c>
      <c r="H1504" t="n">
        <v>0</v>
      </c>
      <c r="I1504" t="n">
        <v>0</v>
      </c>
      <c r="J1504" t="inlineStr">
        <is>
          <t>NA</t>
        </is>
      </c>
      <c r="K1504" t="n">
        <v>99.2</v>
      </c>
    </row>
    <row r="1505">
      <c r="A1505" t="inlineStr">
        <is>
          <t>SIMULATED Food Waste Remote Study</t>
        </is>
      </c>
      <c r="B1505" t="inlineStr">
        <is>
          <t>RESP0214</t>
        </is>
      </c>
      <c r="C1505" t="inlineStr">
        <is>
          <t>Stimulus</t>
        </is>
      </c>
      <c r="D1505" t="inlineStr">
        <is>
          <t>foodwaste_narrative</t>
        </is>
      </c>
      <c r="E1505" t="n">
        <v>60</v>
      </c>
      <c r="F1505" t="inlineStr">
        <is>
          <t>Positive Valence</t>
        </is>
      </c>
      <c r="G1505" t="n">
        <v>50</v>
      </c>
      <c r="H1505" t="n">
        <v>0</v>
      </c>
      <c r="I1505" t="n">
        <v>0</v>
      </c>
      <c r="J1505" t="inlineStr">
        <is>
          <t>NA</t>
        </is>
      </c>
      <c r="K1505" t="n">
        <v>99.2</v>
      </c>
    </row>
    <row r="1506">
      <c r="A1506" t="inlineStr">
        <is>
          <t>SIMULATED Food Waste Remote Study</t>
        </is>
      </c>
      <c r="B1506" t="inlineStr">
        <is>
          <t>RESP0214</t>
        </is>
      </c>
      <c r="C1506" t="inlineStr">
        <is>
          <t>Stimulus</t>
        </is>
      </c>
      <c r="D1506" t="inlineStr">
        <is>
          <t>foodwaste_narrative</t>
        </is>
      </c>
      <c r="E1506" t="n">
        <v>60</v>
      </c>
      <c r="F1506" t="inlineStr">
        <is>
          <t>Negative Valence</t>
        </is>
      </c>
      <c r="G1506" t="n">
        <v>-50</v>
      </c>
      <c r="H1506" t="n">
        <v>0</v>
      </c>
      <c r="I1506" t="n">
        <v>0</v>
      </c>
      <c r="J1506" t="inlineStr">
        <is>
          <t>NA</t>
        </is>
      </c>
      <c r="K1506" t="n">
        <v>99.2</v>
      </c>
    </row>
    <row r="1507">
      <c r="A1507" t="inlineStr">
        <is>
          <t>SIMULATED Food Waste Remote Study</t>
        </is>
      </c>
      <c r="B1507" t="inlineStr">
        <is>
          <t>RESP0214</t>
        </is>
      </c>
      <c r="C1507" t="inlineStr">
        <is>
          <t>Stimulus</t>
        </is>
      </c>
      <c r="D1507" t="inlineStr">
        <is>
          <t>foodwaste_visual</t>
        </is>
      </c>
      <c r="E1507" t="n">
        <v>62</v>
      </c>
      <c r="F1507" t="inlineStr">
        <is>
          <t>Engagement</t>
        </is>
      </c>
      <c r="G1507" t="n">
        <v>50</v>
      </c>
      <c r="H1507" t="n">
        <v>24.35</v>
      </c>
      <c r="I1507" t="n">
        <v>3</v>
      </c>
      <c r="J1507" t="inlineStr">
        <is>
          <t>NA</t>
        </is>
      </c>
      <c r="K1507" t="n">
        <v>98.8</v>
      </c>
    </row>
    <row r="1508">
      <c r="A1508" t="inlineStr">
        <is>
          <t>SIMULATED Food Waste Remote Study</t>
        </is>
      </c>
      <c r="B1508" t="inlineStr">
        <is>
          <t>RESP0214</t>
        </is>
      </c>
      <c r="C1508" t="inlineStr">
        <is>
          <t>Stimulus</t>
        </is>
      </c>
      <c r="D1508" t="inlineStr">
        <is>
          <t>foodwaste_visual</t>
        </is>
      </c>
      <c r="E1508" t="n">
        <v>62</v>
      </c>
      <c r="F1508" t="inlineStr">
        <is>
          <t>Joy</t>
        </is>
      </c>
      <c r="G1508" t="n">
        <v>50</v>
      </c>
      <c r="H1508" t="n">
        <v>0</v>
      </c>
      <c r="I1508" t="n">
        <v>0</v>
      </c>
      <c r="J1508" t="inlineStr">
        <is>
          <t>NA</t>
        </is>
      </c>
      <c r="K1508" t="n">
        <v>98.8</v>
      </c>
    </row>
    <row r="1509">
      <c r="A1509" t="inlineStr">
        <is>
          <t>SIMULATED Food Waste Remote Study</t>
        </is>
      </c>
      <c r="B1509" t="inlineStr">
        <is>
          <t>RESP0214</t>
        </is>
      </c>
      <c r="C1509" t="inlineStr">
        <is>
          <t>Stimulus</t>
        </is>
      </c>
      <c r="D1509" t="inlineStr">
        <is>
          <t>foodwaste_visual</t>
        </is>
      </c>
      <c r="E1509" t="n">
        <v>62</v>
      </c>
      <c r="F1509" t="inlineStr">
        <is>
          <t>Brow Furrow</t>
        </is>
      </c>
      <c r="G1509" t="n">
        <v>50</v>
      </c>
      <c r="H1509" t="n">
        <v>1.45</v>
      </c>
      <c r="I1509" t="n">
        <v>1</v>
      </c>
      <c r="J1509" t="inlineStr">
        <is>
          <t>NA</t>
        </is>
      </c>
      <c r="K1509" t="n">
        <v>98.8</v>
      </c>
    </row>
    <row r="1510">
      <c r="A1510" t="inlineStr">
        <is>
          <t>SIMULATED Food Waste Remote Study</t>
        </is>
      </c>
      <c r="B1510" t="inlineStr">
        <is>
          <t>RESP0214</t>
        </is>
      </c>
      <c r="C1510" t="inlineStr">
        <is>
          <t>Stimulus</t>
        </is>
      </c>
      <c r="D1510" t="inlineStr">
        <is>
          <t>foodwaste_visual</t>
        </is>
      </c>
      <c r="E1510" t="n">
        <v>62</v>
      </c>
      <c r="F1510" t="inlineStr">
        <is>
          <t>Positive Valence</t>
        </is>
      </c>
      <c r="G1510" t="n">
        <v>50</v>
      </c>
      <c r="H1510" t="n">
        <v>0</v>
      </c>
      <c r="I1510" t="n">
        <v>0</v>
      </c>
      <c r="J1510" t="inlineStr">
        <is>
          <t>NA</t>
        </is>
      </c>
      <c r="K1510" t="n">
        <v>98.8</v>
      </c>
    </row>
    <row r="1511">
      <c r="A1511" t="inlineStr">
        <is>
          <t>SIMULATED Food Waste Remote Study</t>
        </is>
      </c>
      <c r="B1511" t="inlineStr">
        <is>
          <t>RESP0214</t>
        </is>
      </c>
      <c r="C1511" t="inlineStr">
        <is>
          <t>Stimulus</t>
        </is>
      </c>
      <c r="D1511" t="inlineStr">
        <is>
          <t>foodwaste_visual</t>
        </is>
      </c>
      <c r="E1511" t="n">
        <v>62</v>
      </c>
      <c r="F1511" t="inlineStr">
        <is>
          <t>Negative Valence</t>
        </is>
      </c>
      <c r="G1511" t="n">
        <v>-50</v>
      </c>
      <c r="H1511" t="n">
        <v>1.13</v>
      </c>
      <c r="I1511" t="n">
        <v>1</v>
      </c>
      <c r="J1511" t="inlineStr">
        <is>
          <t>NA</t>
        </is>
      </c>
      <c r="K1511" t="n">
        <v>98.8</v>
      </c>
    </row>
    <row r="1512">
      <c r="A1512" t="inlineStr">
        <is>
          <t>SIMULATED Food Waste Remote Study</t>
        </is>
      </c>
      <c r="B1512" t="inlineStr">
        <is>
          <t>RESP0218</t>
        </is>
      </c>
      <c r="C1512" t="inlineStr">
        <is>
          <t>Stimulus</t>
        </is>
      </c>
      <c r="D1512" t="inlineStr">
        <is>
          <t>foodwaste_narrative</t>
        </is>
      </c>
      <c r="E1512" t="n">
        <v>60</v>
      </c>
      <c r="F1512" t="inlineStr">
        <is>
          <t>Engagement</t>
        </is>
      </c>
      <c r="G1512" t="n">
        <v>50</v>
      </c>
      <c r="H1512" t="n">
        <v>14.56</v>
      </c>
      <c r="I1512" t="n">
        <v>3</v>
      </c>
      <c r="J1512" t="inlineStr">
        <is>
          <t>NA</t>
        </is>
      </c>
      <c r="K1512" t="n">
        <v>72.8</v>
      </c>
    </row>
    <row r="1513">
      <c r="A1513" t="inlineStr">
        <is>
          <t>SIMULATED Food Waste Remote Study</t>
        </is>
      </c>
      <c r="B1513" t="inlineStr">
        <is>
          <t>RESP0218</t>
        </is>
      </c>
      <c r="C1513" t="inlineStr">
        <is>
          <t>Stimulus</t>
        </is>
      </c>
      <c r="D1513" t="inlineStr">
        <is>
          <t>foodwaste_narrative</t>
        </is>
      </c>
      <c r="E1513" t="n">
        <v>60</v>
      </c>
      <c r="F1513" t="inlineStr">
        <is>
          <t>Joy</t>
        </is>
      </c>
      <c r="G1513" t="n">
        <v>50</v>
      </c>
      <c r="H1513" t="n">
        <v>0.33</v>
      </c>
      <c r="I1513" t="n">
        <v>2</v>
      </c>
      <c r="J1513" t="inlineStr">
        <is>
          <t>NA</t>
        </is>
      </c>
      <c r="K1513" t="n">
        <v>72.8</v>
      </c>
    </row>
    <row r="1514">
      <c r="A1514" t="inlineStr">
        <is>
          <t>SIMULATED Food Waste Remote Study</t>
        </is>
      </c>
      <c r="B1514" t="inlineStr">
        <is>
          <t>RESP0218</t>
        </is>
      </c>
      <c r="C1514" t="inlineStr">
        <is>
          <t>Stimulus</t>
        </is>
      </c>
      <c r="D1514" t="inlineStr">
        <is>
          <t>foodwaste_narrative</t>
        </is>
      </c>
      <c r="E1514" t="n">
        <v>60</v>
      </c>
      <c r="F1514" t="inlineStr">
        <is>
          <t>Brow Furrow</t>
        </is>
      </c>
      <c r="G1514" t="n">
        <v>50</v>
      </c>
      <c r="H1514" t="n">
        <v>0</v>
      </c>
      <c r="I1514" t="n">
        <v>0</v>
      </c>
      <c r="J1514" t="inlineStr">
        <is>
          <t>NA</t>
        </is>
      </c>
      <c r="K1514" t="n">
        <v>72.8</v>
      </c>
    </row>
    <row r="1515">
      <c r="A1515" t="inlineStr">
        <is>
          <t>SIMULATED Food Waste Remote Study</t>
        </is>
      </c>
      <c r="B1515" t="inlineStr">
        <is>
          <t>RESP0218</t>
        </is>
      </c>
      <c r="C1515" t="inlineStr">
        <is>
          <t>Stimulus</t>
        </is>
      </c>
      <c r="D1515" t="inlineStr">
        <is>
          <t>foodwaste_narrative</t>
        </is>
      </c>
      <c r="E1515" t="n">
        <v>60</v>
      </c>
      <c r="F1515" t="inlineStr">
        <is>
          <t>Positive Valence</t>
        </is>
      </c>
      <c r="G1515" t="n">
        <v>50</v>
      </c>
      <c r="H1515" t="n">
        <v>2.67</v>
      </c>
      <c r="I1515" t="n">
        <v>4</v>
      </c>
      <c r="J1515" t="inlineStr">
        <is>
          <t>NA</t>
        </is>
      </c>
      <c r="K1515" t="n">
        <v>72.8</v>
      </c>
    </row>
    <row r="1516">
      <c r="A1516" t="inlineStr">
        <is>
          <t>SIMULATED Food Waste Remote Study</t>
        </is>
      </c>
      <c r="B1516" t="inlineStr">
        <is>
          <t>RESP0218</t>
        </is>
      </c>
      <c r="C1516" t="inlineStr">
        <is>
          <t>Stimulus</t>
        </is>
      </c>
      <c r="D1516" t="inlineStr">
        <is>
          <t>foodwaste_narrative</t>
        </is>
      </c>
      <c r="E1516" t="n">
        <v>60</v>
      </c>
      <c r="F1516" t="inlineStr">
        <is>
          <t>Negative Valence</t>
        </is>
      </c>
      <c r="G1516" t="n">
        <v>-50</v>
      </c>
      <c r="H1516" t="n">
        <v>0</v>
      </c>
      <c r="I1516" t="n">
        <v>0</v>
      </c>
      <c r="J1516" t="inlineStr">
        <is>
          <t>NA</t>
        </is>
      </c>
      <c r="K1516" t="n">
        <v>72.8</v>
      </c>
    </row>
    <row r="1517">
      <c r="A1517" t="inlineStr">
        <is>
          <t>SIMULATED Food Waste Remote Study</t>
        </is>
      </c>
      <c r="B1517" t="inlineStr">
        <is>
          <t>RESP0218</t>
        </is>
      </c>
      <c r="C1517" t="inlineStr">
        <is>
          <t>Stimulus</t>
        </is>
      </c>
      <c r="D1517" t="inlineStr">
        <is>
          <t>foodwaste_visual</t>
        </is>
      </c>
      <c r="E1517" t="n">
        <v>62</v>
      </c>
      <c r="F1517" t="inlineStr">
        <is>
          <t>Engagement</t>
        </is>
      </c>
      <c r="G1517" t="n">
        <v>50</v>
      </c>
      <c r="H1517" t="n">
        <v>44.89</v>
      </c>
      <c r="I1517" t="n">
        <v>13</v>
      </c>
      <c r="J1517" t="inlineStr">
        <is>
          <t>NA</t>
        </is>
      </c>
      <c r="K1517" t="n">
        <v>82.3</v>
      </c>
    </row>
    <row r="1518">
      <c r="A1518" t="inlineStr">
        <is>
          <t>SIMULATED Food Waste Remote Study</t>
        </is>
      </c>
      <c r="B1518" t="inlineStr">
        <is>
          <t>RESP0218</t>
        </is>
      </c>
      <c r="C1518" t="inlineStr">
        <is>
          <t>Stimulus</t>
        </is>
      </c>
      <c r="D1518" t="inlineStr">
        <is>
          <t>foodwaste_visual</t>
        </is>
      </c>
      <c r="E1518" t="n">
        <v>62</v>
      </c>
      <c r="F1518" t="inlineStr">
        <is>
          <t>Joy</t>
        </is>
      </c>
      <c r="G1518" t="n">
        <v>50</v>
      </c>
      <c r="H1518" t="n">
        <v>14.89</v>
      </c>
      <c r="I1518" t="n">
        <v>8</v>
      </c>
      <c r="J1518" t="inlineStr">
        <is>
          <t>NA</t>
        </is>
      </c>
      <c r="K1518" t="n">
        <v>82.3</v>
      </c>
    </row>
    <row r="1519">
      <c r="A1519" t="inlineStr">
        <is>
          <t>SIMULATED Food Waste Remote Study</t>
        </is>
      </c>
      <c r="B1519" t="inlineStr">
        <is>
          <t>RESP0218</t>
        </is>
      </c>
      <c r="C1519" t="inlineStr">
        <is>
          <t>Stimulus</t>
        </is>
      </c>
      <c r="D1519" t="inlineStr">
        <is>
          <t>foodwaste_visual</t>
        </is>
      </c>
      <c r="E1519" t="n">
        <v>62</v>
      </c>
      <c r="F1519" t="inlineStr">
        <is>
          <t>Brow Furrow</t>
        </is>
      </c>
      <c r="G1519" t="n">
        <v>50</v>
      </c>
      <c r="H1519" t="n">
        <v>0</v>
      </c>
      <c r="I1519" t="n">
        <v>0</v>
      </c>
      <c r="J1519" t="inlineStr">
        <is>
          <t>NA</t>
        </is>
      </c>
      <c r="K1519" t="n">
        <v>82.3</v>
      </c>
    </row>
    <row r="1520">
      <c r="A1520" t="inlineStr">
        <is>
          <t>SIMULATED Food Waste Remote Study</t>
        </is>
      </c>
      <c r="B1520" t="inlineStr">
        <is>
          <t>RESP0218</t>
        </is>
      </c>
      <c r="C1520" t="inlineStr">
        <is>
          <t>Stimulus</t>
        </is>
      </c>
      <c r="D1520" t="inlineStr">
        <is>
          <t>foodwaste_visual</t>
        </is>
      </c>
      <c r="E1520" t="n">
        <v>62</v>
      </c>
      <c r="F1520" t="inlineStr">
        <is>
          <t>Positive Valence</t>
        </is>
      </c>
      <c r="G1520" t="n">
        <v>50</v>
      </c>
      <c r="H1520" t="n">
        <v>24.84</v>
      </c>
      <c r="I1520" t="n">
        <v>8</v>
      </c>
      <c r="J1520" t="inlineStr">
        <is>
          <t>NA</t>
        </is>
      </c>
      <c r="K1520" t="n">
        <v>82.3</v>
      </c>
    </row>
    <row r="1521">
      <c r="A1521" t="inlineStr">
        <is>
          <t>SIMULATED Food Waste Remote Study</t>
        </is>
      </c>
      <c r="B1521" t="inlineStr">
        <is>
          <t>RESP0218</t>
        </is>
      </c>
      <c r="C1521" t="inlineStr">
        <is>
          <t>Stimulus</t>
        </is>
      </c>
      <c r="D1521" t="inlineStr">
        <is>
          <t>foodwaste_visual</t>
        </is>
      </c>
      <c r="E1521" t="n">
        <v>62</v>
      </c>
      <c r="F1521" t="inlineStr">
        <is>
          <t>Negative Valence</t>
        </is>
      </c>
      <c r="G1521" t="n">
        <v>-50</v>
      </c>
      <c r="H1521" t="n">
        <v>4.62</v>
      </c>
      <c r="I1521" t="n">
        <v>4</v>
      </c>
      <c r="J1521" t="inlineStr">
        <is>
          <t>NA</t>
        </is>
      </c>
      <c r="K1521" t="n">
        <v>82.3</v>
      </c>
    </row>
    <row r="1522">
      <c r="A1522" t="inlineStr">
        <is>
          <t>SIMULATED Food Waste Remote Study</t>
        </is>
      </c>
      <c r="B1522" t="inlineStr">
        <is>
          <t>RESP0219</t>
        </is>
      </c>
      <c r="C1522" t="inlineStr">
        <is>
          <t>Stimulus</t>
        </is>
      </c>
      <c r="D1522" t="inlineStr">
        <is>
          <t>foodwaste_narrative</t>
        </is>
      </c>
      <c r="E1522" t="n">
        <v>60</v>
      </c>
      <c r="F1522" t="inlineStr">
        <is>
          <t>Engagement</t>
        </is>
      </c>
      <c r="G1522" t="n">
        <v>50</v>
      </c>
      <c r="H1522" t="n">
        <v>0</v>
      </c>
      <c r="I1522" t="n">
        <v>0</v>
      </c>
      <c r="J1522" t="inlineStr">
        <is>
          <t>NA</t>
        </is>
      </c>
      <c r="K1522" t="n">
        <v>96.2</v>
      </c>
    </row>
    <row r="1523">
      <c r="A1523" t="inlineStr">
        <is>
          <t>SIMULATED Food Waste Remote Study</t>
        </is>
      </c>
      <c r="B1523" t="inlineStr">
        <is>
          <t>RESP0219</t>
        </is>
      </c>
      <c r="C1523" t="inlineStr">
        <is>
          <t>Stimulus</t>
        </is>
      </c>
      <c r="D1523" t="inlineStr">
        <is>
          <t>foodwaste_narrative</t>
        </is>
      </c>
      <c r="E1523" t="n">
        <v>60</v>
      </c>
      <c r="F1523" t="inlineStr">
        <is>
          <t>Joy</t>
        </is>
      </c>
      <c r="G1523" t="n">
        <v>50</v>
      </c>
      <c r="H1523" t="n">
        <v>0</v>
      </c>
      <c r="I1523" t="n">
        <v>0</v>
      </c>
      <c r="J1523" t="inlineStr">
        <is>
          <t>NA</t>
        </is>
      </c>
      <c r="K1523" t="n">
        <v>96.2</v>
      </c>
    </row>
    <row r="1524">
      <c r="A1524" t="inlineStr">
        <is>
          <t>SIMULATED Food Waste Remote Study</t>
        </is>
      </c>
      <c r="B1524" t="inlineStr">
        <is>
          <t>RESP0219</t>
        </is>
      </c>
      <c r="C1524" t="inlineStr">
        <is>
          <t>Stimulus</t>
        </is>
      </c>
      <c r="D1524" t="inlineStr">
        <is>
          <t>foodwaste_narrative</t>
        </is>
      </c>
      <c r="E1524" t="n">
        <v>60</v>
      </c>
      <c r="F1524" t="inlineStr">
        <is>
          <t>Brow Furrow</t>
        </is>
      </c>
      <c r="G1524" t="n">
        <v>50</v>
      </c>
      <c r="H1524" t="n">
        <v>13.61</v>
      </c>
      <c r="I1524" t="n">
        <v>2</v>
      </c>
      <c r="J1524" t="inlineStr">
        <is>
          <t>NA</t>
        </is>
      </c>
      <c r="K1524" t="n">
        <v>96.2</v>
      </c>
    </row>
    <row r="1525">
      <c r="A1525" t="inlineStr">
        <is>
          <t>SIMULATED Food Waste Remote Study</t>
        </is>
      </c>
      <c r="B1525" t="inlineStr">
        <is>
          <t>RESP0219</t>
        </is>
      </c>
      <c r="C1525" t="inlineStr">
        <is>
          <t>Stimulus</t>
        </is>
      </c>
      <c r="D1525" t="inlineStr">
        <is>
          <t>foodwaste_narrative</t>
        </is>
      </c>
      <c r="E1525" t="n">
        <v>60</v>
      </c>
      <c r="F1525" t="inlineStr">
        <is>
          <t>Positive Valence</t>
        </is>
      </c>
      <c r="G1525" t="n">
        <v>50</v>
      </c>
      <c r="H1525" t="n">
        <v>0.06</v>
      </c>
      <c r="I1525" t="n">
        <v>1</v>
      </c>
      <c r="J1525" t="inlineStr">
        <is>
          <t>NA</t>
        </is>
      </c>
      <c r="K1525" t="n">
        <v>96.2</v>
      </c>
    </row>
    <row r="1526">
      <c r="A1526" t="inlineStr">
        <is>
          <t>SIMULATED Food Waste Remote Study</t>
        </is>
      </c>
      <c r="B1526" t="inlineStr">
        <is>
          <t>RESP0219</t>
        </is>
      </c>
      <c r="C1526" t="inlineStr">
        <is>
          <t>Stimulus</t>
        </is>
      </c>
      <c r="D1526" t="inlineStr">
        <is>
          <t>foodwaste_narrative</t>
        </is>
      </c>
      <c r="E1526" t="n">
        <v>60</v>
      </c>
      <c r="F1526" t="inlineStr">
        <is>
          <t>Negative Valence</t>
        </is>
      </c>
      <c r="G1526" t="n">
        <v>-50</v>
      </c>
      <c r="H1526" t="n">
        <v>24.56</v>
      </c>
      <c r="I1526" t="n">
        <v>4</v>
      </c>
      <c r="J1526" t="inlineStr">
        <is>
          <t>NA</t>
        </is>
      </c>
      <c r="K1526" t="n">
        <v>96.2</v>
      </c>
    </row>
    <row r="1527">
      <c r="A1527" t="inlineStr">
        <is>
          <t>SIMULATED Food Waste Remote Study</t>
        </is>
      </c>
      <c r="B1527" t="inlineStr">
        <is>
          <t>RESP0219</t>
        </is>
      </c>
      <c r="C1527" t="inlineStr">
        <is>
          <t>Stimulus</t>
        </is>
      </c>
      <c r="D1527" t="inlineStr">
        <is>
          <t>foodwaste_visual</t>
        </is>
      </c>
      <c r="E1527" t="n">
        <v>62</v>
      </c>
      <c r="F1527" t="inlineStr">
        <is>
          <t>Engagement</t>
        </is>
      </c>
      <c r="G1527" t="n">
        <v>50</v>
      </c>
      <c r="H1527" t="n">
        <v>63.87</v>
      </c>
      <c r="I1527" t="n">
        <v>18</v>
      </c>
      <c r="J1527" t="inlineStr">
        <is>
          <t>NA</t>
        </is>
      </c>
      <c r="K1527" t="n">
        <v>97</v>
      </c>
    </row>
    <row r="1528">
      <c r="A1528" t="inlineStr">
        <is>
          <t>SIMULATED Food Waste Remote Study</t>
        </is>
      </c>
      <c r="B1528" t="inlineStr">
        <is>
          <t>RESP0219</t>
        </is>
      </c>
      <c r="C1528" t="inlineStr">
        <is>
          <t>Stimulus</t>
        </is>
      </c>
      <c r="D1528" t="inlineStr">
        <is>
          <t>foodwaste_visual</t>
        </is>
      </c>
      <c r="E1528" t="n">
        <v>62</v>
      </c>
      <c r="F1528" t="inlineStr">
        <is>
          <t>Joy</t>
        </is>
      </c>
      <c r="G1528" t="n">
        <v>50</v>
      </c>
      <c r="H1528" t="n">
        <v>0</v>
      </c>
      <c r="I1528" t="n">
        <v>0</v>
      </c>
      <c r="J1528" t="inlineStr">
        <is>
          <t>NA</t>
        </is>
      </c>
      <c r="K1528" t="n">
        <v>97</v>
      </c>
    </row>
    <row r="1529">
      <c r="A1529" t="inlineStr">
        <is>
          <t>SIMULATED Food Waste Remote Study</t>
        </is>
      </c>
      <c r="B1529" t="inlineStr">
        <is>
          <t>RESP0219</t>
        </is>
      </c>
      <c r="C1529" t="inlineStr">
        <is>
          <t>Stimulus</t>
        </is>
      </c>
      <c r="D1529" t="inlineStr">
        <is>
          <t>foodwaste_visual</t>
        </is>
      </c>
      <c r="E1529" t="n">
        <v>62</v>
      </c>
      <c r="F1529" t="inlineStr">
        <is>
          <t>Brow Furrow</t>
        </is>
      </c>
      <c r="G1529" t="n">
        <v>50</v>
      </c>
      <c r="H1529" t="n">
        <v>35</v>
      </c>
      <c r="I1529" t="n">
        <v>9</v>
      </c>
      <c r="J1529" t="inlineStr">
        <is>
          <t>NA</t>
        </is>
      </c>
      <c r="K1529" t="n">
        <v>97</v>
      </c>
    </row>
    <row r="1530">
      <c r="A1530" t="inlineStr">
        <is>
          <t>SIMULATED Food Waste Remote Study</t>
        </is>
      </c>
      <c r="B1530" t="inlineStr">
        <is>
          <t>RESP0219</t>
        </is>
      </c>
      <c r="C1530" t="inlineStr">
        <is>
          <t>Stimulus</t>
        </is>
      </c>
      <c r="D1530" t="inlineStr">
        <is>
          <t>foodwaste_visual</t>
        </is>
      </c>
      <c r="E1530" t="n">
        <v>62</v>
      </c>
      <c r="F1530" t="inlineStr">
        <is>
          <t>Positive Valence</t>
        </is>
      </c>
      <c r="G1530" t="n">
        <v>50</v>
      </c>
      <c r="H1530" t="n">
        <v>0</v>
      </c>
      <c r="I1530" t="n">
        <v>0</v>
      </c>
      <c r="J1530" t="inlineStr">
        <is>
          <t>NA</t>
        </is>
      </c>
      <c r="K1530" t="n">
        <v>97</v>
      </c>
    </row>
    <row r="1531">
      <c r="A1531" t="inlineStr">
        <is>
          <t>SIMULATED Food Waste Remote Study</t>
        </is>
      </c>
      <c r="B1531" t="inlineStr">
        <is>
          <t>RESP0219</t>
        </is>
      </c>
      <c r="C1531" t="inlineStr">
        <is>
          <t>Stimulus</t>
        </is>
      </c>
      <c r="D1531" t="inlineStr">
        <is>
          <t>foodwaste_visual</t>
        </is>
      </c>
      <c r="E1531" t="n">
        <v>62</v>
      </c>
      <c r="F1531" t="inlineStr">
        <is>
          <t>Negative Valence</t>
        </is>
      </c>
      <c r="G1531" t="n">
        <v>-50</v>
      </c>
      <c r="H1531" t="n">
        <v>13.23</v>
      </c>
      <c r="I1531" t="n">
        <v>5</v>
      </c>
      <c r="J1531" t="inlineStr">
        <is>
          <t>NA</t>
        </is>
      </c>
      <c r="K1531" t="n">
        <v>97</v>
      </c>
    </row>
    <row r="1532">
      <c r="A1532" t="inlineStr">
        <is>
          <t>SIMULATED Food Waste Remote Study</t>
        </is>
      </c>
      <c r="B1532" t="inlineStr">
        <is>
          <t>RESP0222</t>
        </is>
      </c>
      <c r="C1532" t="inlineStr">
        <is>
          <t>Stimulus</t>
        </is>
      </c>
      <c r="D1532" t="inlineStr">
        <is>
          <t>foodwaste_narrative</t>
        </is>
      </c>
      <c r="E1532" t="n">
        <v>60</v>
      </c>
      <c r="F1532" t="inlineStr">
        <is>
          <t>Engagement</t>
        </is>
      </c>
      <c r="G1532" t="n">
        <v>50</v>
      </c>
      <c r="H1532" t="n">
        <v>0</v>
      </c>
      <c r="I1532" t="n">
        <v>0</v>
      </c>
      <c r="J1532" t="inlineStr">
        <is>
          <t>NA</t>
        </is>
      </c>
      <c r="K1532" t="n">
        <v>99.3</v>
      </c>
    </row>
    <row r="1533">
      <c r="A1533" t="inlineStr">
        <is>
          <t>SIMULATED Food Waste Remote Study</t>
        </is>
      </c>
      <c r="B1533" t="inlineStr">
        <is>
          <t>RESP0222</t>
        </is>
      </c>
      <c r="C1533" t="inlineStr">
        <is>
          <t>Stimulus</t>
        </is>
      </c>
      <c r="D1533" t="inlineStr">
        <is>
          <t>foodwaste_narrative</t>
        </is>
      </c>
      <c r="E1533" t="n">
        <v>60</v>
      </c>
      <c r="F1533" t="inlineStr">
        <is>
          <t>Joy</t>
        </is>
      </c>
      <c r="G1533" t="n">
        <v>50</v>
      </c>
      <c r="H1533" t="n">
        <v>0.5</v>
      </c>
      <c r="I1533" t="n">
        <v>1</v>
      </c>
      <c r="J1533" t="inlineStr">
        <is>
          <t>NA</t>
        </is>
      </c>
      <c r="K1533" t="n">
        <v>99.3</v>
      </c>
    </row>
    <row r="1534">
      <c r="A1534" t="inlineStr">
        <is>
          <t>SIMULATED Food Waste Remote Study</t>
        </is>
      </c>
      <c r="B1534" t="inlineStr">
        <is>
          <t>RESP0222</t>
        </is>
      </c>
      <c r="C1534" t="inlineStr">
        <is>
          <t>Stimulus</t>
        </is>
      </c>
      <c r="D1534" t="inlineStr">
        <is>
          <t>foodwaste_narrative</t>
        </is>
      </c>
      <c r="E1534" t="n">
        <v>60</v>
      </c>
      <c r="F1534" t="inlineStr">
        <is>
          <t>Brow Furrow</t>
        </is>
      </c>
      <c r="G1534" t="n">
        <v>50</v>
      </c>
      <c r="H1534" t="n">
        <v>0</v>
      </c>
      <c r="I1534" t="n">
        <v>0</v>
      </c>
      <c r="J1534" t="inlineStr">
        <is>
          <t>NA</t>
        </is>
      </c>
      <c r="K1534" t="n">
        <v>99.3</v>
      </c>
    </row>
    <row r="1535">
      <c r="A1535" t="inlineStr">
        <is>
          <t>SIMULATED Food Waste Remote Study</t>
        </is>
      </c>
      <c r="B1535" t="inlineStr">
        <is>
          <t>RESP0222</t>
        </is>
      </c>
      <c r="C1535" t="inlineStr">
        <is>
          <t>Stimulus</t>
        </is>
      </c>
      <c r="D1535" t="inlineStr">
        <is>
          <t>foodwaste_narrative</t>
        </is>
      </c>
      <c r="E1535" t="n">
        <v>60</v>
      </c>
      <c r="F1535" t="inlineStr">
        <is>
          <t>Positive Valence</t>
        </is>
      </c>
      <c r="G1535" t="n">
        <v>50</v>
      </c>
      <c r="H1535" t="n">
        <v>0.44</v>
      </c>
      <c r="I1535" t="n">
        <v>1</v>
      </c>
      <c r="J1535" t="inlineStr">
        <is>
          <t>NA</t>
        </is>
      </c>
      <c r="K1535" t="n">
        <v>99.3</v>
      </c>
    </row>
    <row r="1536">
      <c r="A1536" t="inlineStr">
        <is>
          <t>SIMULATED Food Waste Remote Study</t>
        </is>
      </c>
      <c r="B1536" t="inlineStr">
        <is>
          <t>RESP0222</t>
        </is>
      </c>
      <c r="C1536" t="inlineStr">
        <is>
          <t>Stimulus</t>
        </is>
      </c>
      <c r="D1536" t="inlineStr">
        <is>
          <t>foodwaste_narrative</t>
        </is>
      </c>
      <c r="E1536" t="n">
        <v>60</v>
      </c>
      <c r="F1536" t="inlineStr">
        <is>
          <t>Negative Valence</t>
        </is>
      </c>
      <c r="G1536" t="n">
        <v>-50</v>
      </c>
      <c r="H1536" t="n">
        <v>0</v>
      </c>
      <c r="I1536" t="n">
        <v>0</v>
      </c>
      <c r="J1536" t="inlineStr">
        <is>
          <t>NA</t>
        </is>
      </c>
      <c r="K1536" t="n">
        <v>99.3</v>
      </c>
    </row>
    <row r="1537">
      <c r="A1537" t="inlineStr">
        <is>
          <t>SIMULATED Food Waste Remote Study</t>
        </is>
      </c>
      <c r="B1537" t="inlineStr">
        <is>
          <t>RESP0222</t>
        </is>
      </c>
      <c r="C1537" t="inlineStr">
        <is>
          <t>Stimulus</t>
        </is>
      </c>
      <c r="D1537" t="inlineStr">
        <is>
          <t>foodwaste_visual</t>
        </is>
      </c>
      <c r="E1537" t="n">
        <v>62</v>
      </c>
      <c r="F1537" t="inlineStr">
        <is>
          <t>Engagement</t>
        </is>
      </c>
      <c r="G1537" t="n">
        <v>50</v>
      </c>
      <c r="H1537" t="n">
        <v>81.61</v>
      </c>
      <c r="I1537" t="n">
        <v>13</v>
      </c>
      <c r="J1537" t="inlineStr">
        <is>
          <t>NA</t>
        </is>
      </c>
      <c r="K1537" t="n">
        <v>99.3</v>
      </c>
    </row>
    <row r="1538">
      <c r="A1538" t="inlineStr">
        <is>
          <t>SIMULATED Food Waste Remote Study</t>
        </is>
      </c>
      <c r="B1538" t="inlineStr">
        <is>
          <t>RESP0222</t>
        </is>
      </c>
      <c r="C1538" t="inlineStr">
        <is>
          <t>Stimulus</t>
        </is>
      </c>
      <c r="D1538" t="inlineStr">
        <is>
          <t>foodwaste_visual</t>
        </is>
      </c>
      <c r="E1538" t="n">
        <v>62</v>
      </c>
      <c r="F1538" t="inlineStr">
        <is>
          <t>Joy</t>
        </is>
      </c>
      <c r="G1538" t="n">
        <v>50</v>
      </c>
      <c r="H1538" t="n">
        <v>0.22</v>
      </c>
      <c r="I1538" t="n">
        <v>1</v>
      </c>
      <c r="J1538" t="inlineStr">
        <is>
          <t>NA</t>
        </is>
      </c>
      <c r="K1538" t="n">
        <v>99.3</v>
      </c>
    </row>
    <row r="1539">
      <c r="A1539" t="inlineStr">
        <is>
          <t>SIMULATED Food Waste Remote Study</t>
        </is>
      </c>
      <c r="B1539" t="inlineStr">
        <is>
          <t>RESP0222</t>
        </is>
      </c>
      <c r="C1539" t="inlineStr">
        <is>
          <t>Stimulus</t>
        </is>
      </c>
      <c r="D1539" t="inlineStr">
        <is>
          <t>foodwaste_visual</t>
        </is>
      </c>
      <c r="E1539" t="n">
        <v>62</v>
      </c>
      <c r="F1539" t="inlineStr">
        <is>
          <t>Brow Furrow</t>
        </is>
      </c>
      <c r="G1539" t="n">
        <v>50</v>
      </c>
      <c r="H1539" t="n">
        <v>6.72</v>
      </c>
      <c r="I1539" t="n">
        <v>2</v>
      </c>
      <c r="J1539" t="inlineStr">
        <is>
          <t>NA</t>
        </is>
      </c>
      <c r="K1539" t="n">
        <v>99.3</v>
      </c>
    </row>
    <row r="1540">
      <c r="A1540" t="inlineStr">
        <is>
          <t>SIMULATED Food Waste Remote Study</t>
        </is>
      </c>
      <c r="B1540" t="inlineStr">
        <is>
          <t>RESP0222</t>
        </is>
      </c>
      <c r="C1540" t="inlineStr">
        <is>
          <t>Stimulus</t>
        </is>
      </c>
      <c r="D1540" t="inlineStr">
        <is>
          <t>foodwaste_visual</t>
        </is>
      </c>
      <c r="E1540" t="n">
        <v>62</v>
      </c>
      <c r="F1540" t="inlineStr">
        <is>
          <t>Positive Valence</t>
        </is>
      </c>
      <c r="G1540" t="n">
        <v>50</v>
      </c>
      <c r="H1540" t="n">
        <v>10.38</v>
      </c>
      <c r="I1540" t="n">
        <v>3</v>
      </c>
      <c r="J1540" t="inlineStr">
        <is>
          <t>NA</t>
        </is>
      </c>
      <c r="K1540" t="n">
        <v>99.3</v>
      </c>
    </row>
    <row r="1541">
      <c r="A1541" t="inlineStr">
        <is>
          <t>SIMULATED Food Waste Remote Study</t>
        </is>
      </c>
      <c r="B1541" t="inlineStr">
        <is>
          <t>RESP0222</t>
        </is>
      </c>
      <c r="C1541" t="inlineStr">
        <is>
          <t>Stimulus</t>
        </is>
      </c>
      <c r="D1541" t="inlineStr">
        <is>
          <t>foodwaste_visual</t>
        </is>
      </c>
      <c r="E1541" t="n">
        <v>62</v>
      </c>
      <c r="F1541" t="inlineStr">
        <is>
          <t>Negative Valence</t>
        </is>
      </c>
      <c r="G1541" t="n">
        <v>-50</v>
      </c>
      <c r="H1541" t="n">
        <v>14.09</v>
      </c>
      <c r="I1541" t="n">
        <v>5</v>
      </c>
      <c r="J1541" t="inlineStr">
        <is>
          <t>NA</t>
        </is>
      </c>
      <c r="K1541" t="n">
        <v>99.3</v>
      </c>
    </row>
    <row r="1542">
      <c r="A1542" t="inlineStr">
        <is>
          <t>SIMULATED Food Waste Remote Study</t>
        </is>
      </c>
      <c r="B1542" t="inlineStr">
        <is>
          <t>RESP0223</t>
        </is>
      </c>
      <c r="C1542" t="inlineStr">
        <is>
          <t>Stimulus</t>
        </is>
      </c>
      <c r="D1542" t="inlineStr">
        <is>
          <t>foodwaste_narrative</t>
        </is>
      </c>
      <c r="E1542" t="n">
        <v>60</v>
      </c>
      <c r="F1542" t="inlineStr">
        <is>
          <t>Engagement</t>
        </is>
      </c>
      <c r="G1542" t="n">
        <v>50</v>
      </c>
      <c r="H1542" t="n">
        <v>12.94</v>
      </c>
      <c r="I1542" t="n">
        <v>7</v>
      </c>
      <c r="J1542" t="inlineStr">
        <is>
          <t>NA</t>
        </is>
      </c>
      <c r="K1542" t="n">
        <v>89.09999999999999</v>
      </c>
    </row>
    <row r="1543">
      <c r="A1543" t="inlineStr">
        <is>
          <t>SIMULATED Food Waste Remote Study</t>
        </is>
      </c>
      <c r="B1543" t="inlineStr">
        <is>
          <t>RESP0223</t>
        </is>
      </c>
      <c r="C1543" t="inlineStr">
        <is>
          <t>Stimulus</t>
        </is>
      </c>
      <c r="D1543" t="inlineStr">
        <is>
          <t>foodwaste_narrative</t>
        </is>
      </c>
      <c r="E1543" t="n">
        <v>60</v>
      </c>
      <c r="F1543" t="inlineStr">
        <is>
          <t>Joy</t>
        </is>
      </c>
      <c r="G1543" t="n">
        <v>50</v>
      </c>
      <c r="H1543" t="n">
        <v>3.67</v>
      </c>
      <c r="I1543" t="n">
        <v>2</v>
      </c>
      <c r="J1543" t="inlineStr">
        <is>
          <t>NA</t>
        </is>
      </c>
      <c r="K1543" t="n">
        <v>89.09999999999999</v>
      </c>
    </row>
    <row r="1544">
      <c r="A1544" t="inlineStr">
        <is>
          <t>SIMULATED Food Waste Remote Study</t>
        </is>
      </c>
      <c r="B1544" t="inlineStr">
        <is>
          <t>RESP0223</t>
        </is>
      </c>
      <c r="C1544" t="inlineStr">
        <is>
          <t>Stimulus</t>
        </is>
      </c>
      <c r="D1544" t="inlineStr">
        <is>
          <t>foodwaste_narrative</t>
        </is>
      </c>
      <c r="E1544" t="n">
        <v>60</v>
      </c>
      <c r="F1544" t="inlineStr">
        <is>
          <t>Brow Furrow</t>
        </is>
      </c>
      <c r="G1544" t="n">
        <v>50</v>
      </c>
      <c r="H1544" t="n">
        <v>0</v>
      </c>
      <c r="I1544" t="n">
        <v>0</v>
      </c>
      <c r="J1544" t="inlineStr">
        <is>
          <t>NA</t>
        </is>
      </c>
      <c r="K1544" t="n">
        <v>89.09999999999999</v>
      </c>
    </row>
    <row r="1545">
      <c r="A1545" t="inlineStr">
        <is>
          <t>SIMULATED Food Waste Remote Study</t>
        </is>
      </c>
      <c r="B1545" t="inlineStr">
        <is>
          <t>RESP0223</t>
        </is>
      </c>
      <c r="C1545" t="inlineStr">
        <is>
          <t>Stimulus</t>
        </is>
      </c>
      <c r="D1545" t="inlineStr">
        <is>
          <t>foodwaste_narrative</t>
        </is>
      </c>
      <c r="E1545" t="n">
        <v>60</v>
      </c>
      <c r="F1545" t="inlineStr">
        <is>
          <t>Positive Valence</t>
        </is>
      </c>
      <c r="G1545" t="n">
        <v>50</v>
      </c>
      <c r="H1545" t="n">
        <v>1.89</v>
      </c>
      <c r="I1545" t="n">
        <v>1</v>
      </c>
      <c r="J1545" t="inlineStr">
        <is>
          <t>NA</t>
        </is>
      </c>
      <c r="K1545" t="n">
        <v>89.09999999999999</v>
      </c>
    </row>
    <row r="1546">
      <c r="A1546" t="inlineStr">
        <is>
          <t>SIMULATED Food Waste Remote Study</t>
        </is>
      </c>
      <c r="B1546" t="inlineStr">
        <is>
          <t>RESP0223</t>
        </is>
      </c>
      <c r="C1546" t="inlineStr">
        <is>
          <t>Stimulus</t>
        </is>
      </c>
      <c r="D1546" t="inlineStr">
        <is>
          <t>foodwaste_narrative</t>
        </is>
      </c>
      <c r="E1546" t="n">
        <v>60</v>
      </c>
      <c r="F1546" t="inlineStr">
        <is>
          <t>Negative Valence</t>
        </is>
      </c>
      <c r="G1546" t="n">
        <v>-50</v>
      </c>
      <c r="H1546" t="n">
        <v>0</v>
      </c>
      <c r="I1546" t="n">
        <v>0</v>
      </c>
      <c r="J1546" t="inlineStr">
        <is>
          <t>NA</t>
        </is>
      </c>
      <c r="K1546" t="n">
        <v>89.09999999999999</v>
      </c>
    </row>
    <row r="1547">
      <c r="A1547" t="inlineStr">
        <is>
          <t>SIMULATED Food Waste Remote Study</t>
        </is>
      </c>
      <c r="B1547" t="inlineStr">
        <is>
          <t>RESP0223</t>
        </is>
      </c>
      <c r="C1547" t="inlineStr">
        <is>
          <t>Stimulus</t>
        </is>
      </c>
      <c r="D1547" t="inlineStr">
        <is>
          <t>foodwaste_visual</t>
        </is>
      </c>
      <c r="E1547" t="n">
        <v>62</v>
      </c>
      <c r="F1547" t="inlineStr">
        <is>
          <t>Engagement</t>
        </is>
      </c>
      <c r="G1547" t="n">
        <v>50</v>
      </c>
      <c r="H1547" t="n">
        <v>59.84</v>
      </c>
      <c r="I1547" t="n">
        <v>28</v>
      </c>
      <c r="J1547" t="inlineStr">
        <is>
          <t>NA</t>
        </is>
      </c>
      <c r="K1547" t="n">
        <v>93.3</v>
      </c>
    </row>
    <row r="1548">
      <c r="A1548" t="inlineStr">
        <is>
          <t>SIMULATED Food Waste Remote Study</t>
        </is>
      </c>
      <c r="B1548" t="inlineStr">
        <is>
          <t>RESP0223</t>
        </is>
      </c>
      <c r="C1548" t="inlineStr">
        <is>
          <t>Stimulus</t>
        </is>
      </c>
      <c r="D1548" t="inlineStr">
        <is>
          <t>foodwaste_visual</t>
        </is>
      </c>
      <c r="E1548" t="n">
        <v>62</v>
      </c>
      <c r="F1548" t="inlineStr">
        <is>
          <t>Joy</t>
        </is>
      </c>
      <c r="G1548" t="n">
        <v>50</v>
      </c>
      <c r="H1548" t="n">
        <v>0</v>
      </c>
      <c r="I1548" t="n">
        <v>0</v>
      </c>
      <c r="J1548" t="inlineStr">
        <is>
          <t>NA</t>
        </is>
      </c>
      <c r="K1548" t="n">
        <v>93.3</v>
      </c>
    </row>
    <row r="1549">
      <c r="A1549" t="inlineStr">
        <is>
          <t>SIMULATED Food Waste Remote Study</t>
        </is>
      </c>
      <c r="B1549" t="inlineStr">
        <is>
          <t>RESP0223</t>
        </is>
      </c>
      <c r="C1549" t="inlineStr">
        <is>
          <t>Stimulus</t>
        </is>
      </c>
      <c r="D1549" t="inlineStr">
        <is>
          <t>foodwaste_visual</t>
        </is>
      </c>
      <c r="E1549" t="n">
        <v>62</v>
      </c>
      <c r="F1549" t="inlineStr">
        <is>
          <t>Brow Furrow</t>
        </is>
      </c>
      <c r="G1549" t="n">
        <v>50</v>
      </c>
      <c r="H1549" t="n">
        <v>0</v>
      </c>
      <c r="I1549" t="n">
        <v>0</v>
      </c>
      <c r="J1549" t="inlineStr">
        <is>
          <t>NA</t>
        </is>
      </c>
      <c r="K1549" t="n">
        <v>93.3</v>
      </c>
    </row>
    <row r="1550">
      <c r="A1550" t="inlineStr">
        <is>
          <t>SIMULATED Food Waste Remote Study</t>
        </is>
      </c>
      <c r="B1550" t="inlineStr">
        <is>
          <t>RESP0223</t>
        </is>
      </c>
      <c r="C1550" t="inlineStr">
        <is>
          <t>Stimulus</t>
        </is>
      </c>
      <c r="D1550" t="inlineStr">
        <is>
          <t>foodwaste_visual</t>
        </is>
      </c>
      <c r="E1550" t="n">
        <v>62</v>
      </c>
      <c r="F1550" t="inlineStr">
        <is>
          <t>Positive Valence</t>
        </is>
      </c>
      <c r="G1550" t="n">
        <v>50</v>
      </c>
      <c r="H1550" t="n">
        <v>0</v>
      </c>
      <c r="I1550" t="n">
        <v>0</v>
      </c>
      <c r="J1550" t="inlineStr">
        <is>
          <t>NA</t>
        </is>
      </c>
      <c r="K1550" t="n">
        <v>93.3</v>
      </c>
    </row>
    <row r="1551">
      <c r="A1551" t="inlineStr">
        <is>
          <t>SIMULATED Food Waste Remote Study</t>
        </is>
      </c>
      <c r="B1551" t="inlineStr">
        <is>
          <t>RESP0223</t>
        </is>
      </c>
      <c r="C1551" t="inlineStr">
        <is>
          <t>Stimulus</t>
        </is>
      </c>
      <c r="D1551" t="inlineStr">
        <is>
          <t>foodwaste_visual</t>
        </is>
      </c>
      <c r="E1551" t="n">
        <v>62</v>
      </c>
      <c r="F1551" t="inlineStr">
        <is>
          <t>Negative Valence</t>
        </is>
      </c>
      <c r="G1551" t="n">
        <v>-50</v>
      </c>
      <c r="H1551" t="n">
        <v>12.85</v>
      </c>
      <c r="I1551" t="n">
        <v>7</v>
      </c>
      <c r="J1551" t="inlineStr">
        <is>
          <t>NA</t>
        </is>
      </c>
      <c r="K1551" t="n">
        <v>93.3</v>
      </c>
    </row>
    <row r="1552">
      <c r="A1552" t="inlineStr">
        <is>
          <t>SIMULATED Food Waste Remote Study</t>
        </is>
      </c>
      <c r="B1552" t="inlineStr">
        <is>
          <t>RESP0224</t>
        </is>
      </c>
      <c r="C1552" t="inlineStr">
        <is>
          <t>Stimulus</t>
        </is>
      </c>
      <c r="D1552" t="inlineStr">
        <is>
          <t>foodwaste_narrative</t>
        </is>
      </c>
      <c r="E1552" t="n">
        <v>60</v>
      </c>
      <c r="F1552" t="inlineStr">
        <is>
          <t>Engagement</t>
        </is>
      </c>
      <c r="G1552" t="n">
        <v>50</v>
      </c>
      <c r="H1552" t="n">
        <v>7.5</v>
      </c>
      <c r="I1552" t="n">
        <v>1</v>
      </c>
      <c r="J1552" t="inlineStr">
        <is>
          <t>NA</t>
        </is>
      </c>
      <c r="K1552" t="n">
        <v>99.90000000000001</v>
      </c>
    </row>
    <row r="1553">
      <c r="A1553" t="inlineStr">
        <is>
          <t>SIMULATED Food Waste Remote Study</t>
        </is>
      </c>
      <c r="B1553" t="inlineStr">
        <is>
          <t>RESP0224</t>
        </is>
      </c>
      <c r="C1553" t="inlineStr">
        <is>
          <t>Stimulus</t>
        </is>
      </c>
      <c r="D1553" t="inlineStr">
        <is>
          <t>foodwaste_narrative</t>
        </is>
      </c>
      <c r="E1553" t="n">
        <v>60</v>
      </c>
      <c r="F1553" t="inlineStr">
        <is>
          <t>Joy</t>
        </is>
      </c>
      <c r="G1553" t="n">
        <v>50</v>
      </c>
      <c r="H1553" t="n">
        <v>0</v>
      </c>
      <c r="I1553" t="n">
        <v>0</v>
      </c>
      <c r="J1553" t="inlineStr">
        <is>
          <t>NA</t>
        </is>
      </c>
      <c r="K1553" t="n">
        <v>99.90000000000001</v>
      </c>
    </row>
    <row r="1554">
      <c r="A1554" t="inlineStr">
        <is>
          <t>SIMULATED Food Waste Remote Study</t>
        </is>
      </c>
      <c r="B1554" t="inlineStr">
        <is>
          <t>RESP0224</t>
        </is>
      </c>
      <c r="C1554" t="inlineStr">
        <is>
          <t>Stimulus</t>
        </is>
      </c>
      <c r="D1554" t="inlineStr">
        <is>
          <t>foodwaste_narrative</t>
        </is>
      </c>
      <c r="E1554" t="n">
        <v>60</v>
      </c>
      <c r="F1554" t="inlineStr">
        <is>
          <t>Brow Furrow</t>
        </is>
      </c>
      <c r="G1554" t="n">
        <v>50</v>
      </c>
      <c r="H1554" t="n">
        <v>12.28</v>
      </c>
      <c r="I1554" t="n">
        <v>4</v>
      </c>
      <c r="J1554" t="inlineStr">
        <is>
          <t>NA</t>
        </is>
      </c>
      <c r="K1554" t="n">
        <v>99.90000000000001</v>
      </c>
    </row>
    <row r="1555">
      <c r="A1555" t="inlineStr">
        <is>
          <t>SIMULATED Food Waste Remote Study</t>
        </is>
      </c>
      <c r="B1555" t="inlineStr">
        <is>
          <t>RESP0224</t>
        </is>
      </c>
      <c r="C1555" t="inlineStr">
        <is>
          <t>Stimulus</t>
        </is>
      </c>
      <c r="D1555" t="inlineStr">
        <is>
          <t>foodwaste_narrative</t>
        </is>
      </c>
      <c r="E1555" t="n">
        <v>60</v>
      </c>
      <c r="F1555" t="inlineStr">
        <is>
          <t>Positive Valence</t>
        </is>
      </c>
      <c r="G1555" t="n">
        <v>50</v>
      </c>
      <c r="H1555" t="n">
        <v>0</v>
      </c>
      <c r="I1555" t="n">
        <v>0</v>
      </c>
      <c r="J1555" t="inlineStr">
        <is>
          <t>NA</t>
        </is>
      </c>
      <c r="K1555" t="n">
        <v>99.90000000000001</v>
      </c>
    </row>
    <row r="1556">
      <c r="A1556" t="inlineStr">
        <is>
          <t>SIMULATED Food Waste Remote Study</t>
        </is>
      </c>
      <c r="B1556" t="inlineStr">
        <is>
          <t>RESP0224</t>
        </is>
      </c>
      <c r="C1556" t="inlineStr">
        <is>
          <t>Stimulus</t>
        </is>
      </c>
      <c r="D1556" t="inlineStr">
        <is>
          <t>foodwaste_narrative</t>
        </is>
      </c>
      <c r="E1556" t="n">
        <v>60</v>
      </c>
      <c r="F1556" t="inlineStr">
        <is>
          <t>Negative Valence</t>
        </is>
      </c>
      <c r="G1556" t="n">
        <v>-50</v>
      </c>
      <c r="H1556" t="n">
        <v>0</v>
      </c>
      <c r="I1556" t="n">
        <v>0</v>
      </c>
      <c r="J1556" t="inlineStr">
        <is>
          <t>NA</t>
        </is>
      </c>
      <c r="K1556" t="n">
        <v>99.90000000000001</v>
      </c>
    </row>
    <row r="1557">
      <c r="A1557" t="inlineStr">
        <is>
          <t>SIMULATED Food Waste Remote Study</t>
        </is>
      </c>
      <c r="B1557" t="inlineStr">
        <is>
          <t>RESP0224</t>
        </is>
      </c>
      <c r="C1557" t="inlineStr">
        <is>
          <t>Stimulus</t>
        </is>
      </c>
      <c r="D1557" t="inlineStr">
        <is>
          <t>foodwaste_visual</t>
        </is>
      </c>
      <c r="E1557" t="n">
        <v>62</v>
      </c>
      <c r="F1557" t="inlineStr">
        <is>
          <t>Engagement</t>
        </is>
      </c>
      <c r="G1557" t="n">
        <v>50</v>
      </c>
      <c r="H1557" t="n">
        <v>49.41</v>
      </c>
      <c r="I1557" t="n">
        <v>16</v>
      </c>
      <c r="J1557" t="inlineStr">
        <is>
          <t>NA</t>
        </is>
      </c>
      <c r="K1557" t="n">
        <v>99.90000000000001</v>
      </c>
    </row>
    <row r="1558">
      <c r="A1558" t="inlineStr">
        <is>
          <t>SIMULATED Food Waste Remote Study</t>
        </is>
      </c>
      <c r="B1558" t="inlineStr">
        <is>
          <t>RESP0224</t>
        </is>
      </c>
      <c r="C1558" t="inlineStr">
        <is>
          <t>Stimulus</t>
        </is>
      </c>
      <c r="D1558" t="inlineStr">
        <is>
          <t>foodwaste_visual</t>
        </is>
      </c>
      <c r="E1558" t="n">
        <v>62</v>
      </c>
      <c r="F1558" t="inlineStr">
        <is>
          <t>Joy</t>
        </is>
      </c>
      <c r="G1558" t="n">
        <v>50</v>
      </c>
      <c r="H1558" t="n">
        <v>5.22</v>
      </c>
      <c r="I1558" t="n">
        <v>2</v>
      </c>
      <c r="J1558" t="inlineStr">
        <is>
          <t>NA</t>
        </is>
      </c>
      <c r="K1558" t="n">
        <v>99.90000000000001</v>
      </c>
    </row>
    <row r="1559">
      <c r="A1559" t="inlineStr">
        <is>
          <t>SIMULATED Food Waste Remote Study</t>
        </is>
      </c>
      <c r="B1559" t="inlineStr">
        <is>
          <t>RESP0224</t>
        </is>
      </c>
      <c r="C1559" t="inlineStr">
        <is>
          <t>Stimulus</t>
        </is>
      </c>
      <c r="D1559" t="inlineStr">
        <is>
          <t>foodwaste_visual</t>
        </is>
      </c>
      <c r="E1559" t="n">
        <v>62</v>
      </c>
      <c r="F1559" t="inlineStr">
        <is>
          <t>Brow Furrow</t>
        </is>
      </c>
      <c r="G1559" t="n">
        <v>50</v>
      </c>
      <c r="H1559" t="n">
        <v>36.51</v>
      </c>
      <c r="I1559" t="n">
        <v>8</v>
      </c>
      <c r="J1559" t="inlineStr">
        <is>
          <t>NA</t>
        </is>
      </c>
      <c r="K1559" t="n">
        <v>99.90000000000001</v>
      </c>
    </row>
    <row r="1560">
      <c r="A1560" t="inlineStr">
        <is>
          <t>SIMULATED Food Waste Remote Study</t>
        </is>
      </c>
      <c r="B1560" t="inlineStr">
        <is>
          <t>RESP0224</t>
        </is>
      </c>
      <c r="C1560" t="inlineStr">
        <is>
          <t>Stimulus</t>
        </is>
      </c>
      <c r="D1560" t="inlineStr">
        <is>
          <t>foodwaste_visual</t>
        </is>
      </c>
      <c r="E1560" t="n">
        <v>62</v>
      </c>
      <c r="F1560" t="inlineStr">
        <is>
          <t>Positive Valence</t>
        </is>
      </c>
      <c r="G1560" t="n">
        <v>50</v>
      </c>
      <c r="H1560" t="n">
        <v>0.43</v>
      </c>
      <c r="I1560" t="n">
        <v>1</v>
      </c>
      <c r="J1560" t="inlineStr">
        <is>
          <t>NA</t>
        </is>
      </c>
      <c r="K1560" t="n">
        <v>99.90000000000001</v>
      </c>
    </row>
    <row r="1561">
      <c r="A1561" t="inlineStr">
        <is>
          <t>SIMULATED Food Waste Remote Study</t>
        </is>
      </c>
      <c r="B1561" t="inlineStr">
        <is>
          <t>RESP0224</t>
        </is>
      </c>
      <c r="C1561" t="inlineStr">
        <is>
          <t>Stimulus</t>
        </is>
      </c>
      <c r="D1561" t="inlineStr">
        <is>
          <t>foodwaste_visual</t>
        </is>
      </c>
      <c r="E1561" t="n">
        <v>62</v>
      </c>
      <c r="F1561" t="inlineStr">
        <is>
          <t>Negative Valence</t>
        </is>
      </c>
      <c r="G1561" t="n">
        <v>-50</v>
      </c>
      <c r="H1561" t="n">
        <v>26.77</v>
      </c>
      <c r="I1561" t="n">
        <v>14</v>
      </c>
      <c r="J1561" t="inlineStr">
        <is>
          <t>NA</t>
        </is>
      </c>
      <c r="K1561" t="n">
        <v>99.90000000000001</v>
      </c>
    </row>
    <row r="1562">
      <c r="A1562" t="inlineStr">
        <is>
          <t>SIMULATED Food Waste Remote Study</t>
        </is>
      </c>
      <c r="B1562" t="inlineStr">
        <is>
          <t>RESP0226</t>
        </is>
      </c>
      <c r="C1562" t="inlineStr">
        <is>
          <t>Stimulus</t>
        </is>
      </c>
      <c r="D1562" t="inlineStr">
        <is>
          <t>foodwaste_narrative</t>
        </is>
      </c>
      <c r="E1562" t="n">
        <v>60</v>
      </c>
      <c r="F1562" t="inlineStr">
        <is>
          <t>Engagement</t>
        </is>
      </c>
      <c r="G1562" t="n">
        <v>50</v>
      </c>
      <c r="H1562" t="n">
        <v>31.89</v>
      </c>
      <c r="I1562" t="n">
        <v>10</v>
      </c>
      <c r="J1562" t="inlineStr">
        <is>
          <t>NA</t>
        </is>
      </c>
      <c r="K1562" t="n">
        <v>99.40000000000001</v>
      </c>
    </row>
    <row r="1563">
      <c r="A1563" t="inlineStr">
        <is>
          <t>SIMULATED Food Waste Remote Study</t>
        </is>
      </c>
      <c r="B1563" t="inlineStr">
        <is>
          <t>RESP0226</t>
        </is>
      </c>
      <c r="C1563" t="inlineStr">
        <is>
          <t>Stimulus</t>
        </is>
      </c>
      <c r="D1563" t="inlineStr">
        <is>
          <t>foodwaste_narrative</t>
        </is>
      </c>
      <c r="E1563" t="n">
        <v>60</v>
      </c>
      <c r="F1563" t="inlineStr">
        <is>
          <t>Joy</t>
        </is>
      </c>
      <c r="G1563" t="n">
        <v>50</v>
      </c>
      <c r="H1563" t="n">
        <v>0</v>
      </c>
      <c r="I1563" t="n">
        <v>0</v>
      </c>
      <c r="J1563" t="inlineStr">
        <is>
          <t>NA</t>
        </is>
      </c>
      <c r="K1563" t="n">
        <v>99.40000000000001</v>
      </c>
    </row>
    <row r="1564">
      <c r="A1564" t="inlineStr">
        <is>
          <t>SIMULATED Food Waste Remote Study</t>
        </is>
      </c>
      <c r="B1564" t="inlineStr">
        <is>
          <t>RESP0226</t>
        </is>
      </c>
      <c r="C1564" t="inlineStr">
        <is>
          <t>Stimulus</t>
        </is>
      </c>
      <c r="D1564" t="inlineStr">
        <is>
          <t>foodwaste_narrative</t>
        </is>
      </c>
      <c r="E1564" t="n">
        <v>60</v>
      </c>
      <c r="F1564" t="inlineStr">
        <is>
          <t>Brow Furrow</t>
        </is>
      </c>
      <c r="G1564" t="n">
        <v>50</v>
      </c>
      <c r="H1564" t="n">
        <v>0</v>
      </c>
      <c r="I1564" t="n">
        <v>0</v>
      </c>
      <c r="J1564" t="inlineStr">
        <is>
          <t>NA</t>
        </is>
      </c>
      <c r="K1564" t="n">
        <v>99.40000000000001</v>
      </c>
    </row>
    <row r="1565">
      <c r="A1565" t="inlineStr">
        <is>
          <t>SIMULATED Food Waste Remote Study</t>
        </is>
      </c>
      <c r="B1565" t="inlineStr">
        <is>
          <t>RESP0226</t>
        </is>
      </c>
      <c r="C1565" t="inlineStr">
        <is>
          <t>Stimulus</t>
        </is>
      </c>
      <c r="D1565" t="inlineStr">
        <is>
          <t>foodwaste_narrative</t>
        </is>
      </c>
      <c r="E1565" t="n">
        <v>60</v>
      </c>
      <c r="F1565" t="inlineStr">
        <is>
          <t>Positive Valence</t>
        </is>
      </c>
      <c r="G1565" t="n">
        <v>50</v>
      </c>
      <c r="H1565" t="n">
        <v>0</v>
      </c>
      <c r="I1565" t="n">
        <v>0</v>
      </c>
      <c r="J1565" t="inlineStr">
        <is>
          <t>NA</t>
        </is>
      </c>
      <c r="K1565" t="n">
        <v>99.40000000000001</v>
      </c>
    </row>
    <row r="1566">
      <c r="A1566" t="inlineStr">
        <is>
          <t>SIMULATED Food Waste Remote Study</t>
        </is>
      </c>
      <c r="B1566" t="inlineStr">
        <is>
          <t>RESP0226</t>
        </is>
      </c>
      <c r="C1566" t="inlineStr">
        <is>
          <t>Stimulus</t>
        </is>
      </c>
      <c r="D1566" t="inlineStr">
        <is>
          <t>foodwaste_narrative</t>
        </is>
      </c>
      <c r="E1566" t="n">
        <v>60</v>
      </c>
      <c r="F1566" t="inlineStr">
        <is>
          <t>Negative Valence</t>
        </is>
      </c>
      <c r="G1566" t="n">
        <v>-50</v>
      </c>
      <c r="H1566" t="n">
        <v>1.28</v>
      </c>
      <c r="I1566" t="n">
        <v>1</v>
      </c>
      <c r="J1566" t="inlineStr">
        <is>
          <t>NA</t>
        </is>
      </c>
      <c r="K1566" t="n">
        <v>99.40000000000001</v>
      </c>
    </row>
    <row r="1567">
      <c r="A1567" t="inlineStr">
        <is>
          <t>SIMULATED Food Waste Remote Study</t>
        </is>
      </c>
      <c r="B1567" t="inlineStr">
        <is>
          <t>RESP0226</t>
        </is>
      </c>
      <c r="C1567" t="inlineStr">
        <is>
          <t>Stimulus</t>
        </is>
      </c>
      <c r="D1567" t="inlineStr">
        <is>
          <t>foodwaste_visual</t>
        </is>
      </c>
      <c r="E1567" t="n">
        <v>62</v>
      </c>
      <c r="F1567" t="inlineStr">
        <is>
          <t>Engagement</t>
        </is>
      </c>
      <c r="G1567" t="n">
        <v>50</v>
      </c>
      <c r="H1567" t="n">
        <v>40.11</v>
      </c>
      <c r="I1567" t="n">
        <v>10</v>
      </c>
      <c r="J1567" t="inlineStr">
        <is>
          <t>NA</t>
        </is>
      </c>
      <c r="K1567" t="n">
        <v>99.5</v>
      </c>
    </row>
    <row r="1568">
      <c r="A1568" t="inlineStr">
        <is>
          <t>SIMULATED Food Waste Remote Study</t>
        </is>
      </c>
      <c r="B1568" t="inlineStr">
        <is>
          <t>RESP0226</t>
        </is>
      </c>
      <c r="C1568" t="inlineStr">
        <is>
          <t>Stimulus</t>
        </is>
      </c>
      <c r="D1568" t="inlineStr">
        <is>
          <t>foodwaste_visual</t>
        </is>
      </c>
      <c r="E1568" t="n">
        <v>62</v>
      </c>
      <c r="F1568" t="inlineStr">
        <is>
          <t>Joy</t>
        </is>
      </c>
      <c r="G1568" t="n">
        <v>50</v>
      </c>
      <c r="H1568" t="n">
        <v>0</v>
      </c>
      <c r="I1568" t="n">
        <v>0</v>
      </c>
      <c r="J1568" t="inlineStr">
        <is>
          <t>NA</t>
        </is>
      </c>
      <c r="K1568" t="n">
        <v>99.5</v>
      </c>
    </row>
    <row r="1569">
      <c r="A1569" t="inlineStr">
        <is>
          <t>SIMULATED Food Waste Remote Study</t>
        </is>
      </c>
      <c r="B1569" t="inlineStr">
        <is>
          <t>RESP0226</t>
        </is>
      </c>
      <c r="C1569" t="inlineStr">
        <is>
          <t>Stimulus</t>
        </is>
      </c>
      <c r="D1569" t="inlineStr">
        <is>
          <t>foodwaste_visual</t>
        </is>
      </c>
      <c r="E1569" t="n">
        <v>62</v>
      </c>
      <c r="F1569" t="inlineStr">
        <is>
          <t>Brow Furrow</t>
        </is>
      </c>
      <c r="G1569" t="n">
        <v>50</v>
      </c>
      <c r="H1569" t="n">
        <v>0</v>
      </c>
      <c r="I1569" t="n">
        <v>0</v>
      </c>
      <c r="J1569" t="inlineStr">
        <is>
          <t>NA</t>
        </is>
      </c>
      <c r="K1569" t="n">
        <v>99.5</v>
      </c>
    </row>
    <row r="1570">
      <c r="A1570" t="inlineStr">
        <is>
          <t>SIMULATED Food Waste Remote Study</t>
        </is>
      </c>
      <c r="B1570" t="inlineStr">
        <is>
          <t>RESP0226</t>
        </is>
      </c>
      <c r="C1570" t="inlineStr">
        <is>
          <t>Stimulus</t>
        </is>
      </c>
      <c r="D1570" t="inlineStr">
        <is>
          <t>foodwaste_visual</t>
        </is>
      </c>
      <c r="E1570" t="n">
        <v>62</v>
      </c>
      <c r="F1570" t="inlineStr">
        <is>
          <t>Positive Valence</t>
        </is>
      </c>
      <c r="G1570" t="n">
        <v>50</v>
      </c>
      <c r="H1570" t="n">
        <v>0</v>
      </c>
      <c r="I1570" t="n">
        <v>0</v>
      </c>
      <c r="J1570" t="inlineStr">
        <is>
          <t>NA</t>
        </is>
      </c>
      <c r="K1570" t="n">
        <v>99.5</v>
      </c>
    </row>
    <row r="1571">
      <c r="A1571" t="inlineStr">
        <is>
          <t>SIMULATED Food Waste Remote Study</t>
        </is>
      </c>
      <c r="B1571" t="inlineStr">
        <is>
          <t>RESP0226</t>
        </is>
      </c>
      <c r="C1571" t="inlineStr">
        <is>
          <t>Stimulus</t>
        </is>
      </c>
      <c r="D1571" t="inlineStr">
        <is>
          <t>foodwaste_visual</t>
        </is>
      </c>
      <c r="E1571" t="n">
        <v>62</v>
      </c>
      <c r="F1571" t="inlineStr">
        <is>
          <t>Negative Valence</t>
        </is>
      </c>
      <c r="G1571" t="n">
        <v>-50</v>
      </c>
      <c r="H1571" t="n">
        <v>0</v>
      </c>
      <c r="I1571" t="n">
        <v>0</v>
      </c>
      <c r="J1571" t="inlineStr">
        <is>
          <t>NA</t>
        </is>
      </c>
      <c r="K1571" t="n">
        <v>99.5</v>
      </c>
    </row>
    <row r="1572">
      <c r="A1572" t="inlineStr">
        <is>
          <t>SIMULATED Food Waste Remote Study</t>
        </is>
      </c>
      <c r="B1572" t="inlineStr">
        <is>
          <t>RESP0227</t>
        </is>
      </c>
      <c r="C1572" t="inlineStr">
        <is>
          <t>Stimulus</t>
        </is>
      </c>
      <c r="D1572" t="inlineStr">
        <is>
          <t>foodwaste_narrative</t>
        </is>
      </c>
      <c r="E1572" t="n">
        <v>60</v>
      </c>
      <c r="F1572" t="inlineStr">
        <is>
          <t>Engagement</t>
        </is>
      </c>
      <c r="G1572" t="n">
        <v>50</v>
      </c>
      <c r="H1572" t="n">
        <v>13.94</v>
      </c>
      <c r="I1572" t="n">
        <v>3</v>
      </c>
      <c r="J1572" t="inlineStr">
        <is>
          <t>NA</t>
        </is>
      </c>
      <c r="K1572" t="n">
        <v>97.40000000000001</v>
      </c>
    </row>
    <row r="1573">
      <c r="A1573" t="inlineStr">
        <is>
          <t>SIMULATED Food Waste Remote Study</t>
        </is>
      </c>
      <c r="B1573" t="inlineStr">
        <is>
          <t>RESP0227</t>
        </is>
      </c>
      <c r="C1573" t="inlineStr">
        <is>
          <t>Stimulus</t>
        </is>
      </c>
      <c r="D1573" t="inlineStr">
        <is>
          <t>foodwaste_narrative</t>
        </is>
      </c>
      <c r="E1573" t="n">
        <v>60</v>
      </c>
      <c r="F1573" t="inlineStr">
        <is>
          <t>Joy</t>
        </is>
      </c>
      <c r="G1573" t="n">
        <v>50</v>
      </c>
      <c r="H1573" t="n">
        <v>0</v>
      </c>
      <c r="I1573" t="n">
        <v>0</v>
      </c>
      <c r="J1573" t="inlineStr">
        <is>
          <t>NA</t>
        </is>
      </c>
      <c r="K1573" t="n">
        <v>97.40000000000001</v>
      </c>
    </row>
    <row r="1574">
      <c r="A1574" t="inlineStr">
        <is>
          <t>SIMULATED Food Waste Remote Study</t>
        </is>
      </c>
      <c r="B1574" t="inlineStr">
        <is>
          <t>RESP0227</t>
        </is>
      </c>
      <c r="C1574" t="inlineStr">
        <is>
          <t>Stimulus</t>
        </is>
      </c>
      <c r="D1574" t="inlineStr">
        <is>
          <t>foodwaste_narrative</t>
        </is>
      </c>
      <c r="E1574" t="n">
        <v>60</v>
      </c>
      <c r="F1574" t="inlineStr">
        <is>
          <t>Brow Furrow</t>
        </is>
      </c>
      <c r="G1574" t="n">
        <v>50</v>
      </c>
      <c r="H1574" t="n">
        <v>0</v>
      </c>
      <c r="I1574" t="n">
        <v>0</v>
      </c>
      <c r="J1574" t="inlineStr">
        <is>
          <t>NA</t>
        </is>
      </c>
      <c r="K1574" t="n">
        <v>97.40000000000001</v>
      </c>
    </row>
    <row r="1575">
      <c r="A1575" t="inlineStr">
        <is>
          <t>SIMULATED Food Waste Remote Study</t>
        </is>
      </c>
      <c r="B1575" t="inlineStr">
        <is>
          <t>RESP0227</t>
        </is>
      </c>
      <c r="C1575" t="inlineStr">
        <is>
          <t>Stimulus</t>
        </is>
      </c>
      <c r="D1575" t="inlineStr">
        <is>
          <t>foodwaste_narrative</t>
        </is>
      </c>
      <c r="E1575" t="n">
        <v>60</v>
      </c>
      <c r="F1575" t="inlineStr">
        <is>
          <t>Positive Valence</t>
        </is>
      </c>
      <c r="G1575" t="n">
        <v>50</v>
      </c>
      <c r="H1575" t="n">
        <v>3.83</v>
      </c>
      <c r="I1575" t="n">
        <v>2</v>
      </c>
      <c r="J1575" t="inlineStr">
        <is>
          <t>NA</t>
        </is>
      </c>
      <c r="K1575" t="n">
        <v>97.40000000000001</v>
      </c>
    </row>
    <row r="1576">
      <c r="A1576" t="inlineStr">
        <is>
          <t>SIMULATED Food Waste Remote Study</t>
        </is>
      </c>
      <c r="B1576" t="inlineStr">
        <is>
          <t>RESP0227</t>
        </is>
      </c>
      <c r="C1576" t="inlineStr">
        <is>
          <t>Stimulus</t>
        </is>
      </c>
      <c r="D1576" t="inlineStr">
        <is>
          <t>foodwaste_narrative</t>
        </is>
      </c>
      <c r="E1576" t="n">
        <v>60</v>
      </c>
      <c r="F1576" t="inlineStr">
        <is>
          <t>Negative Valence</t>
        </is>
      </c>
      <c r="G1576" t="n">
        <v>-50</v>
      </c>
      <c r="H1576" t="n">
        <v>3.06</v>
      </c>
      <c r="I1576" t="n">
        <v>2</v>
      </c>
      <c r="J1576" t="inlineStr">
        <is>
          <t>NA</t>
        </is>
      </c>
      <c r="K1576" t="n">
        <v>97.40000000000001</v>
      </c>
    </row>
    <row r="1577">
      <c r="A1577" t="inlineStr">
        <is>
          <t>SIMULATED Food Waste Remote Study</t>
        </is>
      </c>
      <c r="B1577" t="inlineStr">
        <is>
          <t>RESP0227</t>
        </is>
      </c>
      <c r="C1577" t="inlineStr">
        <is>
          <t>Stimulus</t>
        </is>
      </c>
      <c r="D1577" t="inlineStr">
        <is>
          <t>foodwaste_visual</t>
        </is>
      </c>
      <c r="E1577" t="n">
        <v>62</v>
      </c>
      <c r="F1577" t="inlineStr">
        <is>
          <t>Engagement</t>
        </is>
      </c>
      <c r="G1577" t="n">
        <v>50</v>
      </c>
      <c r="H1577" t="n">
        <v>51.61</v>
      </c>
      <c r="I1577" t="n">
        <v>6</v>
      </c>
      <c r="J1577" t="inlineStr">
        <is>
          <t>NA</t>
        </is>
      </c>
      <c r="K1577" t="n">
        <v>98</v>
      </c>
    </row>
    <row r="1578">
      <c r="A1578" t="inlineStr">
        <is>
          <t>SIMULATED Food Waste Remote Study</t>
        </is>
      </c>
      <c r="B1578" t="inlineStr">
        <is>
          <t>RESP0227</t>
        </is>
      </c>
      <c r="C1578" t="inlineStr">
        <is>
          <t>Stimulus</t>
        </is>
      </c>
      <c r="D1578" t="inlineStr">
        <is>
          <t>foodwaste_visual</t>
        </is>
      </c>
      <c r="E1578" t="n">
        <v>62</v>
      </c>
      <c r="F1578" t="inlineStr">
        <is>
          <t>Joy</t>
        </is>
      </c>
      <c r="G1578" t="n">
        <v>50</v>
      </c>
      <c r="H1578" t="n">
        <v>0</v>
      </c>
      <c r="I1578" t="n">
        <v>0</v>
      </c>
      <c r="J1578" t="inlineStr">
        <is>
          <t>NA</t>
        </is>
      </c>
      <c r="K1578" t="n">
        <v>98</v>
      </c>
    </row>
    <row r="1579">
      <c r="A1579" t="inlineStr">
        <is>
          <t>SIMULATED Food Waste Remote Study</t>
        </is>
      </c>
      <c r="B1579" t="inlineStr">
        <is>
          <t>RESP0227</t>
        </is>
      </c>
      <c r="C1579" t="inlineStr">
        <is>
          <t>Stimulus</t>
        </is>
      </c>
      <c r="D1579" t="inlineStr">
        <is>
          <t>foodwaste_visual</t>
        </is>
      </c>
      <c r="E1579" t="n">
        <v>62</v>
      </c>
      <c r="F1579" t="inlineStr">
        <is>
          <t>Brow Furrow</t>
        </is>
      </c>
      <c r="G1579" t="n">
        <v>50</v>
      </c>
      <c r="H1579" t="n">
        <v>2.74</v>
      </c>
      <c r="I1579" t="n">
        <v>2</v>
      </c>
      <c r="J1579" t="inlineStr">
        <is>
          <t>NA</t>
        </is>
      </c>
      <c r="K1579" t="n">
        <v>98</v>
      </c>
    </row>
    <row r="1580">
      <c r="A1580" t="inlineStr">
        <is>
          <t>SIMULATED Food Waste Remote Study</t>
        </is>
      </c>
      <c r="B1580" t="inlineStr">
        <is>
          <t>RESP0227</t>
        </is>
      </c>
      <c r="C1580" t="inlineStr">
        <is>
          <t>Stimulus</t>
        </is>
      </c>
      <c r="D1580" t="inlineStr">
        <is>
          <t>foodwaste_visual</t>
        </is>
      </c>
      <c r="E1580" t="n">
        <v>62</v>
      </c>
      <c r="F1580" t="inlineStr">
        <is>
          <t>Positive Valence</t>
        </is>
      </c>
      <c r="G1580" t="n">
        <v>50</v>
      </c>
      <c r="H1580" t="n">
        <v>19.84</v>
      </c>
      <c r="I1580" t="n">
        <v>3</v>
      </c>
      <c r="J1580" t="inlineStr">
        <is>
          <t>NA</t>
        </is>
      </c>
      <c r="K1580" t="n">
        <v>98</v>
      </c>
    </row>
    <row r="1581">
      <c r="A1581" t="inlineStr">
        <is>
          <t>SIMULATED Food Waste Remote Study</t>
        </is>
      </c>
      <c r="B1581" t="inlineStr">
        <is>
          <t>RESP0227</t>
        </is>
      </c>
      <c r="C1581" t="inlineStr">
        <is>
          <t>Stimulus</t>
        </is>
      </c>
      <c r="D1581" t="inlineStr">
        <is>
          <t>foodwaste_visual</t>
        </is>
      </c>
      <c r="E1581" t="n">
        <v>62</v>
      </c>
      <c r="F1581" t="inlineStr">
        <is>
          <t>Negative Valence</t>
        </is>
      </c>
      <c r="G1581" t="n">
        <v>-50</v>
      </c>
      <c r="H1581" t="n">
        <v>3.33</v>
      </c>
      <c r="I1581" t="n">
        <v>1</v>
      </c>
      <c r="J1581" t="inlineStr">
        <is>
          <t>NA</t>
        </is>
      </c>
      <c r="K1581" t="n">
        <v>98</v>
      </c>
    </row>
    <row r="1582">
      <c r="A1582" t="inlineStr">
        <is>
          <t>SIMULATED Food Waste Remote Study</t>
        </is>
      </c>
      <c r="B1582" t="inlineStr">
        <is>
          <t>RESP0228</t>
        </is>
      </c>
      <c r="C1582" t="inlineStr">
        <is>
          <t>Stimulus</t>
        </is>
      </c>
      <c r="D1582" t="inlineStr">
        <is>
          <t>foodwaste_narrative</t>
        </is>
      </c>
      <c r="E1582" t="n">
        <v>60</v>
      </c>
      <c r="F1582" t="inlineStr">
        <is>
          <t>Engagement</t>
        </is>
      </c>
      <c r="G1582" t="n">
        <v>50</v>
      </c>
      <c r="H1582" t="n">
        <v>9.33</v>
      </c>
      <c r="I1582" t="n">
        <v>4</v>
      </c>
      <c r="J1582" t="inlineStr">
        <is>
          <t>NA</t>
        </is>
      </c>
      <c r="K1582" t="n">
        <v>99.09999999999999</v>
      </c>
    </row>
    <row r="1583">
      <c r="A1583" t="inlineStr">
        <is>
          <t>SIMULATED Food Waste Remote Study</t>
        </is>
      </c>
      <c r="B1583" t="inlineStr">
        <is>
          <t>RESP0228</t>
        </is>
      </c>
      <c r="C1583" t="inlineStr">
        <is>
          <t>Stimulus</t>
        </is>
      </c>
      <c r="D1583" t="inlineStr">
        <is>
          <t>foodwaste_narrative</t>
        </is>
      </c>
      <c r="E1583" t="n">
        <v>60</v>
      </c>
      <c r="F1583" t="inlineStr">
        <is>
          <t>Joy</t>
        </is>
      </c>
      <c r="G1583" t="n">
        <v>50</v>
      </c>
      <c r="H1583" t="n">
        <v>0</v>
      </c>
      <c r="I1583" t="n">
        <v>0</v>
      </c>
      <c r="J1583" t="inlineStr">
        <is>
          <t>NA</t>
        </is>
      </c>
      <c r="K1583" t="n">
        <v>99.09999999999999</v>
      </c>
    </row>
    <row r="1584">
      <c r="A1584" t="inlineStr">
        <is>
          <t>SIMULATED Food Waste Remote Study</t>
        </is>
      </c>
      <c r="B1584" t="inlineStr">
        <is>
          <t>RESP0228</t>
        </is>
      </c>
      <c r="C1584" t="inlineStr">
        <is>
          <t>Stimulus</t>
        </is>
      </c>
      <c r="D1584" t="inlineStr">
        <is>
          <t>foodwaste_narrative</t>
        </is>
      </c>
      <c r="E1584" t="n">
        <v>60</v>
      </c>
      <c r="F1584" t="inlineStr">
        <is>
          <t>Brow Furrow</t>
        </is>
      </c>
      <c r="G1584" t="n">
        <v>50</v>
      </c>
      <c r="H1584" t="n">
        <v>0</v>
      </c>
      <c r="I1584" t="n">
        <v>0</v>
      </c>
      <c r="J1584" t="inlineStr">
        <is>
          <t>NA</t>
        </is>
      </c>
      <c r="K1584" t="n">
        <v>99.09999999999999</v>
      </c>
    </row>
    <row r="1585">
      <c r="A1585" t="inlineStr">
        <is>
          <t>SIMULATED Food Waste Remote Study</t>
        </is>
      </c>
      <c r="B1585" t="inlineStr">
        <is>
          <t>RESP0228</t>
        </is>
      </c>
      <c r="C1585" t="inlineStr">
        <is>
          <t>Stimulus</t>
        </is>
      </c>
      <c r="D1585" t="inlineStr">
        <is>
          <t>foodwaste_narrative</t>
        </is>
      </c>
      <c r="E1585" t="n">
        <v>60</v>
      </c>
      <c r="F1585" t="inlineStr">
        <is>
          <t>Positive Valence</t>
        </is>
      </c>
      <c r="G1585" t="n">
        <v>50</v>
      </c>
      <c r="H1585" t="n">
        <v>0</v>
      </c>
      <c r="I1585" t="n">
        <v>0</v>
      </c>
      <c r="J1585" t="inlineStr">
        <is>
          <t>NA</t>
        </is>
      </c>
      <c r="K1585" t="n">
        <v>99.09999999999999</v>
      </c>
    </row>
    <row r="1586">
      <c r="A1586" t="inlineStr">
        <is>
          <t>SIMULATED Food Waste Remote Study</t>
        </is>
      </c>
      <c r="B1586" t="inlineStr">
        <is>
          <t>RESP0228</t>
        </is>
      </c>
      <c r="C1586" t="inlineStr">
        <is>
          <t>Stimulus</t>
        </is>
      </c>
      <c r="D1586" t="inlineStr">
        <is>
          <t>foodwaste_narrative</t>
        </is>
      </c>
      <c r="E1586" t="n">
        <v>60</v>
      </c>
      <c r="F1586" t="inlineStr">
        <is>
          <t>Negative Valence</t>
        </is>
      </c>
      <c r="G1586" t="n">
        <v>-50</v>
      </c>
      <c r="H1586" t="n">
        <v>0</v>
      </c>
      <c r="I1586" t="n">
        <v>0</v>
      </c>
      <c r="J1586" t="inlineStr">
        <is>
          <t>NA</t>
        </is>
      </c>
      <c r="K1586" t="n">
        <v>99.09999999999999</v>
      </c>
    </row>
    <row r="1587">
      <c r="A1587" t="inlineStr">
        <is>
          <t>SIMULATED Food Waste Remote Study</t>
        </is>
      </c>
      <c r="B1587" t="inlineStr">
        <is>
          <t>RESP0228</t>
        </is>
      </c>
      <c r="C1587" t="inlineStr">
        <is>
          <t>Stimulus</t>
        </is>
      </c>
      <c r="D1587" t="inlineStr">
        <is>
          <t>foodwaste_visual</t>
        </is>
      </c>
      <c r="E1587" t="n">
        <v>62</v>
      </c>
      <c r="F1587" t="inlineStr">
        <is>
          <t>Engagement</t>
        </is>
      </c>
      <c r="G1587" t="n">
        <v>50</v>
      </c>
      <c r="H1587" t="n">
        <v>67.42</v>
      </c>
      <c r="I1587" t="n">
        <v>17</v>
      </c>
      <c r="J1587" t="inlineStr">
        <is>
          <t>NA</t>
        </is>
      </c>
      <c r="K1587" t="n">
        <v>98.7</v>
      </c>
    </row>
    <row r="1588">
      <c r="A1588" t="inlineStr">
        <is>
          <t>SIMULATED Food Waste Remote Study</t>
        </is>
      </c>
      <c r="B1588" t="inlineStr">
        <is>
          <t>RESP0228</t>
        </is>
      </c>
      <c r="C1588" t="inlineStr">
        <is>
          <t>Stimulus</t>
        </is>
      </c>
      <c r="D1588" t="inlineStr">
        <is>
          <t>foodwaste_visual</t>
        </is>
      </c>
      <c r="E1588" t="n">
        <v>62</v>
      </c>
      <c r="F1588" t="inlineStr">
        <is>
          <t>Joy</t>
        </is>
      </c>
      <c r="G1588" t="n">
        <v>50</v>
      </c>
      <c r="H1588" t="n">
        <v>18.66</v>
      </c>
      <c r="I1588" t="n">
        <v>6</v>
      </c>
      <c r="J1588" t="inlineStr">
        <is>
          <t>NA</t>
        </is>
      </c>
      <c r="K1588" t="n">
        <v>98.7</v>
      </c>
    </row>
    <row r="1589">
      <c r="A1589" t="inlineStr">
        <is>
          <t>SIMULATED Food Waste Remote Study</t>
        </is>
      </c>
      <c r="B1589" t="inlineStr">
        <is>
          <t>RESP0228</t>
        </is>
      </c>
      <c r="C1589" t="inlineStr">
        <is>
          <t>Stimulus</t>
        </is>
      </c>
      <c r="D1589" t="inlineStr">
        <is>
          <t>foodwaste_visual</t>
        </is>
      </c>
      <c r="E1589" t="n">
        <v>62</v>
      </c>
      <c r="F1589" t="inlineStr">
        <is>
          <t>Brow Furrow</t>
        </is>
      </c>
      <c r="G1589" t="n">
        <v>50</v>
      </c>
      <c r="H1589" t="n">
        <v>15.91</v>
      </c>
      <c r="I1589" t="n">
        <v>6</v>
      </c>
      <c r="J1589" t="inlineStr">
        <is>
          <t>NA</t>
        </is>
      </c>
      <c r="K1589" t="n">
        <v>98.7</v>
      </c>
    </row>
    <row r="1590">
      <c r="A1590" t="inlineStr">
        <is>
          <t>SIMULATED Food Waste Remote Study</t>
        </is>
      </c>
      <c r="B1590" t="inlineStr">
        <is>
          <t>RESP0228</t>
        </is>
      </c>
      <c r="C1590" t="inlineStr">
        <is>
          <t>Stimulus</t>
        </is>
      </c>
      <c r="D1590" t="inlineStr">
        <is>
          <t>foodwaste_visual</t>
        </is>
      </c>
      <c r="E1590" t="n">
        <v>62</v>
      </c>
      <c r="F1590" t="inlineStr">
        <is>
          <t>Positive Valence</t>
        </is>
      </c>
      <c r="G1590" t="n">
        <v>50</v>
      </c>
      <c r="H1590" t="n">
        <v>3.44</v>
      </c>
      <c r="I1590" t="n">
        <v>4</v>
      </c>
      <c r="J1590" t="inlineStr">
        <is>
          <t>NA</t>
        </is>
      </c>
      <c r="K1590" t="n">
        <v>98.7</v>
      </c>
    </row>
    <row r="1591">
      <c r="A1591" t="inlineStr">
        <is>
          <t>SIMULATED Food Waste Remote Study</t>
        </is>
      </c>
      <c r="B1591" t="inlineStr">
        <is>
          <t>RESP0228</t>
        </is>
      </c>
      <c r="C1591" t="inlineStr">
        <is>
          <t>Stimulus</t>
        </is>
      </c>
      <c r="D1591" t="inlineStr">
        <is>
          <t>foodwaste_visual</t>
        </is>
      </c>
      <c r="E1591" t="n">
        <v>62</v>
      </c>
      <c r="F1591" t="inlineStr">
        <is>
          <t>Negative Valence</t>
        </is>
      </c>
      <c r="G1591" t="n">
        <v>-50</v>
      </c>
      <c r="H1591" t="n">
        <v>20.65</v>
      </c>
      <c r="I1591" t="n">
        <v>7</v>
      </c>
      <c r="J1591" t="inlineStr">
        <is>
          <t>NA</t>
        </is>
      </c>
      <c r="K1591" t="n">
        <v>98.7</v>
      </c>
    </row>
    <row r="1592">
      <c r="A1592" t="inlineStr">
        <is>
          <t>SIMULATED Food Waste Remote Study</t>
        </is>
      </c>
      <c r="B1592" t="inlineStr">
        <is>
          <t>RESP0229</t>
        </is>
      </c>
      <c r="C1592" t="inlineStr">
        <is>
          <t>Stimulus</t>
        </is>
      </c>
      <c r="D1592" t="inlineStr">
        <is>
          <t>foodwaste_narrative</t>
        </is>
      </c>
      <c r="E1592" t="n">
        <v>60</v>
      </c>
      <c r="F1592" t="inlineStr">
        <is>
          <t>Engagement</t>
        </is>
      </c>
      <c r="G1592" t="n">
        <v>50</v>
      </c>
      <c r="H1592" t="n">
        <v>19.5</v>
      </c>
      <c r="I1592" t="n">
        <v>3</v>
      </c>
      <c r="J1592" t="inlineStr">
        <is>
          <t>NA</t>
        </is>
      </c>
      <c r="K1592" t="n">
        <v>99.90000000000001</v>
      </c>
    </row>
    <row r="1593">
      <c r="A1593" t="inlineStr">
        <is>
          <t>SIMULATED Food Waste Remote Study</t>
        </is>
      </c>
      <c r="B1593" t="inlineStr">
        <is>
          <t>RESP0229</t>
        </is>
      </c>
      <c r="C1593" t="inlineStr">
        <is>
          <t>Stimulus</t>
        </is>
      </c>
      <c r="D1593" t="inlineStr">
        <is>
          <t>foodwaste_narrative</t>
        </is>
      </c>
      <c r="E1593" t="n">
        <v>60</v>
      </c>
      <c r="F1593" t="inlineStr">
        <is>
          <t>Joy</t>
        </is>
      </c>
      <c r="G1593" t="n">
        <v>50</v>
      </c>
      <c r="H1593" t="n">
        <v>0</v>
      </c>
      <c r="I1593" t="n">
        <v>0</v>
      </c>
      <c r="J1593" t="inlineStr">
        <is>
          <t>NA</t>
        </is>
      </c>
      <c r="K1593" t="n">
        <v>99.90000000000001</v>
      </c>
    </row>
    <row r="1594">
      <c r="A1594" t="inlineStr">
        <is>
          <t>SIMULATED Food Waste Remote Study</t>
        </is>
      </c>
      <c r="B1594" t="inlineStr">
        <is>
          <t>RESP0229</t>
        </is>
      </c>
      <c r="C1594" t="inlineStr">
        <is>
          <t>Stimulus</t>
        </is>
      </c>
      <c r="D1594" t="inlineStr">
        <is>
          <t>foodwaste_narrative</t>
        </is>
      </c>
      <c r="E1594" t="n">
        <v>60</v>
      </c>
      <c r="F1594" t="inlineStr">
        <is>
          <t>Brow Furrow</t>
        </is>
      </c>
      <c r="G1594" t="n">
        <v>50</v>
      </c>
      <c r="H1594" t="n">
        <v>12.39</v>
      </c>
      <c r="I1594" t="n">
        <v>3</v>
      </c>
      <c r="J1594" t="inlineStr">
        <is>
          <t>NA</t>
        </is>
      </c>
      <c r="K1594" t="n">
        <v>99.90000000000001</v>
      </c>
    </row>
    <row r="1595">
      <c r="A1595" t="inlineStr">
        <is>
          <t>SIMULATED Food Waste Remote Study</t>
        </is>
      </c>
      <c r="B1595" t="inlineStr">
        <is>
          <t>RESP0229</t>
        </is>
      </c>
      <c r="C1595" t="inlineStr">
        <is>
          <t>Stimulus</t>
        </is>
      </c>
      <c r="D1595" t="inlineStr">
        <is>
          <t>foodwaste_narrative</t>
        </is>
      </c>
      <c r="E1595" t="n">
        <v>60</v>
      </c>
      <c r="F1595" t="inlineStr">
        <is>
          <t>Positive Valence</t>
        </is>
      </c>
      <c r="G1595" t="n">
        <v>50</v>
      </c>
      <c r="H1595" t="n">
        <v>5.56</v>
      </c>
      <c r="I1595" t="n">
        <v>1</v>
      </c>
      <c r="J1595" t="inlineStr">
        <is>
          <t>NA</t>
        </is>
      </c>
      <c r="K1595" t="n">
        <v>99.90000000000001</v>
      </c>
    </row>
    <row r="1596">
      <c r="A1596" t="inlineStr">
        <is>
          <t>SIMULATED Food Waste Remote Study</t>
        </is>
      </c>
      <c r="B1596" t="inlineStr">
        <is>
          <t>RESP0229</t>
        </is>
      </c>
      <c r="C1596" t="inlineStr">
        <is>
          <t>Stimulus</t>
        </is>
      </c>
      <c r="D1596" t="inlineStr">
        <is>
          <t>foodwaste_narrative</t>
        </is>
      </c>
      <c r="E1596" t="n">
        <v>60</v>
      </c>
      <c r="F1596" t="inlineStr">
        <is>
          <t>Negative Valence</t>
        </is>
      </c>
      <c r="G1596" t="n">
        <v>-50</v>
      </c>
      <c r="H1596" t="n">
        <v>0</v>
      </c>
      <c r="I1596" t="n">
        <v>0</v>
      </c>
      <c r="J1596" t="inlineStr">
        <is>
          <t>NA</t>
        </is>
      </c>
      <c r="K1596" t="n">
        <v>99.90000000000001</v>
      </c>
    </row>
    <row r="1597">
      <c r="A1597" t="inlineStr">
        <is>
          <t>SIMULATED Food Waste Remote Study</t>
        </is>
      </c>
      <c r="B1597" t="inlineStr">
        <is>
          <t>RESP0229</t>
        </is>
      </c>
      <c r="C1597" t="inlineStr">
        <is>
          <t>Stimulus</t>
        </is>
      </c>
      <c r="D1597" t="inlineStr">
        <is>
          <t>foodwaste_visual</t>
        </is>
      </c>
      <c r="E1597" t="n">
        <v>62</v>
      </c>
      <c r="F1597" t="inlineStr">
        <is>
          <t>Engagement</t>
        </is>
      </c>
      <c r="G1597" t="n">
        <v>50</v>
      </c>
      <c r="H1597" t="n">
        <v>9.35</v>
      </c>
      <c r="I1597" t="n">
        <v>2</v>
      </c>
      <c r="J1597" t="inlineStr">
        <is>
          <t>NA</t>
        </is>
      </c>
      <c r="K1597" t="n">
        <v>99.8</v>
      </c>
    </row>
    <row r="1598">
      <c r="A1598" t="inlineStr">
        <is>
          <t>SIMULATED Food Waste Remote Study</t>
        </is>
      </c>
      <c r="B1598" t="inlineStr">
        <is>
          <t>RESP0229</t>
        </is>
      </c>
      <c r="C1598" t="inlineStr">
        <is>
          <t>Stimulus</t>
        </is>
      </c>
      <c r="D1598" t="inlineStr">
        <is>
          <t>foodwaste_visual</t>
        </is>
      </c>
      <c r="E1598" t="n">
        <v>62</v>
      </c>
      <c r="F1598" t="inlineStr">
        <is>
          <t>Joy</t>
        </is>
      </c>
      <c r="G1598" t="n">
        <v>50</v>
      </c>
      <c r="H1598" t="n">
        <v>0.27</v>
      </c>
      <c r="I1598" t="n">
        <v>1</v>
      </c>
      <c r="J1598" t="inlineStr">
        <is>
          <t>NA</t>
        </is>
      </c>
      <c r="K1598" t="n">
        <v>99.8</v>
      </c>
    </row>
    <row r="1599">
      <c r="A1599" t="inlineStr">
        <is>
          <t>SIMULATED Food Waste Remote Study</t>
        </is>
      </c>
      <c r="B1599" t="inlineStr">
        <is>
          <t>RESP0229</t>
        </is>
      </c>
      <c r="C1599" t="inlineStr">
        <is>
          <t>Stimulus</t>
        </is>
      </c>
      <c r="D1599" t="inlineStr">
        <is>
          <t>foodwaste_visual</t>
        </is>
      </c>
      <c r="E1599" t="n">
        <v>62</v>
      </c>
      <c r="F1599" t="inlineStr">
        <is>
          <t>Brow Furrow</t>
        </is>
      </c>
      <c r="G1599" t="n">
        <v>50</v>
      </c>
      <c r="H1599" t="n">
        <v>0.97</v>
      </c>
      <c r="I1599" t="n">
        <v>1</v>
      </c>
      <c r="J1599" t="inlineStr">
        <is>
          <t>NA</t>
        </is>
      </c>
      <c r="K1599" t="n">
        <v>99.8</v>
      </c>
    </row>
    <row r="1600">
      <c r="A1600" t="inlineStr">
        <is>
          <t>SIMULATED Food Waste Remote Study</t>
        </is>
      </c>
      <c r="B1600" t="inlineStr">
        <is>
          <t>RESP0229</t>
        </is>
      </c>
      <c r="C1600" t="inlineStr">
        <is>
          <t>Stimulus</t>
        </is>
      </c>
      <c r="D1600" t="inlineStr">
        <is>
          <t>foodwaste_visual</t>
        </is>
      </c>
      <c r="E1600" t="n">
        <v>62</v>
      </c>
      <c r="F1600" t="inlineStr">
        <is>
          <t>Positive Valence</t>
        </is>
      </c>
      <c r="G1600" t="n">
        <v>50</v>
      </c>
      <c r="H1600" t="n">
        <v>3.66</v>
      </c>
      <c r="I1600" t="n">
        <v>1</v>
      </c>
      <c r="J1600" t="inlineStr">
        <is>
          <t>NA</t>
        </is>
      </c>
      <c r="K1600" t="n">
        <v>99.8</v>
      </c>
    </row>
    <row r="1601">
      <c r="A1601" t="inlineStr">
        <is>
          <t>SIMULATED Food Waste Remote Study</t>
        </is>
      </c>
      <c r="B1601" t="inlineStr">
        <is>
          <t>RESP0229</t>
        </is>
      </c>
      <c r="C1601" t="inlineStr">
        <is>
          <t>Stimulus</t>
        </is>
      </c>
      <c r="D1601" t="inlineStr">
        <is>
          <t>foodwaste_visual</t>
        </is>
      </c>
      <c r="E1601" t="n">
        <v>62</v>
      </c>
      <c r="F1601" t="inlineStr">
        <is>
          <t>Negative Valence</t>
        </is>
      </c>
      <c r="G1601" t="n">
        <v>-50</v>
      </c>
      <c r="H1601" t="n">
        <v>6.67</v>
      </c>
      <c r="I1601" t="n">
        <v>2</v>
      </c>
      <c r="J1601" t="inlineStr">
        <is>
          <t>NA</t>
        </is>
      </c>
      <c r="K1601" t="n">
        <v>99.8</v>
      </c>
    </row>
    <row r="1602">
      <c r="A1602" t="inlineStr">
        <is>
          <t>SIMULATED Food Waste Remote Study</t>
        </is>
      </c>
      <c r="B1602" t="inlineStr">
        <is>
          <t>RESP0234</t>
        </is>
      </c>
      <c r="C1602" t="inlineStr">
        <is>
          <t>Stimulus</t>
        </is>
      </c>
      <c r="D1602" t="inlineStr">
        <is>
          <t>foodwaste_narrative</t>
        </is>
      </c>
      <c r="E1602" t="n">
        <v>60</v>
      </c>
      <c r="F1602" t="inlineStr">
        <is>
          <t>Engagement</t>
        </is>
      </c>
      <c r="G1602" t="n">
        <v>50</v>
      </c>
      <c r="H1602" t="n">
        <v>28.89</v>
      </c>
      <c r="I1602" t="n">
        <v>10</v>
      </c>
      <c r="J1602" t="inlineStr">
        <is>
          <t>NA</t>
        </is>
      </c>
      <c r="K1602" t="n">
        <v>98.8</v>
      </c>
    </row>
    <row r="1603">
      <c r="A1603" t="inlineStr">
        <is>
          <t>SIMULATED Food Waste Remote Study</t>
        </is>
      </c>
      <c r="B1603" t="inlineStr">
        <is>
          <t>RESP0234</t>
        </is>
      </c>
      <c r="C1603" t="inlineStr">
        <is>
          <t>Stimulus</t>
        </is>
      </c>
      <c r="D1603" t="inlineStr">
        <is>
          <t>foodwaste_narrative</t>
        </is>
      </c>
      <c r="E1603" t="n">
        <v>60</v>
      </c>
      <c r="F1603" t="inlineStr">
        <is>
          <t>Joy</t>
        </is>
      </c>
      <c r="G1603" t="n">
        <v>50</v>
      </c>
      <c r="H1603" t="n">
        <v>6.89</v>
      </c>
      <c r="I1603" t="n">
        <v>3</v>
      </c>
      <c r="J1603" t="inlineStr">
        <is>
          <t>NA</t>
        </is>
      </c>
      <c r="K1603" t="n">
        <v>98.8</v>
      </c>
    </row>
    <row r="1604">
      <c r="A1604" t="inlineStr">
        <is>
          <t>SIMULATED Food Waste Remote Study</t>
        </is>
      </c>
      <c r="B1604" t="inlineStr">
        <is>
          <t>RESP0234</t>
        </is>
      </c>
      <c r="C1604" t="inlineStr">
        <is>
          <t>Stimulus</t>
        </is>
      </c>
      <c r="D1604" t="inlineStr">
        <is>
          <t>foodwaste_narrative</t>
        </is>
      </c>
      <c r="E1604" t="n">
        <v>60</v>
      </c>
      <c r="F1604" t="inlineStr">
        <is>
          <t>Brow Furrow</t>
        </is>
      </c>
      <c r="G1604" t="n">
        <v>50</v>
      </c>
      <c r="H1604" t="n">
        <v>1</v>
      </c>
      <c r="I1604" t="n">
        <v>1</v>
      </c>
      <c r="J1604" t="inlineStr">
        <is>
          <t>NA</t>
        </is>
      </c>
      <c r="K1604" t="n">
        <v>98.8</v>
      </c>
    </row>
    <row r="1605">
      <c r="A1605" t="inlineStr">
        <is>
          <t>SIMULATED Food Waste Remote Study</t>
        </is>
      </c>
      <c r="B1605" t="inlineStr">
        <is>
          <t>RESP0234</t>
        </is>
      </c>
      <c r="C1605" t="inlineStr">
        <is>
          <t>Stimulus</t>
        </is>
      </c>
      <c r="D1605" t="inlineStr">
        <is>
          <t>foodwaste_narrative</t>
        </is>
      </c>
      <c r="E1605" t="n">
        <v>60</v>
      </c>
      <c r="F1605" t="inlineStr">
        <is>
          <t>Positive Valence</t>
        </is>
      </c>
      <c r="G1605" t="n">
        <v>50</v>
      </c>
      <c r="H1605" t="n">
        <v>9.109999999999999</v>
      </c>
      <c r="I1605" t="n">
        <v>1</v>
      </c>
      <c r="J1605" t="inlineStr">
        <is>
          <t>NA</t>
        </is>
      </c>
      <c r="K1605" t="n">
        <v>98.8</v>
      </c>
    </row>
    <row r="1606">
      <c r="A1606" t="inlineStr">
        <is>
          <t>SIMULATED Food Waste Remote Study</t>
        </is>
      </c>
      <c r="B1606" t="inlineStr">
        <is>
          <t>RESP0234</t>
        </is>
      </c>
      <c r="C1606" t="inlineStr">
        <is>
          <t>Stimulus</t>
        </is>
      </c>
      <c r="D1606" t="inlineStr">
        <is>
          <t>foodwaste_narrative</t>
        </is>
      </c>
      <c r="E1606" t="n">
        <v>60</v>
      </c>
      <c r="F1606" t="inlineStr">
        <is>
          <t>Negative Valence</t>
        </is>
      </c>
      <c r="G1606" t="n">
        <v>-50</v>
      </c>
      <c r="H1606" t="n">
        <v>7.61</v>
      </c>
      <c r="I1606" t="n">
        <v>4</v>
      </c>
      <c r="J1606" t="inlineStr">
        <is>
          <t>NA</t>
        </is>
      </c>
      <c r="K1606" t="n">
        <v>98.8</v>
      </c>
    </row>
    <row r="1607">
      <c r="A1607" t="inlineStr">
        <is>
          <t>SIMULATED Food Waste Remote Study</t>
        </is>
      </c>
      <c r="B1607" t="inlineStr">
        <is>
          <t>RESP0234</t>
        </is>
      </c>
      <c r="C1607" t="inlineStr">
        <is>
          <t>Stimulus</t>
        </is>
      </c>
      <c r="D1607" t="inlineStr">
        <is>
          <t>foodwaste_visual</t>
        </is>
      </c>
      <c r="E1607" t="n">
        <v>62</v>
      </c>
      <c r="F1607" t="inlineStr">
        <is>
          <t>Engagement</t>
        </is>
      </c>
      <c r="G1607" t="n">
        <v>50</v>
      </c>
      <c r="H1607" t="n">
        <v>20.05</v>
      </c>
      <c r="I1607" t="n">
        <v>8</v>
      </c>
      <c r="J1607" t="inlineStr">
        <is>
          <t>NA</t>
        </is>
      </c>
      <c r="K1607" t="n">
        <v>98.90000000000001</v>
      </c>
    </row>
    <row r="1608">
      <c r="A1608" t="inlineStr">
        <is>
          <t>SIMULATED Food Waste Remote Study</t>
        </is>
      </c>
      <c r="B1608" t="inlineStr">
        <is>
          <t>RESP0234</t>
        </is>
      </c>
      <c r="C1608" t="inlineStr">
        <is>
          <t>Stimulus</t>
        </is>
      </c>
      <c r="D1608" t="inlineStr">
        <is>
          <t>foodwaste_visual</t>
        </is>
      </c>
      <c r="E1608" t="n">
        <v>62</v>
      </c>
      <c r="F1608" t="inlineStr">
        <is>
          <t>Joy</t>
        </is>
      </c>
      <c r="G1608" t="n">
        <v>50</v>
      </c>
      <c r="H1608" t="n">
        <v>13.12</v>
      </c>
      <c r="I1608" t="n">
        <v>4</v>
      </c>
      <c r="J1608" t="inlineStr">
        <is>
          <t>NA</t>
        </is>
      </c>
      <c r="K1608" t="n">
        <v>98.90000000000001</v>
      </c>
    </row>
    <row r="1609">
      <c r="A1609" t="inlineStr">
        <is>
          <t>SIMULATED Food Waste Remote Study</t>
        </is>
      </c>
      <c r="B1609" t="inlineStr">
        <is>
          <t>RESP0234</t>
        </is>
      </c>
      <c r="C1609" t="inlineStr">
        <is>
          <t>Stimulus</t>
        </is>
      </c>
      <c r="D1609" t="inlineStr">
        <is>
          <t>foodwaste_visual</t>
        </is>
      </c>
      <c r="E1609" t="n">
        <v>62</v>
      </c>
      <c r="F1609" t="inlineStr">
        <is>
          <t>Brow Furrow</t>
        </is>
      </c>
      <c r="G1609" t="n">
        <v>50</v>
      </c>
      <c r="H1609" t="n">
        <v>5</v>
      </c>
      <c r="I1609" t="n">
        <v>2</v>
      </c>
      <c r="J1609" t="inlineStr">
        <is>
          <t>NA</t>
        </is>
      </c>
      <c r="K1609" t="n">
        <v>98.90000000000001</v>
      </c>
    </row>
    <row r="1610">
      <c r="A1610" t="inlineStr">
        <is>
          <t>SIMULATED Food Waste Remote Study</t>
        </is>
      </c>
      <c r="B1610" t="inlineStr">
        <is>
          <t>RESP0234</t>
        </is>
      </c>
      <c r="C1610" t="inlineStr">
        <is>
          <t>Stimulus</t>
        </is>
      </c>
      <c r="D1610" t="inlineStr">
        <is>
          <t>foodwaste_visual</t>
        </is>
      </c>
      <c r="E1610" t="n">
        <v>62</v>
      </c>
      <c r="F1610" t="inlineStr">
        <is>
          <t>Positive Valence</t>
        </is>
      </c>
      <c r="G1610" t="n">
        <v>50</v>
      </c>
      <c r="H1610" t="n">
        <v>1.51</v>
      </c>
      <c r="I1610" t="n">
        <v>1</v>
      </c>
      <c r="J1610" t="inlineStr">
        <is>
          <t>NA</t>
        </is>
      </c>
      <c r="K1610" t="n">
        <v>98.90000000000001</v>
      </c>
    </row>
    <row r="1611">
      <c r="A1611" t="inlineStr">
        <is>
          <t>SIMULATED Food Waste Remote Study</t>
        </is>
      </c>
      <c r="B1611" t="inlineStr">
        <is>
          <t>RESP0234</t>
        </is>
      </c>
      <c r="C1611" t="inlineStr">
        <is>
          <t>Stimulus</t>
        </is>
      </c>
      <c r="D1611" t="inlineStr">
        <is>
          <t>foodwaste_visual</t>
        </is>
      </c>
      <c r="E1611" t="n">
        <v>62</v>
      </c>
      <c r="F1611" t="inlineStr">
        <is>
          <t>Negative Valence</t>
        </is>
      </c>
      <c r="G1611" t="n">
        <v>-50</v>
      </c>
      <c r="H1611" t="n">
        <v>15.7</v>
      </c>
      <c r="I1611" t="n">
        <v>7</v>
      </c>
      <c r="J1611" t="inlineStr">
        <is>
          <t>NA</t>
        </is>
      </c>
      <c r="K1611" t="n">
        <v>98.90000000000001</v>
      </c>
    </row>
    <row r="1612">
      <c r="A1612" t="inlineStr">
        <is>
          <t>SIMULATED Food Waste Remote Study</t>
        </is>
      </c>
      <c r="B1612" t="inlineStr">
        <is>
          <t>RESP0236</t>
        </is>
      </c>
      <c r="C1612" t="inlineStr">
        <is>
          <t>Stimulus</t>
        </is>
      </c>
      <c r="D1612" t="inlineStr">
        <is>
          <t>foodwaste_narrative</t>
        </is>
      </c>
      <c r="E1612" t="n">
        <v>60</v>
      </c>
      <c r="F1612" t="inlineStr">
        <is>
          <t>Engagement</t>
        </is>
      </c>
      <c r="G1612" t="n">
        <v>50</v>
      </c>
      <c r="H1612" t="n">
        <v>0</v>
      </c>
      <c r="I1612" t="n">
        <v>0</v>
      </c>
      <c r="J1612" t="inlineStr">
        <is>
          <t>NA</t>
        </is>
      </c>
      <c r="K1612" t="n">
        <v>89.90000000000001</v>
      </c>
    </row>
    <row r="1613">
      <c r="A1613" t="inlineStr">
        <is>
          <t>SIMULATED Food Waste Remote Study</t>
        </is>
      </c>
      <c r="B1613" t="inlineStr">
        <is>
          <t>RESP0236</t>
        </is>
      </c>
      <c r="C1613" t="inlineStr">
        <is>
          <t>Stimulus</t>
        </is>
      </c>
      <c r="D1613" t="inlineStr">
        <is>
          <t>foodwaste_narrative</t>
        </is>
      </c>
      <c r="E1613" t="n">
        <v>60</v>
      </c>
      <c r="F1613" t="inlineStr">
        <is>
          <t>Joy</t>
        </is>
      </c>
      <c r="G1613" t="n">
        <v>50</v>
      </c>
      <c r="H1613" t="n">
        <v>0</v>
      </c>
      <c r="I1613" t="n">
        <v>0</v>
      </c>
      <c r="J1613" t="inlineStr">
        <is>
          <t>NA</t>
        </is>
      </c>
      <c r="K1613" t="n">
        <v>89.90000000000001</v>
      </c>
    </row>
    <row r="1614">
      <c r="A1614" t="inlineStr">
        <is>
          <t>SIMULATED Food Waste Remote Study</t>
        </is>
      </c>
      <c r="B1614" t="inlineStr">
        <is>
          <t>RESP0236</t>
        </is>
      </c>
      <c r="C1614" t="inlineStr">
        <is>
          <t>Stimulus</t>
        </is>
      </c>
      <c r="D1614" t="inlineStr">
        <is>
          <t>foodwaste_narrative</t>
        </is>
      </c>
      <c r="E1614" t="n">
        <v>60</v>
      </c>
      <c r="F1614" t="inlineStr">
        <is>
          <t>Brow Furrow</t>
        </is>
      </c>
      <c r="G1614" t="n">
        <v>50</v>
      </c>
      <c r="H1614" t="n">
        <v>1.89</v>
      </c>
      <c r="I1614" t="n">
        <v>1</v>
      </c>
      <c r="J1614" t="inlineStr">
        <is>
          <t>NA</t>
        </is>
      </c>
      <c r="K1614" t="n">
        <v>89.90000000000001</v>
      </c>
    </row>
    <row r="1615">
      <c r="A1615" t="inlineStr">
        <is>
          <t>SIMULATED Food Waste Remote Study</t>
        </is>
      </c>
      <c r="B1615" t="inlineStr">
        <is>
          <t>RESP0236</t>
        </is>
      </c>
      <c r="C1615" t="inlineStr">
        <is>
          <t>Stimulus</t>
        </is>
      </c>
      <c r="D1615" t="inlineStr">
        <is>
          <t>foodwaste_narrative</t>
        </is>
      </c>
      <c r="E1615" t="n">
        <v>60</v>
      </c>
      <c r="F1615" t="inlineStr">
        <is>
          <t>Positive Valence</t>
        </is>
      </c>
      <c r="G1615" t="n">
        <v>50</v>
      </c>
      <c r="H1615" t="n">
        <v>0</v>
      </c>
      <c r="I1615" t="n">
        <v>0</v>
      </c>
      <c r="J1615" t="inlineStr">
        <is>
          <t>NA</t>
        </is>
      </c>
      <c r="K1615" t="n">
        <v>89.90000000000001</v>
      </c>
    </row>
    <row r="1616">
      <c r="A1616" t="inlineStr">
        <is>
          <t>SIMULATED Food Waste Remote Study</t>
        </is>
      </c>
      <c r="B1616" t="inlineStr">
        <is>
          <t>RESP0236</t>
        </is>
      </c>
      <c r="C1616" t="inlineStr">
        <is>
          <t>Stimulus</t>
        </is>
      </c>
      <c r="D1616" t="inlineStr">
        <is>
          <t>foodwaste_narrative</t>
        </is>
      </c>
      <c r="E1616" t="n">
        <v>60</v>
      </c>
      <c r="F1616" t="inlineStr">
        <is>
          <t>Negative Valence</t>
        </is>
      </c>
      <c r="G1616" t="n">
        <v>-50</v>
      </c>
      <c r="H1616" t="n">
        <v>0</v>
      </c>
      <c r="I1616" t="n">
        <v>0</v>
      </c>
      <c r="J1616" t="inlineStr">
        <is>
          <t>NA</t>
        </is>
      </c>
      <c r="K1616" t="n">
        <v>89.90000000000001</v>
      </c>
    </row>
    <row r="1617">
      <c r="A1617" t="inlineStr">
        <is>
          <t>SIMULATED Food Waste Remote Study</t>
        </is>
      </c>
      <c r="B1617" t="inlineStr">
        <is>
          <t>RESP0236</t>
        </is>
      </c>
      <c r="C1617" t="inlineStr">
        <is>
          <t>Stimulus</t>
        </is>
      </c>
      <c r="D1617" t="inlineStr">
        <is>
          <t>foodwaste_visual</t>
        </is>
      </c>
      <c r="E1617" t="n">
        <v>62</v>
      </c>
      <c r="F1617" t="inlineStr">
        <is>
          <t>Engagement</t>
        </is>
      </c>
      <c r="G1617" t="n">
        <v>50</v>
      </c>
      <c r="H1617" t="n">
        <v>42.69</v>
      </c>
      <c r="I1617" t="n">
        <v>7</v>
      </c>
      <c r="J1617" t="inlineStr">
        <is>
          <t>NA</t>
        </is>
      </c>
      <c r="K1617" t="n">
        <v>91.09999999999999</v>
      </c>
    </row>
    <row r="1618">
      <c r="A1618" t="inlineStr">
        <is>
          <t>SIMULATED Food Waste Remote Study</t>
        </is>
      </c>
      <c r="B1618" t="inlineStr">
        <is>
          <t>RESP0236</t>
        </is>
      </c>
      <c r="C1618" t="inlineStr">
        <is>
          <t>Stimulus</t>
        </is>
      </c>
      <c r="D1618" t="inlineStr">
        <is>
          <t>foodwaste_visual</t>
        </is>
      </c>
      <c r="E1618" t="n">
        <v>62</v>
      </c>
      <c r="F1618" t="inlineStr">
        <is>
          <t>Joy</t>
        </is>
      </c>
      <c r="G1618" t="n">
        <v>50</v>
      </c>
      <c r="H1618" t="n">
        <v>0.38</v>
      </c>
      <c r="I1618" t="n">
        <v>1</v>
      </c>
      <c r="J1618" t="inlineStr">
        <is>
          <t>NA</t>
        </is>
      </c>
      <c r="K1618" t="n">
        <v>91.09999999999999</v>
      </c>
    </row>
    <row r="1619">
      <c r="A1619" t="inlineStr">
        <is>
          <t>SIMULATED Food Waste Remote Study</t>
        </is>
      </c>
      <c r="B1619" t="inlineStr">
        <is>
          <t>RESP0236</t>
        </is>
      </c>
      <c r="C1619" t="inlineStr">
        <is>
          <t>Stimulus</t>
        </is>
      </c>
      <c r="D1619" t="inlineStr">
        <is>
          <t>foodwaste_visual</t>
        </is>
      </c>
      <c r="E1619" t="n">
        <v>62</v>
      </c>
      <c r="F1619" t="inlineStr">
        <is>
          <t>Brow Furrow</t>
        </is>
      </c>
      <c r="G1619" t="n">
        <v>50</v>
      </c>
      <c r="H1619" t="n">
        <v>0</v>
      </c>
      <c r="I1619" t="n">
        <v>0</v>
      </c>
      <c r="J1619" t="inlineStr">
        <is>
          <t>NA</t>
        </is>
      </c>
      <c r="K1619" t="n">
        <v>91.09999999999999</v>
      </c>
    </row>
    <row r="1620">
      <c r="A1620" t="inlineStr">
        <is>
          <t>SIMULATED Food Waste Remote Study</t>
        </is>
      </c>
      <c r="B1620" t="inlineStr">
        <is>
          <t>RESP0236</t>
        </is>
      </c>
      <c r="C1620" t="inlineStr">
        <is>
          <t>Stimulus</t>
        </is>
      </c>
      <c r="D1620" t="inlineStr">
        <is>
          <t>foodwaste_visual</t>
        </is>
      </c>
      <c r="E1620" t="n">
        <v>62</v>
      </c>
      <c r="F1620" t="inlineStr">
        <is>
          <t>Positive Valence</t>
        </is>
      </c>
      <c r="G1620" t="n">
        <v>50</v>
      </c>
      <c r="H1620" t="n">
        <v>0.97</v>
      </c>
      <c r="I1620" t="n">
        <v>1</v>
      </c>
      <c r="J1620" t="inlineStr">
        <is>
          <t>NA</t>
        </is>
      </c>
      <c r="K1620" t="n">
        <v>91.09999999999999</v>
      </c>
    </row>
    <row r="1621">
      <c r="A1621" t="inlineStr">
        <is>
          <t>SIMULATED Food Waste Remote Study</t>
        </is>
      </c>
      <c r="B1621" t="inlineStr">
        <is>
          <t>RESP0236</t>
        </is>
      </c>
      <c r="C1621" t="inlineStr">
        <is>
          <t>Stimulus</t>
        </is>
      </c>
      <c r="D1621" t="inlineStr">
        <is>
          <t>foodwaste_visual</t>
        </is>
      </c>
      <c r="E1621" t="n">
        <v>62</v>
      </c>
      <c r="F1621" t="inlineStr">
        <is>
          <t>Negative Valence</t>
        </is>
      </c>
      <c r="G1621" t="n">
        <v>-50</v>
      </c>
      <c r="H1621" t="n">
        <v>2.74</v>
      </c>
      <c r="I1621" t="n">
        <v>1</v>
      </c>
      <c r="J1621" t="inlineStr">
        <is>
          <t>NA</t>
        </is>
      </c>
      <c r="K1621" t="n">
        <v>91.09999999999999</v>
      </c>
    </row>
    <row r="1622">
      <c r="A1622" t="inlineStr">
        <is>
          <t>SIMULATED Food Waste Remote Study</t>
        </is>
      </c>
      <c r="B1622" t="inlineStr">
        <is>
          <t>RESP0237</t>
        </is>
      </c>
      <c r="C1622" t="inlineStr">
        <is>
          <t>Stimulus</t>
        </is>
      </c>
      <c r="D1622" t="inlineStr">
        <is>
          <t>foodwaste_narrative</t>
        </is>
      </c>
      <c r="E1622" t="n">
        <v>60</v>
      </c>
      <c r="F1622" t="inlineStr">
        <is>
          <t>Engagement</t>
        </is>
      </c>
      <c r="G1622" t="n">
        <v>50</v>
      </c>
      <c r="H1622" t="n">
        <v>42.33</v>
      </c>
      <c r="I1622" t="n">
        <v>13</v>
      </c>
      <c r="J1622" t="inlineStr">
        <is>
          <t>NA</t>
        </is>
      </c>
      <c r="K1622" t="n">
        <v>96.40000000000001</v>
      </c>
    </row>
    <row r="1623">
      <c r="A1623" t="inlineStr">
        <is>
          <t>SIMULATED Food Waste Remote Study</t>
        </is>
      </c>
      <c r="B1623" t="inlineStr">
        <is>
          <t>RESP0237</t>
        </is>
      </c>
      <c r="C1623" t="inlineStr">
        <is>
          <t>Stimulus</t>
        </is>
      </c>
      <c r="D1623" t="inlineStr">
        <is>
          <t>foodwaste_narrative</t>
        </is>
      </c>
      <c r="E1623" t="n">
        <v>60</v>
      </c>
      <c r="F1623" t="inlineStr">
        <is>
          <t>Joy</t>
        </is>
      </c>
      <c r="G1623" t="n">
        <v>50</v>
      </c>
      <c r="H1623" t="n">
        <v>0</v>
      </c>
      <c r="I1623" t="n">
        <v>0</v>
      </c>
      <c r="J1623" t="inlineStr">
        <is>
          <t>NA</t>
        </is>
      </c>
      <c r="K1623" t="n">
        <v>96.40000000000001</v>
      </c>
    </row>
    <row r="1624">
      <c r="A1624" t="inlineStr">
        <is>
          <t>SIMULATED Food Waste Remote Study</t>
        </is>
      </c>
      <c r="B1624" t="inlineStr">
        <is>
          <t>RESP0237</t>
        </is>
      </c>
      <c r="C1624" t="inlineStr">
        <is>
          <t>Stimulus</t>
        </is>
      </c>
      <c r="D1624" t="inlineStr">
        <is>
          <t>foodwaste_narrative</t>
        </is>
      </c>
      <c r="E1624" t="n">
        <v>60</v>
      </c>
      <c r="F1624" t="inlineStr">
        <is>
          <t>Brow Furrow</t>
        </is>
      </c>
      <c r="G1624" t="n">
        <v>50</v>
      </c>
      <c r="H1624" t="n">
        <v>0</v>
      </c>
      <c r="I1624" t="n">
        <v>0</v>
      </c>
      <c r="J1624" t="inlineStr">
        <is>
          <t>NA</t>
        </is>
      </c>
      <c r="K1624" t="n">
        <v>96.40000000000001</v>
      </c>
    </row>
    <row r="1625">
      <c r="A1625" t="inlineStr">
        <is>
          <t>SIMULATED Food Waste Remote Study</t>
        </is>
      </c>
      <c r="B1625" t="inlineStr">
        <is>
          <t>RESP0237</t>
        </is>
      </c>
      <c r="C1625" t="inlineStr">
        <is>
          <t>Stimulus</t>
        </is>
      </c>
      <c r="D1625" t="inlineStr">
        <is>
          <t>foodwaste_narrative</t>
        </is>
      </c>
      <c r="E1625" t="n">
        <v>60</v>
      </c>
      <c r="F1625" t="inlineStr">
        <is>
          <t>Positive Valence</t>
        </is>
      </c>
      <c r="G1625" t="n">
        <v>50</v>
      </c>
      <c r="H1625" t="n">
        <v>0</v>
      </c>
      <c r="I1625" t="n">
        <v>0</v>
      </c>
      <c r="J1625" t="inlineStr">
        <is>
          <t>NA</t>
        </is>
      </c>
      <c r="K1625" t="n">
        <v>96.40000000000001</v>
      </c>
    </row>
    <row r="1626">
      <c r="A1626" t="inlineStr">
        <is>
          <t>SIMULATED Food Waste Remote Study</t>
        </is>
      </c>
      <c r="B1626" t="inlineStr">
        <is>
          <t>RESP0237</t>
        </is>
      </c>
      <c r="C1626" t="inlineStr">
        <is>
          <t>Stimulus</t>
        </is>
      </c>
      <c r="D1626" t="inlineStr">
        <is>
          <t>foodwaste_narrative</t>
        </is>
      </c>
      <c r="E1626" t="n">
        <v>60</v>
      </c>
      <c r="F1626" t="inlineStr">
        <is>
          <t>Negative Valence</t>
        </is>
      </c>
      <c r="G1626" t="n">
        <v>-50</v>
      </c>
      <c r="H1626" t="n">
        <v>0</v>
      </c>
      <c r="I1626" t="n">
        <v>0</v>
      </c>
      <c r="J1626" t="inlineStr">
        <is>
          <t>NA</t>
        </is>
      </c>
      <c r="K1626" t="n">
        <v>96.40000000000001</v>
      </c>
    </row>
    <row r="1627">
      <c r="A1627" t="inlineStr">
        <is>
          <t>SIMULATED Food Waste Remote Study</t>
        </is>
      </c>
      <c r="B1627" t="inlineStr">
        <is>
          <t>RESP0237</t>
        </is>
      </c>
      <c r="C1627" t="inlineStr">
        <is>
          <t>Stimulus</t>
        </is>
      </c>
      <c r="D1627" t="inlineStr">
        <is>
          <t>foodwaste_visual</t>
        </is>
      </c>
      <c r="E1627" t="n">
        <v>62</v>
      </c>
      <c r="F1627" t="inlineStr">
        <is>
          <t>Engagement</t>
        </is>
      </c>
      <c r="G1627" t="n">
        <v>50</v>
      </c>
      <c r="H1627" t="n">
        <v>46.61</v>
      </c>
      <c r="I1627" t="n">
        <v>13</v>
      </c>
      <c r="J1627" t="inlineStr">
        <is>
          <t>NA</t>
        </is>
      </c>
      <c r="K1627" t="n">
        <v>96.2</v>
      </c>
    </row>
    <row r="1628">
      <c r="A1628" t="inlineStr">
        <is>
          <t>SIMULATED Food Waste Remote Study</t>
        </is>
      </c>
      <c r="B1628" t="inlineStr">
        <is>
          <t>RESP0237</t>
        </is>
      </c>
      <c r="C1628" t="inlineStr">
        <is>
          <t>Stimulus</t>
        </is>
      </c>
      <c r="D1628" t="inlineStr">
        <is>
          <t>foodwaste_visual</t>
        </is>
      </c>
      <c r="E1628" t="n">
        <v>62</v>
      </c>
      <c r="F1628" t="inlineStr">
        <is>
          <t>Joy</t>
        </is>
      </c>
      <c r="G1628" t="n">
        <v>50</v>
      </c>
      <c r="H1628" t="n">
        <v>6.72</v>
      </c>
      <c r="I1628" t="n">
        <v>3</v>
      </c>
      <c r="J1628" t="inlineStr">
        <is>
          <t>NA</t>
        </is>
      </c>
      <c r="K1628" t="n">
        <v>96.2</v>
      </c>
    </row>
    <row r="1629">
      <c r="A1629" t="inlineStr">
        <is>
          <t>SIMULATED Food Waste Remote Study</t>
        </is>
      </c>
      <c r="B1629" t="inlineStr">
        <is>
          <t>RESP0237</t>
        </is>
      </c>
      <c r="C1629" t="inlineStr">
        <is>
          <t>Stimulus</t>
        </is>
      </c>
      <c r="D1629" t="inlineStr">
        <is>
          <t>foodwaste_visual</t>
        </is>
      </c>
      <c r="E1629" t="n">
        <v>62</v>
      </c>
      <c r="F1629" t="inlineStr">
        <is>
          <t>Brow Furrow</t>
        </is>
      </c>
      <c r="G1629" t="n">
        <v>50</v>
      </c>
      <c r="H1629" t="n">
        <v>0</v>
      </c>
      <c r="I1629" t="n">
        <v>0</v>
      </c>
      <c r="J1629" t="inlineStr">
        <is>
          <t>NA</t>
        </is>
      </c>
      <c r="K1629" t="n">
        <v>96.2</v>
      </c>
    </row>
    <row r="1630">
      <c r="A1630" t="inlineStr">
        <is>
          <t>SIMULATED Food Waste Remote Study</t>
        </is>
      </c>
      <c r="B1630" t="inlineStr">
        <is>
          <t>RESP0237</t>
        </is>
      </c>
      <c r="C1630" t="inlineStr">
        <is>
          <t>Stimulus</t>
        </is>
      </c>
      <c r="D1630" t="inlineStr">
        <is>
          <t>foodwaste_visual</t>
        </is>
      </c>
      <c r="E1630" t="n">
        <v>62</v>
      </c>
      <c r="F1630" t="inlineStr">
        <is>
          <t>Positive Valence</t>
        </is>
      </c>
      <c r="G1630" t="n">
        <v>50</v>
      </c>
      <c r="H1630" t="n">
        <v>0.43</v>
      </c>
      <c r="I1630" t="n">
        <v>1</v>
      </c>
      <c r="J1630" t="inlineStr">
        <is>
          <t>NA</t>
        </is>
      </c>
      <c r="K1630" t="n">
        <v>96.2</v>
      </c>
    </row>
    <row r="1631">
      <c r="A1631" t="inlineStr">
        <is>
          <t>SIMULATED Food Waste Remote Study</t>
        </is>
      </c>
      <c r="B1631" t="inlineStr">
        <is>
          <t>RESP0237</t>
        </is>
      </c>
      <c r="C1631" t="inlineStr">
        <is>
          <t>Stimulus</t>
        </is>
      </c>
      <c r="D1631" t="inlineStr">
        <is>
          <t>foodwaste_visual</t>
        </is>
      </c>
      <c r="E1631" t="n">
        <v>62</v>
      </c>
      <c r="F1631" t="inlineStr">
        <is>
          <t>Negative Valence</t>
        </is>
      </c>
      <c r="G1631" t="n">
        <v>-50</v>
      </c>
      <c r="H1631" t="n">
        <v>9.84</v>
      </c>
      <c r="I1631" t="n">
        <v>2</v>
      </c>
      <c r="J1631" t="inlineStr">
        <is>
          <t>NA</t>
        </is>
      </c>
      <c r="K1631" t="n">
        <v>96.2</v>
      </c>
    </row>
    <row r="1632">
      <c r="A1632" t="inlineStr">
        <is>
          <t>SIMULATED Food Waste Remote Study</t>
        </is>
      </c>
      <c r="B1632" t="inlineStr">
        <is>
          <t>RESP0238</t>
        </is>
      </c>
      <c r="C1632" t="inlineStr">
        <is>
          <t>Stimulus</t>
        </is>
      </c>
      <c r="D1632" t="inlineStr">
        <is>
          <t>foodwaste_narrative</t>
        </is>
      </c>
      <c r="E1632" t="n">
        <v>60</v>
      </c>
      <c r="F1632" t="inlineStr">
        <is>
          <t>Engagement</t>
        </is>
      </c>
      <c r="G1632" t="n">
        <v>50</v>
      </c>
      <c r="H1632" t="n">
        <v>6.39</v>
      </c>
      <c r="I1632" t="n">
        <v>3</v>
      </c>
      <c r="J1632" t="inlineStr">
        <is>
          <t>NA</t>
        </is>
      </c>
      <c r="K1632" t="n">
        <v>89.8</v>
      </c>
    </row>
    <row r="1633">
      <c r="A1633" t="inlineStr">
        <is>
          <t>SIMULATED Food Waste Remote Study</t>
        </is>
      </c>
      <c r="B1633" t="inlineStr">
        <is>
          <t>RESP0238</t>
        </is>
      </c>
      <c r="C1633" t="inlineStr">
        <is>
          <t>Stimulus</t>
        </is>
      </c>
      <c r="D1633" t="inlineStr">
        <is>
          <t>foodwaste_narrative</t>
        </is>
      </c>
      <c r="E1633" t="n">
        <v>60</v>
      </c>
      <c r="F1633" t="inlineStr">
        <is>
          <t>Joy</t>
        </is>
      </c>
      <c r="G1633" t="n">
        <v>50</v>
      </c>
      <c r="H1633" t="n">
        <v>8.5</v>
      </c>
      <c r="I1633" t="n">
        <v>4</v>
      </c>
      <c r="J1633" t="inlineStr">
        <is>
          <t>NA</t>
        </is>
      </c>
      <c r="K1633" t="n">
        <v>89.8</v>
      </c>
    </row>
    <row r="1634">
      <c r="A1634" t="inlineStr">
        <is>
          <t>SIMULATED Food Waste Remote Study</t>
        </is>
      </c>
      <c r="B1634" t="inlineStr">
        <is>
          <t>RESP0238</t>
        </is>
      </c>
      <c r="C1634" t="inlineStr">
        <is>
          <t>Stimulus</t>
        </is>
      </c>
      <c r="D1634" t="inlineStr">
        <is>
          <t>foodwaste_narrative</t>
        </is>
      </c>
      <c r="E1634" t="n">
        <v>60</v>
      </c>
      <c r="F1634" t="inlineStr">
        <is>
          <t>Brow Furrow</t>
        </is>
      </c>
      <c r="G1634" t="n">
        <v>50</v>
      </c>
      <c r="H1634" t="n">
        <v>0</v>
      </c>
      <c r="I1634" t="n">
        <v>0</v>
      </c>
      <c r="J1634" t="inlineStr">
        <is>
          <t>NA</t>
        </is>
      </c>
      <c r="K1634" t="n">
        <v>89.8</v>
      </c>
    </row>
    <row r="1635">
      <c r="A1635" t="inlineStr">
        <is>
          <t>SIMULATED Food Waste Remote Study</t>
        </is>
      </c>
      <c r="B1635" t="inlineStr">
        <is>
          <t>RESP0238</t>
        </is>
      </c>
      <c r="C1635" t="inlineStr">
        <is>
          <t>Stimulus</t>
        </is>
      </c>
      <c r="D1635" t="inlineStr">
        <is>
          <t>foodwaste_narrative</t>
        </is>
      </c>
      <c r="E1635" t="n">
        <v>60</v>
      </c>
      <c r="F1635" t="inlineStr">
        <is>
          <t>Positive Valence</t>
        </is>
      </c>
      <c r="G1635" t="n">
        <v>50</v>
      </c>
      <c r="H1635" t="n">
        <v>4.17</v>
      </c>
      <c r="I1635" t="n">
        <v>3</v>
      </c>
      <c r="J1635" t="inlineStr">
        <is>
          <t>NA</t>
        </is>
      </c>
      <c r="K1635" t="n">
        <v>89.8</v>
      </c>
    </row>
    <row r="1636">
      <c r="A1636" t="inlineStr">
        <is>
          <t>SIMULATED Food Waste Remote Study</t>
        </is>
      </c>
      <c r="B1636" t="inlineStr">
        <is>
          <t>RESP0238</t>
        </is>
      </c>
      <c r="C1636" t="inlineStr">
        <is>
          <t>Stimulus</t>
        </is>
      </c>
      <c r="D1636" t="inlineStr">
        <is>
          <t>foodwaste_narrative</t>
        </is>
      </c>
      <c r="E1636" t="n">
        <v>60</v>
      </c>
      <c r="F1636" t="inlineStr">
        <is>
          <t>Negative Valence</t>
        </is>
      </c>
      <c r="G1636" t="n">
        <v>-50</v>
      </c>
      <c r="H1636" t="n">
        <v>6.78</v>
      </c>
      <c r="I1636" t="n">
        <v>2</v>
      </c>
      <c r="J1636" t="inlineStr">
        <is>
          <t>NA</t>
        </is>
      </c>
      <c r="K1636" t="n">
        <v>89.8</v>
      </c>
    </row>
    <row r="1637">
      <c r="A1637" t="inlineStr">
        <is>
          <t>SIMULATED Food Waste Remote Study</t>
        </is>
      </c>
      <c r="B1637" t="inlineStr">
        <is>
          <t>RESP0238</t>
        </is>
      </c>
      <c r="C1637" t="inlineStr">
        <is>
          <t>Stimulus</t>
        </is>
      </c>
      <c r="D1637" t="inlineStr">
        <is>
          <t>foodwaste_visual</t>
        </is>
      </c>
      <c r="E1637" t="n">
        <v>62</v>
      </c>
      <c r="F1637" t="inlineStr">
        <is>
          <t>Engagement</t>
        </is>
      </c>
      <c r="G1637" t="n">
        <v>50</v>
      </c>
      <c r="H1637" t="n">
        <v>78.81999999999999</v>
      </c>
      <c r="I1637" t="n">
        <v>24</v>
      </c>
      <c r="J1637" t="inlineStr">
        <is>
          <t>NA</t>
        </is>
      </c>
      <c r="K1637" t="n">
        <v>95.59999999999999</v>
      </c>
    </row>
    <row r="1638">
      <c r="A1638" t="inlineStr">
        <is>
          <t>SIMULATED Food Waste Remote Study</t>
        </is>
      </c>
      <c r="B1638" t="inlineStr">
        <is>
          <t>RESP0238</t>
        </is>
      </c>
      <c r="C1638" t="inlineStr">
        <is>
          <t>Stimulus</t>
        </is>
      </c>
      <c r="D1638" t="inlineStr">
        <is>
          <t>foodwaste_visual</t>
        </is>
      </c>
      <c r="E1638" t="n">
        <v>62</v>
      </c>
      <c r="F1638" t="inlineStr">
        <is>
          <t>Joy</t>
        </is>
      </c>
      <c r="G1638" t="n">
        <v>50</v>
      </c>
      <c r="H1638" t="n">
        <v>13.01</v>
      </c>
      <c r="I1638" t="n">
        <v>3</v>
      </c>
      <c r="J1638" t="inlineStr">
        <is>
          <t>NA</t>
        </is>
      </c>
      <c r="K1638" t="n">
        <v>95.59999999999999</v>
      </c>
    </row>
    <row r="1639">
      <c r="A1639" t="inlineStr">
        <is>
          <t>SIMULATED Food Waste Remote Study</t>
        </is>
      </c>
      <c r="B1639" t="inlineStr">
        <is>
          <t>RESP0238</t>
        </is>
      </c>
      <c r="C1639" t="inlineStr">
        <is>
          <t>Stimulus</t>
        </is>
      </c>
      <c r="D1639" t="inlineStr">
        <is>
          <t>foodwaste_visual</t>
        </is>
      </c>
      <c r="E1639" t="n">
        <v>62</v>
      </c>
      <c r="F1639" t="inlineStr">
        <is>
          <t>Brow Furrow</t>
        </is>
      </c>
      <c r="G1639" t="n">
        <v>50</v>
      </c>
      <c r="H1639" t="n">
        <v>0</v>
      </c>
      <c r="I1639" t="n">
        <v>0</v>
      </c>
      <c r="J1639" t="inlineStr">
        <is>
          <t>NA</t>
        </is>
      </c>
      <c r="K1639" t="n">
        <v>95.59999999999999</v>
      </c>
    </row>
    <row r="1640">
      <c r="A1640" t="inlineStr">
        <is>
          <t>SIMULATED Food Waste Remote Study</t>
        </is>
      </c>
      <c r="B1640" t="inlineStr">
        <is>
          <t>RESP0238</t>
        </is>
      </c>
      <c r="C1640" t="inlineStr">
        <is>
          <t>Stimulus</t>
        </is>
      </c>
      <c r="D1640" t="inlineStr">
        <is>
          <t>foodwaste_visual</t>
        </is>
      </c>
      <c r="E1640" t="n">
        <v>62</v>
      </c>
      <c r="F1640" t="inlineStr">
        <is>
          <t>Positive Valence</t>
        </is>
      </c>
      <c r="G1640" t="n">
        <v>50</v>
      </c>
      <c r="H1640" t="n">
        <v>8.82</v>
      </c>
      <c r="I1640" t="n">
        <v>5</v>
      </c>
      <c r="J1640" t="inlineStr">
        <is>
          <t>NA</t>
        </is>
      </c>
      <c r="K1640" t="n">
        <v>95.59999999999999</v>
      </c>
    </row>
    <row r="1641">
      <c r="A1641" t="inlineStr">
        <is>
          <t>SIMULATED Food Waste Remote Study</t>
        </is>
      </c>
      <c r="B1641" t="inlineStr">
        <is>
          <t>RESP0238</t>
        </is>
      </c>
      <c r="C1641" t="inlineStr">
        <is>
          <t>Stimulus</t>
        </is>
      </c>
      <c r="D1641" t="inlineStr">
        <is>
          <t>foodwaste_visual</t>
        </is>
      </c>
      <c r="E1641" t="n">
        <v>62</v>
      </c>
      <c r="F1641" t="inlineStr">
        <is>
          <t>Negative Valence</t>
        </is>
      </c>
      <c r="G1641" t="n">
        <v>-50</v>
      </c>
      <c r="H1641" t="n">
        <v>2.15</v>
      </c>
      <c r="I1641" t="n">
        <v>2</v>
      </c>
      <c r="J1641" t="inlineStr">
        <is>
          <t>NA</t>
        </is>
      </c>
      <c r="K1641" t="n">
        <v>95.59999999999999</v>
      </c>
    </row>
    <row r="1642">
      <c r="A1642" t="inlineStr">
        <is>
          <t>SIMULATED Food Waste Remote Study</t>
        </is>
      </c>
      <c r="B1642" t="inlineStr">
        <is>
          <t>RESP0240</t>
        </is>
      </c>
      <c r="C1642" t="inlineStr">
        <is>
          <t>Stimulus</t>
        </is>
      </c>
      <c r="D1642" t="inlineStr">
        <is>
          <t>foodwaste_narrative</t>
        </is>
      </c>
      <c r="E1642" t="n">
        <v>60</v>
      </c>
      <c r="F1642" t="inlineStr">
        <is>
          <t>Engagement</t>
        </is>
      </c>
      <c r="G1642" t="n">
        <v>50</v>
      </c>
      <c r="H1642" t="n">
        <v>7.28</v>
      </c>
      <c r="I1642" t="n">
        <v>1</v>
      </c>
      <c r="J1642" t="inlineStr">
        <is>
          <t>NA</t>
        </is>
      </c>
      <c r="K1642" t="n">
        <v>96.90000000000001</v>
      </c>
    </row>
    <row r="1643">
      <c r="A1643" t="inlineStr">
        <is>
          <t>SIMULATED Food Waste Remote Study</t>
        </is>
      </c>
      <c r="B1643" t="inlineStr">
        <is>
          <t>RESP0240</t>
        </is>
      </c>
      <c r="C1643" t="inlineStr">
        <is>
          <t>Stimulus</t>
        </is>
      </c>
      <c r="D1643" t="inlineStr">
        <is>
          <t>foodwaste_narrative</t>
        </is>
      </c>
      <c r="E1643" t="n">
        <v>60</v>
      </c>
      <c r="F1643" t="inlineStr">
        <is>
          <t>Joy</t>
        </is>
      </c>
      <c r="G1643" t="n">
        <v>50</v>
      </c>
      <c r="H1643" t="n">
        <v>6.33</v>
      </c>
      <c r="I1643" t="n">
        <v>3</v>
      </c>
      <c r="J1643" t="inlineStr">
        <is>
          <t>NA</t>
        </is>
      </c>
      <c r="K1643" t="n">
        <v>96.90000000000001</v>
      </c>
    </row>
    <row r="1644">
      <c r="A1644" t="inlineStr">
        <is>
          <t>SIMULATED Food Waste Remote Study</t>
        </is>
      </c>
      <c r="B1644" t="inlineStr">
        <is>
          <t>RESP0240</t>
        </is>
      </c>
      <c r="C1644" t="inlineStr">
        <is>
          <t>Stimulus</t>
        </is>
      </c>
      <c r="D1644" t="inlineStr">
        <is>
          <t>foodwaste_narrative</t>
        </is>
      </c>
      <c r="E1644" t="n">
        <v>60</v>
      </c>
      <c r="F1644" t="inlineStr">
        <is>
          <t>Brow Furrow</t>
        </is>
      </c>
      <c r="G1644" t="n">
        <v>50</v>
      </c>
      <c r="H1644" t="n">
        <v>0</v>
      </c>
      <c r="I1644" t="n">
        <v>0</v>
      </c>
      <c r="J1644" t="inlineStr">
        <is>
          <t>NA</t>
        </is>
      </c>
      <c r="K1644" t="n">
        <v>96.90000000000001</v>
      </c>
    </row>
    <row r="1645">
      <c r="A1645" t="inlineStr">
        <is>
          <t>SIMULATED Food Waste Remote Study</t>
        </is>
      </c>
      <c r="B1645" t="inlineStr">
        <is>
          <t>RESP0240</t>
        </is>
      </c>
      <c r="C1645" t="inlineStr">
        <is>
          <t>Stimulus</t>
        </is>
      </c>
      <c r="D1645" t="inlineStr">
        <is>
          <t>foodwaste_narrative</t>
        </is>
      </c>
      <c r="E1645" t="n">
        <v>60</v>
      </c>
      <c r="F1645" t="inlineStr">
        <is>
          <t>Positive Valence</t>
        </is>
      </c>
      <c r="G1645" t="n">
        <v>50</v>
      </c>
      <c r="H1645" t="n">
        <v>0</v>
      </c>
      <c r="I1645" t="n">
        <v>0</v>
      </c>
      <c r="J1645" t="inlineStr">
        <is>
          <t>NA</t>
        </is>
      </c>
      <c r="K1645" t="n">
        <v>96.90000000000001</v>
      </c>
    </row>
    <row r="1646">
      <c r="A1646" t="inlineStr">
        <is>
          <t>SIMULATED Food Waste Remote Study</t>
        </is>
      </c>
      <c r="B1646" t="inlineStr">
        <is>
          <t>RESP0240</t>
        </is>
      </c>
      <c r="C1646" t="inlineStr">
        <is>
          <t>Stimulus</t>
        </is>
      </c>
      <c r="D1646" t="inlineStr">
        <is>
          <t>foodwaste_narrative</t>
        </is>
      </c>
      <c r="E1646" t="n">
        <v>60</v>
      </c>
      <c r="F1646" t="inlineStr">
        <is>
          <t>Negative Valence</t>
        </is>
      </c>
      <c r="G1646" t="n">
        <v>-50</v>
      </c>
      <c r="H1646" t="n">
        <v>0</v>
      </c>
      <c r="I1646" t="n">
        <v>0</v>
      </c>
      <c r="J1646" t="inlineStr">
        <is>
          <t>NA</t>
        </is>
      </c>
      <c r="K1646" t="n">
        <v>96.90000000000001</v>
      </c>
    </row>
    <row r="1647">
      <c r="A1647" t="inlineStr">
        <is>
          <t>SIMULATED Food Waste Remote Study</t>
        </is>
      </c>
      <c r="B1647" t="inlineStr">
        <is>
          <t>RESP0240</t>
        </is>
      </c>
      <c r="C1647" t="inlineStr">
        <is>
          <t>Stimulus</t>
        </is>
      </c>
      <c r="D1647" t="inlineStr">
        <is>
          <t>foodwaste_visual</t>
        </is>
      </c>
      <c r="E1647" t="n">
        <v>62</v>
      </c>
      <c r="F1647" t="inlineStr">
        <is>
          <t>Engagement</t>
        </is>
      </c>
      <c r="G1647" t="n">
        <v>50</v>
      </c>
      <c r="H1647" t="n">
        <v>42.69</v>
      </c>
      <c r="I1647" t="n">
        <v>16</v>
      </c>
      <c r="J1647" t="inlineStr">
        <is>
          <t>NA</t>
        </is>
      </c>
      <c r="K1647" t="n">
        <v>97.5</v>
      </c>
    </row>
    <row r="1648">
      <c r="A1648" t="inlineStr">
        <is>
          <t>SIMULATED Food Waste Remote Study</t>
        </is>
      </c>
      <c r="B1648" t="inlineStr">
        <is>
          <t>RESP0240</t>
        </is>
      </c>
      <c r="C1648" t="inlineStr">
        <is>
          <t>Stimulus</t>
        </is>
      </c>
      <c r="D1648" t="inlineStr">
        <is>
          <t>foodwaste_visual</t>
        </is>
      </c>
      <c r="E1648" t="n">
        <v>62</v>
      </c>
      <c r="F1648" t="inlineStr">
        <is>
          <t>Joy</t>
        </is>
      </c>
      <c r="G1648" t="n">
        <v>50</v>
      </c>
      <c r="H1648" t="n">
        <v>0</v>
      </c>
      <c r="I1648" t="n">
        <v>0</v>
      </c>
      <c r="J1648" t="inlineStr">
        <is>
          <t>NA</t>
        </is>
      </c>
      <c r="K1648" t="n">
        <v>97.5</v>
      </c>
    </row>
    <row r="1649">
      <c r="A1649" t="inlineStr">
        <is>
          <t>SIMULATED Food Waste Remote Study</t>
        </is>
      </c>
      <c r="B1649" t="inlineStr">
        <is>
          <t>RESP0240</t>
        </is>
      </c>
      <c r="C1649" t="inlineStr">
        <is>
          <t>Stimulus</t>
        </is>
      </c>
      <c r="D1649" t="inlineStr">
        <is>
          <t>foodwaste_visual</t>
        </is>
      </c>
      <c r="E1649" t="n">
        <v>62</v>
      </c>
      <c r="F1649" t="inlineStr">
        <is>
          <t>Brow Furrow</t>
        </is>
      </c>
      <c r="G1649" t="n">
        <v>50</v>
      </c>
      <c r="H1649" t="n">
        <v>0</v>
      </c>
      <c r="I1649" t="n">
        <v>0</v>
      </c>
      <c r="J1649" t="inlineStr">
        <is>
          <t>NA</t>
        </is>
      </c>
      <c r="K1649" t="n">
        <v>97.5</v>
      </c>
    </row>
    <row r="1650">
      <c r="A1650" t="inlineStr">
        <is>
          <t>SIMULATED Food Waste Remote Study</t>
        </is>
      </c>
      <c r="B1650" t="inlineStr">
        <is>
          <t>RESP0240</t>
        </is>
      </c>
      <c r="C1650" t="inlineStr">
        <is>
          <t>Stimulus</t>
        </is>
      </c>
      <c r="D1650" t="inlineStr">
        <is>
          <t>foodwaste_visual</t>
        </is>
      </c>
      <c r="E1650" t="n">
        <v>62</v>
      </c>
      <c r="F1650" t="inlineStr">
        <is>
          <t>Positive Valence</t>
        </is>
      </c>
      <c r="G1650" t="n">
        <v>50</v>
      </c>
      <c r="H1650" t="n">
        <v>10.48</v>
      </c>
      <c r="I1650" t="n">
        <v>4</v>
      </c>
      <c r="J1650" t="inlineStr">
        <is>
          <t>NA</t>
        </is>
      </c>
      <c r="K1650" t="n">
        <v>97.5</v>
      </c>
    </row>
    <row r="1651">
      <c r="A1651" t="inlineStr">
        <is>
          <t>SIMULATED Food Waste Remote Study</t>
        </is>
      </c>
      <c r="B1651" t="inlineStr">
        <is>
          <t>RESP0240</t>
        </is>
      </c>
      <c r="C1651" t="inlineStr">
        <is>
          <t>Stimulus</t>
        </is>
      </c>
      <c r="D1651" t="inlineStr">
        <is>
          <t>foodwaste_visual</t>
        </is>
      </c>
      <c r="E1651" t="n">
        <v>62</v>
      </c>
      <c r="F1651" t="inlineStr">
        <is>
          <t>Negative Valence</t>
        </is>
      </c>
      <c r="G1651" t="n">
        <v>-50</v>
      </c>
      <c r="H1651" t="n">
        <v>28.44</v>
      </c>
      <c r="I1651" t="n">
        <v>8</v>
      </c>
      <c r="J1651" t="inlineStr">
        <is>
          <t>NA</t>
        </is>
      </c>
      <c r="K1651" t="n">
        <v>97.5</v>
      </c>
    </row>
    <row r="1652">
      <c r="A1652" t="inlineStr">
        <is>
          <t>SIMULATED Food Waste Remote Study</t>
        </is>
      </c>
      <c r="B1652" t="inlineStr">
        <is>
          <t>RESP0243</t>
        </is>
      </c>
      <c r="C1652" t="inlineStr">
        <is>
          <t>Stimulus</t>
        </is>
      </c>
      <c r="D1652" t="inlineStr">
        <is>
          <t>foodwaste_narrative</t>
        </is>
      </c>
      <c r="E1652" t="n">
        <v>60</v>
      </c>
      <c r="F1652" t="inlineStr">
        <is>
          <t>Engagement</t>
        </is>
      </c>
      <c r="G1652" t="n">
        <v>50</v>
      </c>
      <c r="H1652" t="n">
        <v>0</v>
      </c>
      <c r="I1652" t="n">
        <v>0</v>
      </c>
      <c r="J1652" t="inlineStr">
        <is>
          <t>NA</t>
        </is>
      </c>
      <c r="K1652" t="n">
        <v>99.2</v>
      </c>
    </row>
    <row r="1653">
      <c r="A1653" t="inlineStr">
        <is>
          <t>SIMULATED Food Waste Remote Study</t>
        </is>
      </c>
      <c r="B1653" t="inlineStr">
        <is>
          <t>RESP0243</t>
        </is>
      </c>
      <c r="C1653" t="inlineStr">
        <is>
          <t>Stimulus</t>
        </is>
      </c>
      <c r="D1653" t="inlineStr">
        <is>
          <t>foodwaste_narrative</t>
        </is>
      </c>
      <c r="E1653" t="n">
        <v>60</v>
      </c>
      <c r="F1653" t="inlineStr">
        <is>
          <t>Joy</t>
        </is>
      </c>
      <c r="G1653" t="n">
        <v>50</v>
      </c>
      <c r="H1653" t="n">
        <v>0.39</v>
      </c>
      <c r="I1653" t="n">
        <v>1</v>
      </c>
      <c r="J1653" t="inlineStr">
        <is>
          <t>NA</t>
        </is>
      </c>
      <c r="K1653" t="n">
        <v>99.2</v>
      </c>
    </row>
    <row r="1654">
      <c r="A1654" t="inlineStr">
        <is>
          <t>SIMULATED Food Waste Remote Study</t>
        </is>
      </c>
      <c r="B1654" t="inlineStr">
        <is>
          <t>RESP0243</t>
        </is>
      </c>
      <c r="C1654" t="inlineStr">
        <is>
          <t>Stimulus</t>
        </is>
      </c>
      <c r="D1654" t="inlineStr">
        <is>
          <t>foodwaste_narrative</t>
        </is>
      </c>
      <c r="E1654" t="n">
        <v>60</v>
      </c>
      <c r="F1654" t="inlineStr">
        <is>
          <t>Brow Furrow</t>
        </is>
      </c>
      <c r="G1654" t="n">
        <v>50</v>
      </c>
      <c r="H1654" t="n">
        <v>1.11</v>
      </c>
      <c r="I1654" t="n">
        <v>1</v>
      </c>
      <c r="J1654" t="inlineStr">
        <is>
          <t>NA</t>
        </is>
      </c>
      <c r="K1654" t="n">
        <v>99.2</v>
      </c>
    </row>
    <row r="1655">
      <c r="A1655" t="inlineStr">
        <is>
          <t>SIMULATED Food Waste Remote Study</t>
        </is>
      </c>
      <c r="B1655" t="inlineStr">
        <is>
          <t>RESP0243</t>
        </is>
      </c>
      <c r="C1655" t="inlineStr">
        <is>
          <t>Stimulus</t>
        </is>
      </c>
      <c r="D1655" t="inlineStr">
        <is>
          <t>foodwaste_narrative</t>
        </is>
      </c>
      <c r="E1655" t="n">
        <v>60</v>
      </c>
      <c r="F1655" t="inlineStr">
        <is>
          <t>Positive Valence</t>
        </is>
      </c>
      <c r="G1655" t="n">
        <v>50</v>
      </c>
      <c r="H1655" t="n">
        <v>0.72</v>
      </c>
      <c r="I1655" t="n">
        <v>1</v>
      </c>
      <c r="J1655" t="inlineStr">
        <is>
          <t>NA</t>
        </is>
      </c>
      <c r="K1655" t="n">
        <v>99.2</v>
      </c>
    </row>
    <row r="1656">
      <c r="A1656" t="inlineStr">
        <is>
          <t>SIMULATED Food Waste Remote Study</t>
        </is>
      </c>
      <c r="B1656" t="inlineStr">
        <is>
          <t>RESP0243</t>
        </is>
      </c>
      <c r="C1656" t="inlineStr">
        <is>
          <t>Stimulus</t>
        </is>
      </c>
      <c r="D1656" t="inlineStr">
        <is>
          <t>foodwaste_narrative</t>
        </is>
      </c>
      <c r="E1656" t="n">
        <v>60</v>
      </c>
      <c r="F1656" t="inlineStr">
        <is>
          <t>Negative Valence</t>
        </is>
      </c>
      <c r="G1656" t="n">
        <v>-50</v>
      </c>
      <c r="H1656" t="n">
        <v>5.28</v>
      </c>
      <c r="I1656" t="n">
        <v>1</v>
      </c>
      <c r="J1656" t="inlineStr">
        <is>
          <t>NA</t>
        </is>
      </c>
      <c r="K1656" t="n">
        <v>99.2</v>
      </c>
    </row>
    <row r="1657">
      <c r="A1657" t="inlineStr">
        <is>
          <t>SIMULATED Food Waste Remote Study</t>
        </is>
      </c>
      <c r="B1657" t="inlineStr">
        <is>
          <t>RESP0243</t>
        </is>
      </c>
      <c r="C1657" t="inlineStr">
        <is>
          <t>Stimulus</t>
        </is>
      </c>
      <c r="D1657" t="inlineStr">
        <is>
          <t>foodwaste_visual</t>
        </is>
      </c>
      <c r="E1657" t="n">
        <v>62</v>
      </c>
      <c r="F1657" t="inlineStr">
        <is>
          <t>Engagement</t>
        </is>
      </c>
      <c r="G1657" t="n">
        <v>50</v>
      </c>
      <c r="H1657" t="n">
        <v>67.09999999999999</v>
      </c>
      <c r="I1657" t="n">
        <v>21</v>
      </c>
      <c r="J1657" t="inlineStr">
        <is>
          <t>NA</t>
        </is>
      </c>
      <c r="K1657" t="n">
        <v>99.59999999999999</v>
      </c>
    </row>
    <row r="1658">
      <c r="A1658" t="inlineStr">
        <is>
          <t>SIMULATED Food Waste Remote Study</t>
        </is>
      </c>
      <c r="B1658" t="inlineStr">
        <is>
          <t>RESP0243</t>
        </is>
      </c>
      <c r="C1658" t="inlineStr">
        <is>
          <t>Stimulus</t>
        </is>
      </c>
      <c r="D1658" t="inlineStr">
        <is>
          <t>foodwaste_visual</t>
        </is>
      </c>
      <c r="E1658" t="n">
        <v>62</v>
      </c>
      <c r="F1658" t="inlineStr">
        <is>
          <t>Joy</t>
        </is>
      </c>
      <c r="G1658" t="n">
        <v>50</v>
      </c>
      <c r="H1658" t="n">
        <v>0</v>
      </c>
      <c r="I1658" t="n">
        <v>0</v>
      </c>
      <c r="J1658" t="inlineStr">
        <is>
          <t>NA</t>
        </is>
      </c>
      <c r="K1658" t="n">
        <v>99.59999999999999</v>
      </c>
    </row>
    <row r="1659">
      <c r="A1659" t="inlineStr">
        <is>
          <t>SIMULATED Food Waste Remote Study</t>
        </is>
      </c>
      <c r="B1659" t="inlineStr">
        <is>
          <t>RESP0243</t>
        </is>
      </c>
      <c r="C1659" t="inlineStr">
        <is>
          <t>Stimulus</t>
        </is>
      </c>
      <c r="D1659" t="inlineStr">
        <is>
          <t>foodwaste_visual</t>
        </is>
      </c>
      <c r="E1659" t="n">
        <v>62</v>
      </c>
      <c r="F1659" t="inlineStr">
        <is>
          <t>Brow Furrow</t>
        </is>
      </c>
      <c r="G1659" t="n">
        <v>50</v>
      </c>
      <c r="H1659" t="n">
        <v>26.18</v>
      </c>
      <c r="I1659" t="n">
        <v>13</v>
      </c>
      <c r="J1659" t="inlineStr">
        <is>
          <t>NA</t>
        </is>
      </c>
      <c r="K1659" t="n">
        <v>99.59999999999999</v>
      </c>
    </row>
    <row r="1660">
      <c r="A1660" t="inlineStr">
        <is>
          <t>SIMULATED Food Waste Remote Study</t>
        </is>
      </c>
      <c r="B1660" t="inlineStr">
        <is>
          <t>RESP0243</t>
        </is>
      </c>
      <c r="C1660" t="inlineStr">
        <is>
          <t>Stimulus</t>
        </is>
      </c>
      <c r="D1660" t="inlineStr">
        <is>
          <t>foodwaste_visual</t>
        </is>
      </c>
      <c r="E1660" t="n">
        <v>62</v>
      </c>
      <c r="F1660" t="inlineStr">
        <is>
          <t>Positive Valence</t>
        </is>
      </c>
      <c r="G1660" t="n">
        <v>50</v>
      </c>
      <c r="H1660" t="n">
        <v>9.68</v>
      </c>
      <c r="I1660" t="n">
        <v>3</v>
      </c>
      <c r="J1660" t="inlineStr">
        <is>
          <t>NA</t>
        </is>
      </c>
      <c r="K1660" t="n">
        <v>99.59999999999999</v>
      </c>
    </row>
    <row r="1661">
      <c r="A1661" t="inlineStr">
        <is>
          <t>SIMULATED Food Waste Remote Study</t>
        </is>
      </c>
      <c r="B1661" t="inlineStr">
        <is>
          <t>RESP0243</t>
        </is>
      </c>
      <c r="C1661" t="inlineStr">
        <is>
          <t>Stimulus</t>
        </is>
      </c>
      <c r="D1661" t="inlineStr">
        <is>
          <t>foodwaste_visual</t>
        </is>
      </c>
      <c r="E1661" t="n">
        <v>62</v>
      </c>
      <c r="F1661" t="inlineStr">
        <is>
          <t>Negative Valence</t>
        </is>
      </c>
      <c r="G1661" t="n">
        <v>-50</v>
      </c>
      <c r="H1661" t="n">
        <v>0</v>
      </c>
      <c r="I1661" t="n">
        <v>0</v>
      </c>
      <c r="J1661" t="inlineStr">
        <is>
          <t>NA</t>
        </is>
      </c>
      <c r="K1661" t="n">
        <v>99.59999999999999</v>
      </c>
    </row>
    <row r="1662">
      <c r="A1662" t="inlineStr">
        <is>
          <t>SIMULATED Food Waste Remote Study</t>
        </is>
      </c>
      <c r="B1662" t="inlineStr">
        <is>
          <t>RESP0245</t>
        </is>
      </c>
      <c r="C1662" t="inlineStr">
        <is>
          <t>Stimulus</t>
        </is>
      </c>
      <c r="D1662" t="inlineStr">
        <is>
          <t>foodwaste_narrative</t>
        </is>
      </c>
      <c r="E1662" t="n">
        <v>60</v>
      </c>
      <c r="F1662" t="inlineStr">
        <is>
          <t>Engagement</t>
        </is>
      </c>
      <c r="G1662" t="n">
        <v>50</v>
      </c>
      <c r="H1662" t="n">
        <v>2.06</v>
      </c>
      <c r="I1662" t="n">
        <v>2</v>
      </c>
      <c r="J1662" t="inlineStr">
        <is>
          <t>NA</t>
        </is>
      </c>
      <c r="K1662" t="n">
        <v>94.59999999999999</v>
      </c>
    </row>
    <row r="1663">
      <c r="A1663" t="inlineStr">
        <is>
          <t>SIMULATED Food Waste Remote Study</t>
        </is>
      </c>
      <c r="B1663" t="inlineStr">
        <is>
          <t>RESP0245</t>
        </is>
      </c>
      <c r="C1663" t="inlineStr">
        <is>
          <t>Stimulus</t>
        </is>
      </c>
      <c r="D1663" t="inlineStr">
        <is>
          <t>foodwaste_narrative</t>
        </is>
      </c>
      <c r="E1663" t="n">
        <v>60</v>
      </c>
      <c r="F1663" t="inlineStr">
        <is>
          <t>Joy</t>
        </is>
      </c>
      <c r="G1663" t="n">
        <v>50</v>
      </c>
      <c r="H1663" t="n">
        <v>1.33</v>
      </c>
      <c r="I1663" t="n">
        <v>1</v>
      </c>
      <c r="J1663" t="inlineStr">
        <is>
          <t>NA</t>
        </is>
      </c>
      <c r="K1663" t="n">
        <v>94.59999999999999</v>
      </c>
    </row>
    <row r="1664">
      <c r="A1664" t="inlineStr">
        <is>
          <t>SIMULATED Food Waste Remote Study</t>
        </is>
      </c>
      <c r="B1664" t="inlineStr">
        <is>
          <t>RESP0245</t>
        </is>
      </c>
      <c r="C1664" t="inlineStr">
        <is>
          <t>Stimulus</t>
        </is>
      </c>
      <c r="D1664" t="inlineStr">
        <is>
          <t>foodwaste_narrative</t>
        </is>
      </c>
      <c r="E1664" t="n">
        <v>60</v>
      </c>
      <c r="F1664" t="inlineStr">
        <is>
          <t>Brow Furrow</t>
        </is>
      </c>
      <c r="G1664" t="n">
        <v>50</v>
      </c>
      <c r="H1664" t="n">
        <v>6.33</v>
      </c>
      <c r="I1664" t="n">
        <v>1</v>
      </c>
      <c r="J1664" t="inlineStr">
        <is>
          <t>NA</t>
        </is>
      </c>
      <c r="K1664" t="n">
        <v>94.59999999999999</v>
      </c>
    </row>
    <row r="1665">
      <c r="A1665" t="inlineStr">
        <is>
          <t>SIMULATED Food Waste Remote Study</t>
        </is>
      </c>
      <c r="B1665" t="inlineStr">
        <is>
          <t>RESP0245</t>
        </is>
      </c>
      <c r="C1665" t="inlineStr">
        <is>
          <t>Stimulus</t>
        </is>
      </c>
      <c r="D1665" t="inlineStr">
        <is>
          <t>foodwaste_narrative</t>
        </is>
      </c>
      <c r="E1665" t="n">
        <v>60</v>
      </c>
      <c r="F1665" t="inlineStr">
        <is>
          <t>Positive Valence</t>
        </is>
      </c>
      <c r="G1665" t="n">
        <v>50</v>
      </c>
      <c r="H1665" t="n">
        <v>1.39</v>
      </c>
      <c r="I1665" t="n">
        <v>2</v>
      </c>
      <c r="J1665" t="inlineStr">
        <is>
          <t>NA</t>
        </is>
      </c>
      <c r="K1665" t="n">
        <v>94.59999999999999</v>
      </c>
    </row>
    <row r="1666">
      <c r="A1666" t="inlineStr">
        <is>
          <t>SIMULATED Food Waste Remote Study</t>
        </is>
      </c>
      <c r="B1666" t="inlineStr">
        <is>
          <t>RESP0245</t>
        </is>
      </c>
      <c r="C1666" t="inlineStr">
        <is>
          <t>Stimulus</t>
        </is>
      </c>
      <c r="D1666" t="inlineStr">
        <is>
          <t>foodwaste_narrative</t>
        </is>
      </c>
      <c r="E1666" t="n">
        <v>60</v>
      </c>
      <c r="F1666" t="inlineStr">
        <is>
          <t>Negative Valence</t>
        </is>
      </c>
      <c r="G1666" t="n">
        <v>-50</v>
      </c>
      <c r="H1666" t="n">
        <v>0</v>
      </c>
      <c r="I1666" t="n">
        <v>0</v>
      </c>
      <c r="J1666" t="inlineStr">
        <is>
          <t>NA</t>
        </is>
      </c>
      <c r="K1666" t="n">
        <v>94.59999999999999</v>
      </c>
    </row>
    <row r="1667">
      <c r="A1667" t="inlineStr">
        <is>
          <t>SIMULATED Food Waste Remote Study</t>
        </is>
      </c>
      <c r="B1667" t="inlineStr">
        <is>
          <t>RESP0245</t>
        </is>
      </c>
      <c r="C1667" t="inlineStr">
        <is>
          <t>Stimulus</t>
        </is>
      </c>
      <c r="D1667" t="inlineStr">
        <is>
          <t>foodwaste_visual</t>
        </is>
      </c>
      <c r="E1667" t="n">
        <v>62</v>
      </c>
      <c r="F1667" t="inlineStr">
        <is>
          <t>Engagement</t>
        </is>
      </c>
      <c r="G1667" t="n">
        <v>50</v>
      </c>
      <c r="H1667" t="n">
        <v>72.42</v>
      </c>
      <c r="I1667" t="n">
        <v>15</v>
      </c>
      <c r="J1667" t="inlineStr">
        <is>
          <t>NA</t>
        </is>
      </c>
      <c r="K1667" t="n">
        <v>91.2</v>
      </c>
    </row>
    <row r="1668">
      <c r="A1668" t="inlineStr">
        <is>
          <t>SIMULATED Food Waste Remote Study</t>
        </is>
      </c>
      <c r="B1668" t="inlineStr">
        <is>
          <t>RESP0245</t>
        </is>
      </c>
      <c r="C1668" t="inlineStr">
        <is>
          <t>Stimulus</t>
        </is>
      </c>
      <c r="D1668" t="inlineStr">
        <is>
          <t>foodwaste_visual</t>
        </is>
      </c>
      <c r="E1668" t="n">
        <v>62</v>
      </c>
      <c r="F1668" t="inlineStr">
        <is>
          <t>Joy</t>
        </is>
      </c>
      <c r="G1668" t="n">
        <v>50</v>
      </c>
      <c r="H1668" t="n">
        <v>13.82</v>
      </c>
      <c r="I1668" t="n">
        <v>6</v>
      </c>
      <c r="J1668" t="inlineStr">
        <is>
          <t>NA</t>
        </is>
      </c>
      <c r="K1668" t="n">
        <v>91.2</v>
      </c>
    </row>
    <row r="1669">
      <c r="A1669" t="inlineStr">
        <is>
          <t>SIMULATED Food Waste Remote Study</t>
        </is>
      </c>
      <c r="B1669" t="inlineStr">
        <is>
          <t>RESP0245</t>
        </is>
      </c>
      <c r="C1669" t="inlineStr">
        <is>
          <t>Stimulus</t>
        </is>
      </c>
      <c r="D1669" t="inlineStr">
        <is>
          <t>foodwaste_visual</t>
        </is>
      </c>
      <c r="E1669" t="n">
        <v>62</v>
      </c>
      <c r="F1669" t="inlineStr">
        <is>
          <t>Brow Furrow</t>
        </is>
      </c>
      <c r="G1669" t="n">
        <v>50</v>
      </c>
      <c r="H1669" t="n">
        <v>21.51</v>
      </c>
      <c r="I1669" t="n">
        <v>5</v>
      </c>
      <c r="J1669" t="inlineStr">
        <is>
          <t>NA</t>
        </is>
      </c>
      <c r="K1669" t="n">
        <v>91.2</v>
      </c>
    </row>
    <row r="1670">
      <c r="A1670" t="inlineStr">
        <is>
          <t>SIMULATED Food Waste Remote Study</t>
        </is>
      </c>
      <c r="B1670" t="inlineStr">
        <is>
          <t>RESP0245</t>
        </is>
      </c>
      <c r="C1670" t="inlineStr">
        <is>
          <t>Stimulus</t>
        </is>
      </c>
      <c r="D1670" t="inlineStr">
        <is>
          <t>foodwaste_visual</t>
        </is>
      </c>
      <c r="E1670" t="n">
        <v>62</v>
      </c>
      <c r="F1670" t="inlineStr">
        <is>
          <t>Positive Valence</t>
        </is>
      </c>
      <c r="G1670" t="n">
        <v>50</v>
      </c>
      <c r="H1670" t="n">
        <v>0</v>
      </c>
      <c r="I1670" t="n">
        <v>0</v>
      </c>
      <c r="J1670" t="inlineStr">
        <is>
          <t>NA</t>
        </is>
      </c>
      <c r="K1670" t="n">
        <v>91.2</v>
      </c>
    </row>
    <row r="1671">
      <c r="A1671" t="inlineStr">
        <is>
          <t>SIMULATED Food Waste Remote Study</t>
        </is>
      </c>
      <c r="B1671" t="inlineStr">
        <is>
          <t>RESP0245</t>
        </is>
      </c>
      <c r="C1671" t="inlineStr">
        <is>
          <t>Stimulus</t>
        </is>
      </c>
      <c r="D1671" t="inlineStr">
        <is>
          <t>foodwaste_visual</t>
        </is>
      </c>
      <c r="E1671" t="n">
        <v>62</v>
      </c>
      <c r="F1671" t="inlineStr">
        <is>
          <t>Negative Valence</t>
        </is>
      </c>
      <c r="G1671" t="n">
        <v>-50</v>
      </c>
      <c r="H1671" t="n">
        <v>0</v>
      </c>
      <c r="I1671" t="n">
        <v>0</v>
      </c>
      <c r="J1671" t="inlineStr">
        <is>
          <t>NA</t>
        </is>
      </c>
      <c r="K1671" t="n">
        <v>91.2</v>
      </c>
    </row>
    <row r="1672">
      <c r="A1672" t="inlineStr">
        <is>
          <t>SIMULATED Food Waste Remote Study</t>
        </is>
      </c>
      <c r="B1672" t="inlineStr">
        <is>
          <t>RESP0247</t>
        </is>
      </c>
      <c r="C1672" t="inlineStr">
        <is>
          <t>Stimulus</t>
        </is>
      </c>
      <c r="D1672" t="inlineStr">
        <is>
          <t>foodwaste_narrative</t>
        </is>
      </c>
      <c r="E1672" t="n">
        <v>60</v>
      </c>
      <c r="F1672" t="inlineStr">
        <is>
          <t>Engagement</t>
        </is>
      </c>
      <c r="G1672" t="n">
        <v>50</v>
      </c>
      <c r="H1672" t="n">
        <v>41.83</v>
      </c>
      <c r="I1672" t="n">
        <v>11</v>
      </c>
      <c r="J1672" t="inlineStr">
        <is>
          <t>NA</t>
        </is>
      </c>
      <c r="K1672" t="n">
        <v>99.09999999999999</v>
      </c>
    </row>
    <row r="1673">
      <c r="A1673" t="inlineStr">
        <is>
          <t>SIMULATED Food Waste Remote Study</t>
        </is>
      </c>
      <c r="B1673" t="inlineStr">
        <is>
          <t>RESP0247</t>
        </is>
      </c>
      <c r="C1673" t="inlineStr">
        <is>
          <t>Stimulus</t>
        </is>
      </c>
      <c r="D1673" t="inlineStr">
        <is>
          <t>foodwaste_narrative</t>
        </is>
      </c>
      <c r="E1673" t="n">
        <v>60</v>
      </c>
      <c r="F1673" t="inlineStr">
        <is>
          <t>Joy</t>
        </is>
      </c>
      <c r="G1673" t="n">
        <v>50</v>
      </c>
      <c r="H1673" t="n">
        <v>0</v>
      </c>
      <c r="I1673" t="n">
        <v>0</v>
      </c>
      <c r="J1673" t="inlineStr">
        <is>
          <t>NA</t>
        </is>
      </c>
      <c r="K1673" t="n">
        <v>99.09999999999999</v>
      </c>
    </row>
    <row r="1674">
      <c r="A1674" t="inlineStr">
        <is>
          <t>SIMULATED Food Waste Remote Study</t>
        </is>
      </c>
      <c r="B1674" t="inlineStr">
        <is>
          <t>RESP0247</t>
        </is>
      </c>
      <c r="C1674" t="inlineStr">
        <is>
          <t>Stimulus</t>
        </is>
      </c>
      <c r="D1674" t="inlineStr">
        <is>
          <t>foodwaste_narrative</t>
        </is>
      </c>
      <c r="E1674" t="n">
        <v>60</v>
      </c>
      <c r="F1674" t="inlineStr">
        <is>
          <t>Brow Furrow</t>
        </is>
      </c>
      <c r="G1674" t="n">
        <v>50</v>
      </c>
      <c r="H1674" t="n">
        <v>1.83</v>
      </c>
      <c r="I1674" t="n">
        <v>1</v>
      </c>
      <c r="J1674" t="inlineStr">
        <is>
          <t>NA</t>
        </is>
      </c>
      <c r="K1674" t="n">
        <v>99.09999999999999</v>
      </c>
    </row>
    <row r="1675">
      <c r="A1675" t="inlineStr">
        <is>
          <t>SIMULATED Food Waste Remote Study</t>
        </is>
      </c>
      <c r="B1675" t="inlineStr">
        <is>
          <t>RESP0247</t>
        </is>
      </c>
      <c r="C1675" t="inlineStr">
        <is>
          <t>Stimulus</t>
        </is>
      </c>
      <c r="D1675" t="inlineStr">
        <is>
          <t>foodwaste_narrative</t>
        </is>
      </c>
      <c r="E1675" t="n">
        <v>60</v>
      </c>
      <c r="F1675" t="inlineStr">
        <is>
          <t>Positive Valence</t>
        </is>
      </c>
      <c r="G1675" t="n">
        <v>50</v>
      </c>
      <c r="H1675" t="n">
        <v>3.83</v>
      </c>
      <c r="I1675" t="n">
        <v>1</v>
      </c>
      <c r="J1675" t="inlineStr">
        <is>
          <t>NA</t>
        </is>
      </c>
      <c r="K1675" t="n">
        <v>99.09999999999999</v>
      </c>
    </row>
    <row r="1676">
      <c r="A1676" t="inlineStr">
        <is>
          <t>SIMULATED Food Waste Remote Study</t>
        </is>
      </c>
      <c r="B1676" t="inlineStr">
        <is>
          <t>RESP0247</t>
        </is>
      </c>
      <c r="C1676" t="inlineStr">
        <is>
          <t>Stimulus</t>
        </is>
      </c>
      <c r="D1676" t="inlineStr">
        <is>
          <t>foodwaste_narrative</t>
        </is>
      </c>
      <c r="E1676" t="n">
        <v>60</v>
      </c>
      <c r="F1676" t="inlineStr">
        <is>
          <t>Negative Valence</t>
        </is>
      </c>
      <c r="G1676" t="n">
        <v>-50</v>
      </c>
      <c r="H1676" t="n">
        <v>0</v>
      </c>
      <c r="I1676" t="n">
        <v>0</v>
      </c>
      <c r="J1676" t="inlineStr">
        <is>
          <t>NA</t>
        </is>
      </c>
      <c r="K1676" t="n">
        <v>99.09999999999999</v>
      </c>
    </row>
    <row r="1677">
      <c r="A1677" t="inlineStr">
        <is>
          <t>SIMULATED Food Waste Remote Study</t>
        </is>
      </c>
      <c r="B1677" t="inlineStr">
        <is>
          <t>RESP0247</t>
        </is>
      </c>
      <c r="C1677" t="inlineStr">
        <is>
          <t>Stimulus</t>
        </is>
      </c>
      <c r="D1677" t="inlineStr">
        <is>
          <t>foodwaste_visual</t>
        </is>
      </c>
      <c r="E1677" t="n">
        <v>62</v>
      </c>
      <c r="F1677" t="inlineStr">
        <is>
          <t>Engagement</t>
        </is>
      </c>
      <c r="G1677" t="n">
        <v>50</v>
      </c>
      <c r="H1677" t="n">
        <v>66.13</v>
      </c>
      <c r="I1677" t="n">
        <v>18</v>
      </c>
      <c r="J1677" t="inlineStr">
        <is>
          <t>NA</t>
        </is>
      </c>
      <c r="K1677" t="n">
        <v>99.2</v>
      </c>
    </row>
    <row r="1678">
      <c r="A1678" t="inlineStr">
        <is>
          <t>SIMULATED Food Waste Remote Study</t>
        </is>
      </c>
      <c r="B1678" t="inlineStr">
        <is>
          <t>RESP0247</t>
        </is>
      </c>
      <c r="C1678" t="inlineStr">
        <is>
          <t>Stimulus</t>
        </is>
      </c>
      <c r="D1678" t="inlineStr">
        <is>
          <t>foodwaste_visual</t>
        </is>
      </c>
      <c r="E1678" t="n">
        <v>62</v>
      </c>
      <c r="F1678" t="inlineStr">
        <is>
          <t>Joy</t>
        </is>
      </c>
      <c r="G1678" t="n">
        <v>50</v>
      </c>
      <c r="H1678" t="n">
        <v>0</v>
      </c>
      <c r="I1678" t="n">
        <v>0</v>
      </c>
      <c r="J1678" t="inlineStr">
        <is>
          <t>NA</t>
        </is>
      </c>
      <c r="K1678" t="n">
        <v>99.2</v>
      </c>
    </row>
    <row r="1679">
      <c r="A1679" t="inlineStr">
        <is>
          <t>SIMULATED Food Waste Remote Study</t>
        </is>
      </c>
      <c r="B1679" t="inlineStr">
        <is>
          <t>RESP0247</t>
        </is>
      </c>
      <c r="C1679" t="inlineStr">
        <is>
          <t>Stimulus</t>
        </is>
      </c>
      <c r="D1679" t="inlineStr">
        <is>
          <t>foodwaste_visual</t>
        </is>
      </c>
      <c r="E1679" t="n">
        <v>62</v>
      </c>
      <c r="F1679" t="inlineStr">
        <is>
          <t>Brow Furrow</t>
        </is>
      </c>
      <c r="G1679" t="n">
        <v>50</v>
      </c>
      <c r="H1679" t="n">
        <v>5.75</v>
      </c>
      <c r="I1679" t="n">
        <v>3</v>
      </c>
      <c r="J1679" t="inlineStr">
        <is>
          <t>NA</t>
        </is>
      </c>
      <c r="K1679" t="n">
        <v>99.2</v>
      </c>
    </row>
    <row r="1680">
      <c r="A1680" t="inlineStr">
        <is>
          <t>SIMULATED Food Waste Remote Study</t>
        </is>
      </c>
      <c r="B1680" t="inlineStr">
        <is>
          <t>RESP0247</t>
        </is>
      </c>
      <c r="C1680" t="inlineStr">
        <is>
          <t>Stimulus</t>
        </is>
      </c>
      <c r="D1680" t="inlineStr">
        <is>
          <t>foodwaste_visual</t>
        </is>
      </c>
      <c r="E1680" t="n">
        <v>62</v>
      </c>
      <c r="F1680" t="inlineStr">
        <is>
          <t>Positive Valence</t>
        </is>
      </c>
      <c r="G1680" t="n">
        <v>50</v>
      </c>
      <c r="H1680" t="n">
        <v>0</v>
      </c>
      <c r="I1680" t="n">
        <v>0</v>
      </c>
      <c r="J1680" t="inlineStr">
        <is>
          <t>NA</t>
        </is>
      </c>
      <c r="K1680" t="n">
        <v>99.2</v>
      </c>
    </row>
    <row r="1681">
      <c r="A1681" t="inlineStr">
        <is>
          <t>SIMULATED Food Waste Remote Study</t>
        </is>
      </c>
      <c r="B1681" t="inlineStr">
        <is>
          <t>RESP0247</t>
        </is>
      </c>
      <c r="C1681" t="inlineStr">
        <is>
          <t>Stimulus</t>
        </is>
      </c>
      <c r="D1681" t="inlineStr">
        <is>
          <t>foodwaste_visual</t>
        </is>
      </c>
      <c r="E1681" t="n">
        <v>62</v>
      </c>
      <c r="F1681" t="inlineStr">
        <is>
          <t>Negative Valence</t>
        </is>
      </c>
      <c r="G1681" t="n">
        <v>-50</v>
      </c>
      <c r="H1681" t="n">
        <v>0</v>
      </c>
      <c r="I1681" t="n">
        <v>0</v>
      </c>
      <c r="J1681" t="inlineStr">
        <is>
          <t>NA</t>
        </is>
      </c>
      <c r="K1681" t="n">
        <v>99.2</v>
      </c>
    </row>
    <row r="1682">
      <c r="A1682" t="inlineStr">
        <is>
          <t>SIMULATED Food Waste Remote Study</t>
        </is>
      </c>
      <c r="B1682" t="inlineStr">
        <is>
          <t>RESP0248</t>
        </is>
      </c>
      <c r="C1682" t="inlineStr">
        <is>
          <t>Stimulus</t>
        </is>
      </c>
      <c r="D1682" t="inlineStr">
        <is>
          <t>foodwaste_narrative</t>
        </is>
      </c>
      <c r="E1682" t="n">
        <v>60</v>
      </c>
      <c r="F1682" t="inlineStr">
        <is>
          <t>Engagement</t>
        </is>
      </c>
      <c r="G1682" t="n">
        <v>50</v>
      </c>
      <c r="H1682" t="n">
        <v>3.89</v>
      </c>
      <c r="I1682" t="n">
        <v>2</v>
      </c>
      <c r="J1682" t="inlineStr">
        <is>
          <t>NA</t>
        </is>
      </c>
      <c r="K1682" t="n">
        <v>98.59999999999999</v>
      </c>
    </row>
    <row r="1683">
      <c r="A1683" t="inlineStr">
        <is>
          <t>SIMULATED Food Waste Remote Study</t>
        </is>
      </c>
      <c r="B1683" t="inlineStr">
        <is>
          <t>RESP0248</t>
        </is>
      </c>
      <c r="C1683" t="inlineStr">
        <is>
          <t>Stimulus</t>
        </is>
      </c>
      <c r="D1683" t="inlineStr">
        <is>
          <t>foodwaste_narrative</t>
        </is>
      </c>
      <c r="E1683" t="n">
        <v>60</v>
      </c>
      <c r="F1683" t="inlineStr">
        <is>
          <t>Joy</t>
        </is>
      </c>
      <c r="G1683" t="n">
        <v>50</v>
      </c>
      <c r="H1683" t="n">
        <v>2.67</v>
      </c>
      <c r="I1683" t="n">
        <v>2</v>
      </c>
      <c r="J1683" t="inlineStr">
        <is>
          <t>NA</t>
        </is>
      </c>
      <c r="K1683" t="n">
        <v>98.59999999999999</v>
      </c>
    </row>
    <row r="1684">
      <c r="A1684" t="inlineStr">
        <is>
          <t>SIMULATED Food Waste Remote Study</t>
        </is>
      </c>
      <c r="B1684" t="inlineStr">
        <is>
          <t>RESP0248</t>
        </is>
      </c>
      <c r="C1684" t="inlineStr">
        <is>
          <t>Stimulus</t>
        </is>
      </c>
      <c r="D1684" t="inlineStr">
        <is>
          <t>foodwaste_narrative</t>
        </is>
      </c>
      <c r="E1684" t="n">
        <v>60</v>
      </c>
      <c r="F1684" t="inlineStr">
        <is>
          <t>Brow Furrow</t>
        </is>
      </c>
      <c r="G1684" t="n">
        <v>50</v>
      </c>
      <c r="H1684" t="n">
        <v>7.56</v>
      </c>
      <c r="I1684" t="n">
        <v>3</v>
      </c>
      <c r="J1684" t="inlineStr">
        <is>
          <t>NA</t>
        </is>
      </c>
      <c r="K1684" t="n">
        <v>98.59999999999999</v>
      </c>
    </row>
    <row r="1685">
      <c r="A1685" t="inlineStr">
        <is>
          <t>SIMULATED Food Waste Remote Study</t>
        </is>
      </c>
      <c r="B1685" t="inlineStr">
        <is>
          <t>RESP0248</t>
        </is>
      </c>
      <c r="C1685" t="inlineStr">
        <is>
          <t>Stimulus</t>
        </is>
      </c>
      <c r="D1685" t="inlineStr">
        <is>
          <t>foodwaste_narrative</t>
        </is>
      </c>
      <c r="E1685" t="n">
        <v>60</v>
      </c>
      <c r="F1685" t="inlineStr">
        <is>
          <t>Positive Valence</t>
        </is>
      </c>
      <c r="G1685" t="n">
        <v>50</v>
      </c>
      <c r="H1685" t="n">
        <v>0</v>
      </c>
      <c r="I1685" t="n">
        <v>0</v>
      </c>
      <c r="J1685" t="inlineStr">
        <is>
          <t>NA</t>
        </is>
      </c>
      <c r="K1685" t="n">
        <v>98.59999999999999</v>
      </c>
    </row>
    <row r="1686">
      <c r="A1686" t="inlineStr">
        <is>
          <t>SIMULATED Food Waste Remote Study</t>
        </is>
      </c>
      <c r="B1686" t="inlineStr">
        <is>
          <t>RESP0248</t>
        </is>
      </c>
      <c r="C1686" t="inlineStr">
        <is>
          <t>Stimulus</t>
        </is>
      </c>
      <c r="D1686" t="inlineStr">
        <is>
          <t>foodwaste_narrative</t>
        </is>
      </c>
      <c r="E1686" t="n">
        <v>60</v>
      </c>
      <c r="F1686" t="inlineStr">
        <is>
          <t>Negative Valence</t>
        </is>
      </c>
      <c r="G1686" t="n">
        <v>-50</v>
      </c>
      <c r="H1686" t="n">
        <v>9.17</v>
      </c>
      <c r="I1686" t="n">
        <v>2</v>
      </c>
      <c r="J1686" t="inlineStr">
        <is>
          <t>NA</t>
        </is>
      </c>
      <c r="K1686" t="n">
        <v>98.59999999999999</v>
      </c>
    </row>
    <row r="1687">
      <c r="A1687" t="inlineStr">
        <is>
          <t>SIMULATED Food Waste Remote Study</t>
        </is>
      </c>
      <c r="B1687" t="inlineStr">
        <is>
          <t>RESP0248</t>
        </is>
      </c>
      <c r="C1687" t="inlineStr">
        <is>
          <t>Stimulus</t>
        </is>
      </c>
      <c r="D1687" t="inlineStr">
        <is>
          <t>foodwaste_visual</t>
        </is>
      </c>
      <c r="E1687" t="n">
        <v>62</v>
      </c>
      <c r="F1687" t="inlineStr">
        <is>
          <t>Engagement</t>
        </is>
      </c>
      <c r="G1687" t="n">
        <v>50</v>
      </c>
      <c r="H1687" t="n">
        <v>1.72</v>
      </c>
      <c r="I1687" t="n">
        <v>1</v>
      </c>
      <c r="J1687" t="inlineStr">
        <is>
          <t>NA</t>
        </is>
      </c>
      <c r="K1687" t="n">
        <v>97.3</v>
      </c>
    </row>
    <row r="1688">
      <c r="A1688" t="inlineStr">
        <is>
          <t>SIMULATED Food Waste Remote Study</t>
        </is>
      </c>
      <c r="B1688" t="inlineStr">
        <is>
          <t>RESP0248</t>
        </is>
      </c>
      <c r="C1688" t="inlineStr">
        <is>
          <t>Stimulus</t>
        </is>
      </c>
      <c r="D1688" t="inlineStr">
        <is>
          <t>foodwaste_visual</t>
        </is>
      </c>
      <c r="E1688" t="n">
        <v>62</v>
      </c>
      <c r="F1688" t="inlineStr">
        <is>
          <t>Joy</t>
        </is>
      </c>
      <c r="G1688" t="n">
        <v>50</v>
      </c>
      <c r="H1688" t="n">
        <v>13.06</v>
      </c>
      <c r="I1688" t="n">
        <v>4</v>
      </c>
      <c r="J1688" t="inlineStr">
        <is>
          <t>NA</t>
        </is>
      </c>
      <c r="K1688" t="n">
        <v>97.3</v>
      </c>
    </row>
    <row r="1689">
      <c r="A1689" t="inlineStr">
        <is>
          <t>SIMULATED Food Waste Remote Study</t>
        </is>
      </c>
      <c r="B1689" t="inlineStr">
        <is>
          <t>RESP0248</t>
        </is>
      </c>
      <c r="C1689" t="inlineStr">
        <is>
          <t>Stimulus</t>
        </is>
      </c>
      <c r="D1689" t="inlineStr">
        <is>
          <t>foodwaste_visual</t>
        </is>
      </c>
      <c r="E1689" t="n">
        <v>62</v>
      </c>
      <c r="F1689" t="inlineStr">
        <is>
          <t>Brow Furrow</t>
        </is>
      </c>
      <c r="G1689" t="n">
        <v>50</v>
      </c>
      <c r="H1689" t="n">
        <v>11.13</v>
      </c>
      <c r="I1689" t="n">
        <v>6</v>
      </c>
      <c r="J1689" t="inlineStr">
        <is>
          <t>NA</t>
        </is>
      </c>
      <c r="K1689" t="n">
        <v>97.3</v>
      </c>
    </row>
    <row r="1690">
      <c r="A1690" t="inlineStr">
        <is>
          <t>SIMULATED Food Waste Remote Study</t>
        </is>
      </c>
      <c r="B1690" t="inlineStr">
        <is>
          <t>RESP0248</t>
        </is>
      </c>
      <c r="C1690" t="inlineStr">
        <is>
          <t>Stimulus</t>
        </is>
      </c>
      <c r="D1690" t="inlineStr">
        <is>
          <t>foodwaste_visual</t>
        </is>
      </c>
      <c r="E1690" t="n">
        <v>62</v>
      </c>
      <c r="F1690" t="inlineStr">
        <is>
          <t>Positive Valence</t>
        </is>
      </c>
      <c r="G1690" t="n">
        <v>50</v>
      </c>
      <c r="H1690" t="n">
        <v>1.99</v>
      </c>
      <c r="I1690" t="n">
        <v>1</v>
      </c>
      <c r="J1690" t="inlineStr">
        <is>
          <t>NA</t>
        </is>
      </c>
      <c r="K1690" t="n">
        <v>97.3</v>
      </c>
    </row>
    <row r="1691">
      <c r="A1691" t="inlineStr">
        <is>
          <t>SIMULATED Food Waste Remote Study</t>
        </is>
      </c>
      <c r="B1691" t="inlineStr">
        <is>
          <t>RESP0248</t>
        </is>
      </c>
      <c r="C1691" t="inlineStr">
        <is>
          <t>Stimulus</t>
        </is>
      </c>
      <c r="D1691" t="inlineStr">
        <is>
          <t>foodwaste_visual</t>
        </is>
      </c>
      <c r="E1691" t="n">
        <v>62</v>
      </c>
      <c r="F1691" t="inlineStr">
        <is>
          <t>Negative Valence</t>
        </is>
      </c>
      <c r="G1691" t="n">
        <v>-50</v>
      </c>
      <c r="H1691" t="n">
        <v>12.69</v>
      </c>
      <c r="I1691" t="n">
        <v>3</v>
      </c>
      <c r="J1691" t="inlineStr">
        <is>
          <t>NA</t>
        </is>
      </c>
      <c r="K1691" t="n">
        <v>97.3</v>
      </c>
    </row>
    <row r="1692">
      <c r="A1692" t="inlineStr">
        <is>
          <t>SIMULATED Food Waste Remote Study</t>
        </is>
      </c>
      <c r="B1692" t="inlineStr">
        <is>
          <t>RESP0249</t>
        </is>
      </c>
      <c r="C1692" t="inlineStr">
        <is>
          <t>Stimulus</t>
        </is>
      </c>
      <c r="D1692" t="inlineStr">
        <is>
          <t>foodwaste_narrative</t>
        </is>
      </c>
      <c r="E1692" t="n">
        <v>60</v>
      </c>
      <c r="F1692" t="inlineStr">
        <is>
          <t>Engagement</t>
        </is>
      </c>
      <c r="G1692" t="n">
        <v>50</v>
      </c>
      <c r="H1692" t="n">
        <v>20.06</v>
      </c>
      <c r="I1692" t="n">
        <v>10</v>
      </c>
      <c r="J1692" t="inlineStr">
        <is>
          <t>NA</t>
        </is>
      </c>
      <c r="K1692" t="n">
        <v>94.7</v>
      </c>
    </row>
    <row r="1693">
      <c r="A1693" t="inlineStr">
        <is>
          <t>SIMULATED Food Waste Remote Study</t>
        </is>
      </c>
      <c r="B1693" t="inlineStr">
        <is>
          <t>RESP0249</t>
        </is>
      </c>
      <c r="C1693" t="inlineStr">
        <is>
          <t>Stimulus</t>
        </is>
      </c>
      <c r="D1693" t="inlineStr">
        <is>
          <t>foodwaste_narrative</t>
        </is>
      </c>
      <c r="E1693" t="n">
        <v>60</v>
      </c>
      <c r="F1693" t="inlineStr">
        <is>
          <t>Joy</t>
        </is>
      </c>
      <c r="G1693" t="n">
        <v>50</v>
      </c>
      <c r="H1693" t="n">
        <v>8.5</v>
      </c>
      <c r="I1693" t="n">
        <v>2</v>
      </c>
      <c r="J1693" t="inlineStr">
        <is>
          <t>NA</t>
        </is>
      </c>
      <c r="K1693" t="n">
        <v>94.7</v>
      </c>
    </row>
    <row r="1694">
      <c r="A1694" t="inlineStr">
        <is>
          <t>SIMULATED Food Waste Remote Study</t>
        </is>
      </c>
      <c r="B1694" t="inlineStr">
        <is>
          <t>RESP0249</t>
        </is>
      </c>
      <c r="C1694" t="inlineStr">
        <is>
          <t>Stimulus</t>
        </is>
      </c>
      <c r="D1694" t="inlineStr">
        <is>
          <t>foodwaste_narrative</t>
        </is>
      </c>
      <c r="E1694" t="n">
        <v>60</v>
      </c>
      <c r="F1694" t="inlineStr">
        <is>
          <t>Brow Furrow</t>
        </is>
      </c>
      <c r="G1694" t="n">
        <v>50</v>
      </c>
      <c r="H1694" t="n">
        <v>1.78</v>
      </c>
      <c r="I1694" t="n">
        <v>1</v>
      </c>
      <c r="J1694" t="inlineStr">
        <is>
          <t>NA</t>
        </is>
      </c>
      <c r="K1694" t="n">
        <v>94.7</v>
      </c>
    </row>
    <row r="1695">
      <c r="A1695" t="inlineStr">
        <is>
          <t>SIMULATED Food Waste Remote Study</t>
        </is>
      </c>
      <c r="B1695" t="inlineStr">
        <is>
          <t>RESP0249</t>
        </is>
      </c>
      <c r="C1695" t="inlineStr">
        <is>
          <t>Stimulus</t>
        </is>
      </c>
      <c r="D1695" t="inlineStr">
        <is>
          <t>foodwaste_narrative</t>
        </is>
      </c>
      <c r="E1695" t="n">
        <v>60</v>
      </c>
      <c r="F1695" t="inlineStr">
        <is>
          <t>Positive Valence</t>
        </is>
      </c>
      <c r="G1695" t="n">
        <v>50</v>
      </c>
      <c r="H1695" t="n">
        <v>0.06</v>
      </c>
      <c r="I1695" t="n">
        <v>1</v>
      </c>
      <c r="J1695" t="inlineStr">
        <is>
          <t>NA</t>
        </is>
      </c>
      <c r="K1695" t="n">
        <v>94.7</v>
      </c>
    </row>
    <row r="1696">
      <c r="A1696" t="inlineStr">
        <is>
          <t>SIMULATED Food Waste Remote Study</t>
        </is>
      </c>
      <c r="B1696" t="inlineStr">
        <is>
          <t>RESP0249</t>
        </is>
      </c>
      <c r="C1696" t="inlineStr">
        <is>
          <t>Stimulus</t>
        </is>
      </c>
      <c r="D1696" t="inlineStr">
        <is>
          <t>foodwaste_narrative</t>
        </is>
      </c>
      <c r="E1696" t="n">
        <v>60</v>
      </c>
      <c r="F1696" t="inlineStr">
        <is>
          <t>Negative Valence</t>
        </is>
      </c>
      <c r="G1696" t="n">
        <v>-50</v>
      </c>
      <c r="H1696" t="n">
        <v>0</v>
      </c>
      <c r="I1696" t="n">
        <v>0</v>
      </c>
      <c r="J1696" t="inlineStr">
        <is>
          <t>NA</t>
        </is>
      </c>
      <c r="K1696" t="n">
        <v>94.7</v>
      </c>
    </row>
    <row r="1697">
      <c r="A1697" t="inlineStr">
        <is>
          <t>SIMULATED Food Waste Remote Study</t>
        </is>
      </c>
      <c r="B1697" t="inlineStr">
        <is>
          <t>RESP0249</t>
        </is>
      </c>
      <c r="C1697" t="inlineStr">
        <is>
          <t>Stimulus</t>
        </is>
      </c>
      <c r="D1697" t="inlineStr">
        <is>
          <t>foodwaste_visual</t>
        </is>
      </c>
      <c r="E1697" t="n">
        <v>62</v>
      </c>
      <c r="F1697" t="inlineStr">
        <is>
          <t>Engagement</t>
        </is>
      </c>
      <c r="G1697" t="n">
        <v>50</v>
      </c>
      <c r="H1697" t="n">
        <v>58.87</v>
      </c>
      <c r="I1697" t="n">
        <v>20</v>
      </c>
      <c r="J1697" t="inlineStr">
        <is>
          <t>NA</t>
        </is>
      </c>
      <c r="K1697" t="n">
        <v>96</v>
      </c>
    </row>
    <row r="1698">
      <c r="A1698" t="inlineStr">
        <is>
          <t>SIMULATED Food Waste Remote Study</t>
        </is>
      </c>
      <c r="B1698" t="inlineStr">
        <is>
          <t>RESP0249</t>
        </is>
      </c>
      <c r="C1698" t="inlineStr">
        <is>
          <t>Stimulus</t>
        </is>
      </c>
      <c r="D1698" t="inlineStr">
        <is>
          <t>foodwaste_visual</t>
        </is>
      </c>
      <c r="E1698" t="n">
        <v>62</v>
      </c>
      <c r="F1698" t="inlineStr">
        <is>
          <t>Joy</t>
        </is>
      </c>
      <c r="G1698" t="n">
        <v>50</v>
      </c>
      <c r="H1698" t="n">
        <v>0</v>
      </c>
      <c r="I1698" t="n">
        <v>0</v>
      </c>
      <c r="J1698" t="inlineStr">
        <is>
          <t>NA</t>
        </is>
      </c>
      <c r="K1698" t="n">
        <v>96</v>
      </c>
    </row>
    <row r="1699">
      <c r="A1699" t="inlineStr">
        <is>
          <t>SIMULATED Food Waste Remote Study</t>
        </is>
      </c>
      <c r="B1699" t="inlineStr">
        <is>
          <t>RESP0249</t>
        </is>
      </c>
      <c r="C1699" t="inlineStr">
        <is>
          <t>Stimulus</t>
        </is>
      </c>
      <c r="D1699" t="inlineStr">
        <is>
          <t>foodwaste_visual</t>
        </is>
      </c>
      <c r="E1699" t="n">
        <v>62</v>
      </c>
      <c r="F1699" t="inlineStr">
        <is>
          <t>Brow Furrow</t>
        </is>
      </c>
      <c r="G1699" t="n">
        <v>50</v>
      </c>
      <c r="H1699" t="n">
        <v>0</v>
      </c>
      <c r="I1699" t="n">
        <v>0</v>
      </c>
      <c r="J1699" t="inlineStr">
        <is>
          <t>NA</t>
        </is>
      </c>
      <c r="K1699" t="n">
        <v>96</v>
      </c>
    </row>
    <row r="1700">
      <c r="A1700" t="inlineStr">
        <is>
          <t>SIMULATED Food Waste Remote Study</t>
        </is>
      </c>
      <c r="B1700" t="inlineStr">
        <is>
          <t>RESP0249</t>
        </is>
      </c>
      <c r="C1700" t="inlineStr">
        <is>
          <t>Stimulus</t>
        </is>
      </c>
      <c r="D1700" t="inlineStr">
        <is>
          <t>foodwaste_visual</t>
        </is>
      </c>
      <c r="E1700" t="n">
        <v>62</v>
      </c>
      <c r="F1700" t="inlineStr">
        <is>
          <t>Positive Valence</t>
        </is>
      </c>
      <c r="G1700" t="n">
        <v>50</v>
      </c>
      <c r="H1700" t="n">
        <v>31.99</v>
      </c>
      <c r="I1700" t="n">
        <v>4</v>
      </c>
      <c r="J1700" t="inlineStr">
        <is>
          <t>NA</t>
        </is>
      </c>
      <c r="K1700" t="n">
        <v>96</v>
      </c>
    </row>
    <row r="1701">
      <c r="A1701" t="inlineStr">
        <is>
          <t>SIMULATED Food Waste Remote Study</t>
        </is>
      </c>
      <c r="B1701" t="inlineStr">
        <is>
          <t>RESP0249</t>
        </is>
      </c>
      <c r="C1701" t="inlineStr">
        <is>
          <t>Stimulus</t>
        </is>
      </c>
      <c r="D1701" t="inlineStr">
        <is>
          <t>foodwaste_visual</t>
        </is>
      </c>
      <c r="E1701" t="n">
        <v>62</v>
      </c>
      <c r="F1701" t="inlineStr">
        <is>
          <t>Negative Valence</t>
        </is>
      </c>
      <c r="G1701" t="n">
        <v>-50</v>
      </c>
      <c r="H1701" t="n">
        <v>1.29</v>
      </c>
      <c r="I1701" t="n">
        <v>3</v>
      </c>
      <c r="J1701" t="inlineStr">
        <is>
          <t>NA</t>
        </is>
      </c>
      <c r="K1701" t="n">
        <v>96</v>
      </c>
    </row>
    <row r="1702">
      <c r="A1702" t="inlineStr">
        <is>
          <t>SIMULATED Food Waste Remote Study</t>
        </is>
      </c>
      <c r="B1702" t="inlineStr">
        <is>
          <t>RESP0251</t>
        </is>
      </c>
      <c r="C1702" t="inlineStr">
        <is>
          <t>Stimulus</t>
        </is>
      </c>
      <c r="D1702" t="inlineStr">
        <is>
          <t>foodwaste_narrative</t>
        </is>
      </c>
      <c r="E1702" t="n">
        <v>60</v>
      </c>
      <c r="F1702" t="inlineStr">
        <is>
          <t>Engagement</t>
        </is>
      </c>
      <c r="G1702" t="n">
        <v>50</v>
      </c>
      <c r="H1702" t="n">
        <v>24.22</v>
      </c>
      <c r="I1702" t="n">
        <v>4</v>
      </c>
      <c r="J1702" t="inlineStr">
        <is>
          <t>NA</t>
        </is>
      </c>
      <c r="K1702" t="n">
        <v>97.40000000000001</v>
      </c>
    </row>
    <row r="1703">
      <c r="A1703" t="inlineStr">
        <is>
          <t>SIMULATED Food Waste Remote Study</t>
        </is>
      </c>
      <c r="B1703" t="inlineStr">
        <is>
          <t>RESP0251</t>
        </is>
      </c>
      <c r="C1703" t="inlineStr">
        <is>
          <t>Stimulus</t>
        </is>
      </c>
      <c r="D1703" t="inlineStr">
        <is>
          <t>foodwaste_narrative</t>
        </is>
      </c>
      <c r="E1703" t="n">
        <v>60</v>
      </c>
      <c r="F1703" t="inlineStr">
        <is>
          <t>Joy</t>
        </is>
      </c>
      <c r="G1703" t="n">
        <v>50</v>
      </c>
      <c r="H1703" t="n">
        <v>0</v>
      </c>
      <c r="I1703" t="n">
        <v>0</v>
      </c>
      <c r="J1703" t="inlineStr">
        <is>
          <t>NA</t>
        </is>
      </c>
      <c r="K1703" t="n">
        <v>97.40000000000001</v>
      </c>
    </row>
    <row r="1704">
      <c r="A1704" t="inlineStr">
        <is>
          <t>SIMULATED Food Waste Remote Study</t>
        </is>
      </c>
      <c r="B1704" t="inlineStr">
        <is>
          <t>RESP0251</t>
        </is>
      </c>
      <c r="C1704" t="inlineStr">
        <is>
          <t>Stimulus</t>
        </is>
      </c>
      <c r="D1704" t="inlineStr">
        <is>
          <t>foodwaste_narrative</t>
        </is>
      </c>
      <c r="E1704" t="n">
        <v>60</v>
      </c>
      <c r="F1704" t="inlineStr">
        <is>
          <t>Brow Furrow</t>
        </is>
      </c>
      <c r="G1704" t="n">
        <v>50</v>
      </c>
      <c r="H1704" t="n">
        <v>0</v>
      </c>
      <c r="I1704" t="n">
        <v>0</v>
      </c>
      <c r="J1704" t="inlineStr">
        <is>
          <t>NA</t>
        </is>
      </c>
      <c r="K1704" t="n">
        <v>97.40000000000001</v>
      </c>
    </row>
    <row r="1705">
      <c r="A1705" t="inlineStr">
        <is>
          <t>SIMULATED Food Waste Remote Study</t>
        </is>
      </c>
      <c r="B1705" t="inlineStr">
        <is>
          <t>RESP0251</t>
        </is>
      </c>
      <c r="C1705" t="inlineStr">
        <is>
          <t>Stimulus</t>
        </is>
      </c>
      <c r="D1705" t="inlineStr">
        <is>
          <t>foodwaste_narrative</t>
        </is>
      </c>
      <c r="E1705" t="n">
        <v>60</v>
      </c>
      <c r="F1705" t="inlineStr">
        <is>
          <t>Positive Valence</t>
        </is>
      </c>
      <c r="G1705" t="n">
        <v>50</v>
      </c>
      <c r="H1705" t="n">
        <v>0.78</v>
      </c>
      <c r="I1705" t="n">
        <v>1</v>
      </c>
      <c r="J1705" t="inlineStr">
        <is>
          <t>NA</t>
        </is>
      </c>
      <c r="K1705" t="n">
        <v>97.40000000000001</v>
      </c>
    </row>
    <row r="1706">
      <c r="A1706" t="inlineStr">
        <is>
          <t>SIMULATED Food Waste Remote Study</t>
        </is>
      </c>
      <c r="B1706" t="inlineStr">
        <is>
          <t>RESP0251</t>
        </is>
      </c>
      <c r="C1706" t="inlineStr">
        <is>
          <t>Stimulus</t>
        </is>
      </c>
      <c r="D1706" t="inlineStr">
        <is>
          <t>foodwaste_narrative</t>
        </is>
      </c>
      <c r="E1706" t="n">
        <v>60</v>
      </c>
      <c r="F1706" t="inlineStr">
        <is>
          <t>Negative Valence</t>
        </is>
      </c>
      <c r="G1706" t="n">
        <v>-50</v>
      </c>
      <c r="H1706" t="n">
        <v>0</v>
      </c>
      <c r="I1706" t="n">
        <v>0</v>
      </c>
      <c r="J1706" t="inlineStr">
        <is>
          <t>NA</t>
        </is>
      </c>
      <c r="K1706" t="n">
        <v>97.40000000000001</v>
      </c>
    </row>
    <row r="1707">
      <c r="A1707" t="inlineStr">
        <is>
          <t>SIMULATED Food Waste Remote Study</t>
        </is>
      </c>
      <c r="B1707" t="inlineStr">
        <is>
          <t>RESP0251</t>
        </is>
      </c>
      <c r="C1707" t="inlineStr">
        <is>
          <t>Stimulus</t>
        </is>
      </c>
      <c r="D1707" t="inlineStr">
        <is>
          <t>foodwaste_visual</t>
        </is>
      </c>
      <c r="E1707" t="n">
        <v>62</v>
      </c>
      <c r="F1707" t="inlineStr">
        <is>
          <t>Engagement</t>
        </is>
      </c>
      <c r="G1707" t="n">
        <v>50</v>
      </c>
      <c r="H1707" t="n">
        <v>63.66</v>
      </c>
      <c r="I1707" t="n">
        <v>13</v>
      </c>
      <c r="J1707" t="inlineStr">
        <is>
          <t>NA</t>
        </is>
      </c>
      <c r="K1707" t="n">
        <v>97.3</v>
      </c>
    </row>
    <row r="1708">
      <c r="A1708" t="inlineStr">
        <is>
          <t>SIMULATED Food Waste Remote Study</t>
        </is>
      </c>
      <c r="B1708" t="inlineStr">
        <is>
          <t>RESP0251</t>
        </is>
      </c>
      <c r="C1708" t="inlineStr">
        <is>
          <t>Stimulus</t>
        </is>
      </c>
      <c r="D1708" t="inlineStr">
        <is>
          <t>foodwaste_visual</t>
        </is>
      </c>
      <c r="E1708" t="n">
        <v>62</v>
      </c>
      <c r="F1708" t="inlineStr">
        <is>
          <t>Joy</t>
        </is>
      </c>
      <c r="G1708" t="n">
        <v>50</v>
      </c>
      <c r="H1708" t="n">
        <v>0</v>
      </c>
      <c r="I1708" t="n">
        <v>0</v>
      </c>
      <c r="J1708" t="inlineStr">
        <is>
          <t>NA</t>
        </is>
      </c>
      <c r="K1708" t="n">
        <v>97.3</v>
      </c>
    </row>
    <row r="1709">
      <c r="A1709" t="inlineStr">
        <is>
          <t>SIMULATED Food Waste Remote Study</t>
        </is>
      </c>
      <c r="B1709" t="inlineStr">
        <is>
          <t>RESP0251</t>
        </is>
      </c>
      <c r="C1709" t="inlineStr">
        <is>
          <t>Stimulus</t>
        </is>
      </c>
      <c r="D1709" t="inlineStr">
        <is>
          <t>foodwaste_visual</t>
        </is>
      </c>
      <c r="E1709" t="n">
        <v>62</v>
      </c>
      <c r="F1709" t="inlineStr">
        <is>
          <t>Brow Furrow</t>
        </is>
      </c>
      <c r="G1709" t="n">
        <v>50</v>
      </c>
      <c r="H1709" t="n">
        <v>11.08</v>
      </c>
      <c r="I1709" t="n">
        <v>2</v>
      </c>
      <c r="J1709" t="inlineStr">
        <is>
          <t>NA</t>
        </is>
      </c>
      <c r="K1709" t="n">
        <v>97.3</v>
      </c>
    </row>
    <row r="1710">
      <c r="A1710" t="inlineStr">
        <is>
          <t>SIMULATED Food Waste Remote Study</t>
        </is>
      </c>
      <c r="B1710" t="inlineStr">
        <is>
          <t>RESP0251</t>
        </is>
      </c>
      <c r="C1710" t="inlineStr">
        <is>
          <t>Stimulus</t>
        </is>
      </c>
      <c r="D1710" t="inlineStr">
        <is>
          <t>foodwaste_visual</t>
        </is>
      </c>
      <c r="E1710" t="n">
        <v>62</v>
      </c>
      <c r="F1710" t="inlineStr">
        <is>
          <t>Positive Valence</t>
        </is>
      </c>
      <c r="G1710" t="n">
        <v>50</v>
      </c>
      <c r="H1710" t="n">
        <v>27.04</v>
      </c>
      <c r="I1710" t="n">
        <v>3</v>
      </c>
      <c r="J1710" t="inlineStr">
        <is>
          <t>NA</t>
        </is>
      </c>
      <c r="K1710" t="n">
        <v>97.3</v>
      </c>
    </row>
    <row r="1711">
      <c r="A1711" t="inlineStr">
        <is>
          <t>SIMULATED Food Waste Remote Study</t>
        </is>
      </c>
      <c r="B1711" t="inlineStr">
        <is>
          <t>RESP0251</t>
        </is>
      </c>
      <c r="C1711" t="inlineStr">
        <is>
          <t>Stimulus</t>
        </is>
      </c>
      <c r="D1711" t="inlineStr">
        <is>
          <t>foodwaste_visual</t>
        </is>
      </c>
      <c r="E1711" t="n">
        <v>62</v>
      </c>
      <c r="F1711" t="inlineStr">
        <is>
          <t>Negative Valence</t>
        </is>
      </c>
      <c r="G1711" t="n">
        <v>-50</v>
      </c>
      <c r="H1711" t="n">
        <v>0.27</v>
      </c>
      <c r="I1711" t="n">
        <v>1</v>
      </c>
      <c r="J1711" t="inlineStr">
        <is>
          <t>NA</t>
        </is>
      </c>
      <c r="K1711" t="n">
        <v>97.3</v>
      </c>
    </row>
    <row r="1712">
      <c r="A1712" t="inlineStr">
        <is>
          <t>SIMULATED Food Waste Remote Study</t>
        </is>
      </c>
      <c r="B1712" t="inlineStr">
        <is>
          <t>RESP0252</t>
        </is>
      </c>
      <c r="C1712" t="inlineStr">
        <is>
          <t>Stimulus</t>
        </is>
      </c>
      <c r="D1712" t="inlineStr">
        <is>
          <t>foodwaste_narrative</t>
        </is>
      </c>
      <c r="E1712" t="n">
        <v>60</v>
      </c>
      <c r="F1712" t="inlineStr">
        <is>
          <t>Engagement</t>
        </is>
      </c>
      <c r="G1712" t="n">
        <v>50</v>
      </c>
      <c r="H1712" t="n">
        <v>15.83</v>
      </c>
      <c r="I1712" t="n">
        <v>4</v>
      </c>
      <c r="J1712" t="inlineStr">
        <is>
          <t>NA</t>
        </is>
      </c>
      <c r="K1712" t="n">
        <v>95.90000000000001</v>
      </c>
    </row>
    <row r="1713">
      <c r="A1713" t="inlineStr">
        <is>
          <t>SIMULATED Food Waste Remote Study</t>
        </is>
      </c>
      <c r="B1713" t="inlineStr">
        <is>
          <t>RESP0252</t>
        </is>
      </c>
      <c r="C1713" t="inlineStr">
        <is>
          <t>Stimulus</t>
        </is>
      </c>
      <c r="D1713" t="inlineStr">
        <is>
          <t>foodwaste_narrative</t>
        </is>
      </c>
      <c r="E1713" t="n">
        <v>60</v>
      </c>
      <c r="F1713" t="inlineStr">
        <is>
          <t>Joy</t>
        </is>
      </c>
      <c r="G1713" t="n">
        <v>50</v>
      </c>
      <c r="H1713" t="n">
        <v>3.28</v>
      </c>
      <c r="I1713" t="n">
        <v>1</v>
      </c>
      <c r="J1713" t="inlineStr">
        <is>
          <t>NA</t>
        </is>
      </c>
      <c r="K1713" t="n">
        <v>95.90000000000001</v>
      </c>
    </row>
    <row r="1714">
      <c r="A1714" t="inlineStr">
        <is>
          <t>SIMULATED Food Waste Remote Study</t>
        </is>
      </c>
      <c r="B1714" t="inlineStr">
        <is>
          <t>RESP0252</t>
        </is>
      </c>
      <c r="C1714" t="inlineStr">
        <is>
          <t>Stimulus</t>
        </is>
      </c>
      <c r="D1714" t="inlineStr">
        <is>
          <t>foodwaste_narrative</t>
        </is>
      </c>
      <c r="E1714" t="n">
        <v>60</v>
      </c>
      <c r="F1714" t="inlineStr">
        <is>
          <t>Brow Furrow</t>
        </is>
      </c>
      <c r="G1714" t="n">
        <v>50</v>
      </c>
      <c r="H1714" t="n">
        <v>4.22</v>
      </c>
      <c r="I1714" t="n">
        <v>1</v>
      </c>
      <c r="J1714" t="inlineStr">
        <is>
          <t>NA</t>
        </is>
      </c>
      <c r="K1714" t="n">
        <v>95.90000000000001</v>
      </c>
    </row>
    <row r="1715">
      <c r="A1715" t="inlineStr">
        <is>
          <t>SIMULATED Food Waste Remote Study</t>
        </is>
      </c>
      <c r="B1715" t="inlineStr">
        <is>
          <t>RESP0252</t>
        </is>
      </c>
      <c r="C1715" t="inlineStr">
        <is>
          <t>Stimulus</t>
        </is>
      </c>
      <c r="D1715" t="inlineStr">
        <is>
          <t>foodwaste_narrative</t>
        </is>
      </c>
      <c r="E1715" t="n">
        <v>60</v>
      </c>
      <c r="F1715" t="inlineStr">
        <is>
          <t>Positive Valence</t>
        </is>
      </c>
      <c r="G1715" t="n">
        <v>50</v>
      </c>
      <c r="H1715" t="n">
        <v>0</v>
      </c>
      <c r="I1715" t="n">
        <v>0</v>
      </c>
      <c r="J1715" t="inlineStr">
        <is>
          <t>NA</t>
        </is>
      </c>
      <c r="K1715" t="n">
        <v>95.90000000000001</v>
      </c>
    </row>
    <row r="1716">
      <c r="A1716" t="inlineStr">
        <is>
          <t>SIMULATED Food Waste Remote Study</t>
        </is>
      </c>
      <c r="B1716" t="inlineStr">
        <is>
          <t>RESP0252</t>
        </is>
      </c>
      <c r="C1716" t="inlineStr">
        <is>
          <t>Stimulus</t>
        </is>
      </c>
      <c r="D1716" t="inlineStr">
        <is>
          <t>foodwaste_narrative</t>
        </is>
      </c>
      <c r="E1716" t="n">
        <v>60</v>
      </c>
      <c r="F1716" t="inlineStr">
        <is>
          <t>Negative Valence</t>
        </is>
      </c>
      <c r="G1716" t="n">
        <v>-50</v>
      </c>
      <c r="H1716" t="n">
        <v>0</v>
      </c>
      <c r="I1716" t="n">
        <v>0</v>
      </c>
      <c r="J1716" t="inlineStr">
        <is>
          <t>NA</t>
        </is>
      </c>
      <c r="K1716" t="n">
        <v>95.90000000000001</v>
      </c>
    </row>
    <row r="1717">
      <c r="A1717" t="inlineStr">
        <is>
          <t>SIMULATED Food Waste Remote Study</t>
        </is>
      </c>
      <c r="B1717" t="inlineStr">
        <is>
          <t>RESP0252</t>
        </is>
      </c>
      <c r="C1717" t="inlineStr">
        <is>
          <t>Stimulus</t>
        </is>
      </c>
      <c r="D1717" t="inlineStr">
        <is>
          <t>foodwaste_visual</t>
        </is>
      </c>
      <c r="E1717" t="n">
        <v>62</v>
      </c>
      <c r="F1717" t="inlineStr">
        <is>
          <t>Engagement</t>
        </is>
      </c>
      <c r="G1717" t="n">
        <v>50</v>
      </c>
      <c r="H1717" t="n">
        <v>16.72</v>
      </c>
      <c r="I1717" t="n">
        <v>5</v>
      </c>
      <c r="J1717" t="inlineStr">
        <is>
          <t>NA</t>
        </is>
      </c>
      <c r="K1717" t="n">
        <v>96</v>
      </c>
    </row>
    <row r="1718">
      <c r="A1718" t="inlineStr">
        <is>
          <t>SIMULATED Food Waste Remote Study</t>
        </is>
      </c>
      <c r="B1718" t="inlineStr">
        <is>
          <t>RESP0252</t>
        </is>
      </c>
      <c r="C1718" t="inlineStr">
        <is>
          <t>Stimulus</t>
        </is>
      </c>
      <c r="D1718" t="inlineStr">
        <is>
          <t>foodwaste_visual</t>
        </is>
      </c>
      <c r="E1718" t="n">
        <v>62</v>
      </c>
      <c r="F1718" t="inlineStr">
        <is>
          <t>Joy</t>
        </is>
      </c>
      <c r="G1718" t="n">
        <v>50</v>
      </c>
      <c r="H1718" t="n">
        <v>0</v>
      </c>
      <c r="I1718" t="n">
        <v>0</v>
      </c>
      <c r="J1718" t="inlineStr">
        <is>
          <t>NA</t>
        </is>
      </c>
      <c r="K1718" t="n">
        <v>96</v>
      </c>
    </row>
    <row r="1719">
      <c r="A1719" t="inlineStr">
        <is>
          <t>SIMULATED Food Waste Remote Study</t>
        </is>
      </c>
      <c r="B1719" t="inlineStr">
        <is>
          <t>RESP0252</t>
        </is>
      </c>
      <c r="C1719" t="inlineStr">
        <is>
          <t>Stimulus</t>
        </is>
      </c>
      <c r="D1719" t="inlineStr">
        <is>
          <t>foodwaste_visual</t>
        </is>
      </c>
      <c r="E1719" t="n">
        <v>62</v>
      </c>
      <c r="F1719" t="inlineStr">
        <is>
          <t>Brow Furrow</t>
        </is>
      </c>
      <c r="G1719" t="n">
        <v>50</v>
      </c>
      <c r="H1719" t="n">
        <v>0</v>
      </c>
      <c r="I1719" t="n">
        <v>0</v>
      </c>
      <c r="J1719" t="inlineStr">
        <is>
          <t>NA</t>
        </is>
      </c>
      <c r="K1719" t="n">
        <v>96</v>
      </c>
    </row>
    <row r="1720">
      <c r="A1720" t="inlineStr">
        <is>
          <t>SIMULATED Food Waste Remote Study</t>
        </is>
      </c>
      <c r="B1720" t="inlineStr">
        <is>
          <t>RESP0252</t>
        </is>
      </c>
      <c r="C1720" t="inlineStr">
        <is>
          <t>Stimulus</t>
        </is>
      </c>
      <c r="D1720" t="inlineStr">
        <is>
          <t>foodwaste_visual</t>
        </is>
      </c>
      <c r="E1720" t="n">
        <v>62</v>
      </c>
      <c r="F1720" t="inlineStr">
        <is>
          <t>Positive Valence</t>
        </is>
      </c>
      <c r="G1720" t="n">
        <v>50</v>
      </c>
      <c r="H1720" t="n">
        <v>1.08</v>
      </c>
      <c r="I1720" t="n">
        <v>1</v>
      </c>
      <c r="J1720" t="inlineStr">
        <is>
          <t>NA</t>
        </is>
      </c>
      <c r="K1720" t="n">
        <v>96</v>
      </c>
    </row>
    <row r="1721">
      <c r="A1721" t="inlineStr">
        <is>
          <t>SIMULATED Food Waste Remote Study</t>
        </is>
      </c>
      <c r="B1721" t="inlineStr">
        <is>
          <t>RESP0252</t>
        </is>
      </c>
      <c r="C1721" t="inlineStr">
        <is>
          <t>Stimulus</t>
        </is>
      </c>
      <c r="D1721" t="inlineStr">
        <is>
          <t>foodwaste_visual</t>
        </is>
      </c>
      <c r="E1721" t="n">
        <v>62</v>
      </c>
      <c r="F1721" t="inlineStr">
        <is>
          <t>Negative Valence</t>
        </is>
      </c>
      <c r="G1721" t="n">
        <v>-50</v>
      </c>
      <c r="H1721" t="n">
        <v>0</v>
      </c>
      <c r="I1721" t="n">
        <v>0</v>
      </c>
      <c r="J1721" t="inlineStr">
        <is>
          <t>NA</t>
        </is>
      </c>
      <c r="K1721" t="n">
        <v>96</v>
      </c>
    </row>
    <row r="1722">
      <c r="A1722" t="inlineStr">
        <is>
          <t>SIMULATED Food Waste Remote Study</t>
        </is>
      </c>
      <c r="B1722" t="inlineStr">
        <is>
          <t>RESP0253</t>
        </is>
      </c>
      <c r="C1722" t="inlineStr">
        <is>
          <t>Stimulus</t>
        </is>
      </c>
      <c r="D1722" t="inlineStr">
        <is>
          <t>foodwaste_narrative</t>
        </is>
      </c>
      <c r="E1722" t="n">
        <v>60</v>
      </c>
      <c r="F1722" t="inlineStr">
        <is>
          <t>Engagement</t>
        </is>
      </c>
      <c r="G1722" t="n">
        <v>50</v>
      </c>
      <c r="H1722" t="n">
        <v>22.11</v>
      </c>
      <c r="I1722" t="n">
        <v>6</v>
      </c>
      <c r="J1722" t="inlineStr">
        <is>
          <t>NA</t>
        </is>
      </c>
      <c r="K1722" t="n">
        <v>98.7</v>
      </c>
    </row>
    <row r="1723">
      <c r="A1723" t="inlineStr">
        <is>
          <t>SIMULATED Food Waste Remote Study</t>
        </is>
      </c>
      <c r="B1723" t="inlineStr">
        <is>
          <t>RESP0253</t>
        </is>
      </c>
      <c r="C1723" t="inlineStr">
        <is>
          <t>Stimulus</t>
        </is>
      </c>
      <c r="D1723" t="inlineStr">
        <is>
          <t>foodwaste_narrative</t>
        </is>
      </c>
      <c r="E1723" t="n">
        <v>60</v>
      </c>
      <c r="F1723" t="inlineStr">
        <is>
          <t>Joy</t>
        </is>
      </c>
      <c r="G1723" t="n">
        <v>50</v>
      </c>
      <c r="H1723" t="n">
        <v>0</v>
      </c>
      <c r="I1723" t="n">
        <v>0</v>
      </c>
      <c r="J1723" t="inlineStr">
        <is>
          <t>NA</t>
        </is>
      </c>
      <c r="K1723" t="n">
        <v>98.7</v>
      </c>
    </row>
    <row r="1724">
      <c r="A1724" t="inlineStr">
        <is>
          <t>SIMULATED Food Waste Remote Study</t>
        </is>
      </c>
      <c r="B1724" t="inlineStr">
        <is>
          <t>RESP0253</t>
        </is>
      </c>
      <c r="C1724" t="inlineStr">
        <is>
          <t>Stimulus</t>
        </is>
      </c>
      <c r="D1724" t="inlineStr">
        <is>
          <t>foodwaste_narrative</t>
        </is>
      </c>
      <c r="E1724" t="n">
        <v>60</v>
      </c>
      <c r="F1724" t="inlineStr">
        <is>
          <t>Brow Furrow</t>
        </is>
      </c>
      <c r="G1724" t="n">
        <v>50</v>
      </c>
      <c r="H1724" t="n">
        <v>0</v>
      </c>
      <c r="I1724" t="n">
        <v>0</v>
      </c>
      <c r="J1724" t="inlineStr">
        <is>
          <t>NA</t>
        </is>
      </c>
      <c r="K1724" t="n">
        <v>98.7</v>
      </c>
    </row>
    <row r="1725">
      <c r="A1725" t="inlineStr">
        <is>
          <t>SIMULATED Food Waste Remote Study</t>
        </is>
      </c>
      <c r="B1725" t="inlineStr">
        <is>
          <t>RESP0253</t>
        </is>
      </c>
      <c r="C1725" t="inlineStr">
        <is>
          <t>Stimulus</t>
        </is>
      </c>
      <c r="D1725" t="inlineStr">
        <is>
          <t>foodwaste_narrative</t>
        </is>
      </c>
      <c r="E1725" t="n">
        <v>60</v>
      </c>
      <c r="F1725" t="inlineStr">
        <is>
          <t>Positive Valence</t>
        </is>
      </c>
      <c r="G1725" t="n">
        <v>50</v>
      </c>
      <c r="H1725" t="n">
        <v>0</v>
      </c>
      <c r="I1725" t="n">
        <v>0</v>
      </c>
      <c r="J1725" t="inlineStr">
        <is>
          <t>NA</t>
        </is>
      </c>
      <c r="K1725" t="n">
        <v>98.7</v>
      </c>
    </row>
    <row r="1726">
      <c r="A1726" t="inlineStr">
        <is>
          <t>SIMULATED Food Waste Remote Study</t>
        </is>
      </c>
      <c r="B1726" t="inlineStr">
        <is>
          <t>RESP0253</t>
        </is>
      </c>
      <c r="C1726" t="inlineStr">
        <is>
          <t>Stimulus</t>
        </is>
      </c>
      <c r="D1726" t="inlineStr">
        <is>
          <t>foodwaste_narrative</t>
        </is>
      </c>
      <c r="E1726" t="n">
        <v>60</v>
      </c>
      <c r="F1726" t="inlineStr">
        <is>
          <t>Negative Valence</t>
        </is>
      </c>
      <c r="G1726" t="n">
        <v>-50</v>
      </c>
      <c r="H1726" t="n">
        <v>4.83</v>
      </c>
      <c r="I1726" t="n">
        <v>2</v>
      </c>
      <c r="J1726" t="inlineStr">
        <is>
          <t>NA</t>
        </is>
      </c>
      <c r="K1726" t="n">
        <v>98.7</v>
      </c>
    </row>
    <row r="1727">
      <c r="A1727" t="inlineStr">
        <is>
          <t>SIMULATED Food Waste Remote Study</t>
        </is>
      </c>
      <c r="B1727" t="inlineStr">
        <is>
          <t>RESP0253</t>
        </is>
      </c>
      <c r="C1727" t="inlineStr">
        <is>
          <t>Stimulus</t>
        </is>
      </c>
      <c r="D1727" t="inlineStr">
        <is>
          <t>foodwaste_visual</t>
        </is>
      </c>
      <c r="E1727" t="n">
        <v>62</v>
      </c>
      <c r="F1727" t="inlineStr">
        <is>
          <t>Engagement</t>
        </is>
      </c>
      <c r="G1727" t="n">
        <v>50</v>
      </c>
      <c r="H1727" t="n">
        <v>25.43</v>
      </c>
      <c r="I1727" t="n">
        <v>7</v>
      </c>
      <c r="J1727" t="inlineStr">
        <is>
          <t>NA</t>
        </is>
      </c>
      <c r="K1727" t="n">
        <v>98.8</v>
      </c>
    </row>
    <row r="1728">
      <c r="A1728" t="inlineStr">
        <is>
          <t>SIMULATED Food Waste Remote Study</t>
        </is>
      </c>
      <c r="B1728" t="inlineStr">
        <is>
          <t>RESP0253</t>
        </is>
      </c>
      <c r="C1728" t="inlineStr">
        <is>
          <t>Stimulus</t>
        </is>
      </c>
      <c r="D1728" t="inlineStr">
        <is>
          <t>foodwaste_visual</t>
        </is>
      </c>
      <c r="E1728" t="n">
        <v>62</v>
      </c>
      <c r="F1728" t="inlineStr">
        <is>
          <t>Joy</t>
        </is>
      </c>
      <c r="G1728" t="n">
        <v>50</v>
      </c>
      <c r="H1728" t="n">
        <v>4.3</v>
      </c>
      <c r="I1728" t="n">
        <v>2</v>
      </c>
      <c r="J1728" t="inlineStr">
        <is>
          <t>NA</t>
        </is>
      </c>
      <c r="K1728" t="n">
        <v>98.8</v>
      </c>
    </row>
    <row r="1729">
      <c r="A1729" t="inlineStr">
        <is>
          <t>SIMULATED Food Waste Remote Study</t>
        </is>
      </c>
      <c r="B1729" t="inlineStr">
        <is>
          <t>RESP0253</t>
        </is>
      </c>
      <c r="C1729" t="inlineStr">
        <is>
          <t>Stimulus</t>
        </is>
      </c>
      <c r="D1729" t="inlineStr">
        <is>
          <t>foodwaste_visual</t>
        </is>
      </c>
      <c r="E1729" t="n">
        <v>62</v>
      </c>
      <c r="F1729" t="inlineStr">
        <is>
          <t>Brow Furrow</t>
        </is>
      </c>
      <c r="G1729" t="n">
        <v>50</v>
      </c>
      <c r="H1729" t="n">
        <v>9.890000000000001</v>
      </c>
      <c r="I1729" t="n">
        <v>5</v>
      </c>
      <c r="J1729" t="inlineStr">
        <is>
          <t>NA</t>
        </is>
      </c>
      <c r="K1729" t="n">
        <v>98.8</v>
      </c>
    </row>
    <row r="1730">
      <c r="A1730" t="inlineStr">
        <is>
          <t>SIMULATED Food Waste Remote Study</t>
        </is>
      </c>
      <c r="B1730" t="inlineStr">
        <is>
          <t>RESP0253</t>
        </is>
      </c>
      <c r="C1730" t="inlineStr">
        <is>
          <t>Stimulus</t>
        </is>
      </c>
      <c r="D1730" t="inlineStr">
        <is>
          <t>foodwaste_visual</t>
        </is>
      </c>
      <c r="E1730" t="n">
        <v>62</v>
      </c>
      <c r="F1730" t="inlineStr">
        <is>
          <t>Positive Valence</t>
        </is>
      </c>
      <c r="G1730" t="n">
        <v>50</v>
      </c>
      <c r="H1730" t="n">
        <v>18.12</v>
      </c>
      <c r="I1730" t="n">
        <v>6</v>
      </c>
      <c r="J1730" t="inlineStr">
        <is>
          <t>NA</t>
        </is>
      </c>
      <c r="K1730" t="n">
        <v>98.8</v>
      </c>
    </row>
    <row r="1731">
      <c r="A1731" t="inlineStr">
        <is>
          <t>SIMULATED Food Waste Remote Study</t>
        </is>
      </c>
      <c r="B1731" t="inlineStr">
        <is>
          <t>RESP0253</t>
        </is>
      </c>
      <c r="C1731" t="inlineStr">
        <is>
          <t>Stimulus</t>
        </is>
      </c>
      <c r="D1731" t="inlineStr">
        <is>
          <t>foodwaste_visual</t>
        </is>
      </c>
      <c r="E1731" t="n">
        <v>62</v>
      </c>
      <c r="F1731" t="inlineStr">
        <is>
          <t>Negative Valence</t>
        </is>
      </c>
      <c r="G1731" t="n">
        <v>-50</v>
      </c>
      <c r="H1731" t="n">
        <v>48.71</v>
      </c>
      <c r="I1731" t="n">
        <v>17</v>
      </c>
      <c r="J1731" t="inlineStr">
        <is>
          <t>NA</t>
        </is>
      </c>
      <c r="K1731" t="n">
        <v>98.8</v>
      </c>
    </row>
    <row r="1732">
      <c r="A1732" t="inlineStr">
        <is>
          <t>SIMULATED Food Waste Remote Study</t>
        </is>
      </c>
      <c r="B1732" t="inlineStr">
        <is>
          <t>RESP0254</t>
        </is>
      </c>
      <c r="C1732" t="inlineStr">
        <is>
          <t>Stimulus</t>
        </is>
      </c>
      <c r="D1732" t="inlineStr">
        <is>
          <t>foodwaste_narrative</t>
        </is>
      </c>
      <c r="E1732" t="n">
        <v>60</v>
      </c>
      <c r="F1732" t="inlineStr">
        <is>
          <t>Engagement</t>
        </is>
      </c>
      <c r="G1732" t="n">
        <v>50</v>
      </c>
      <c r="H1732" t="n">
        <v>0</v>
      </c>
      <c r="I1732" t="n">
        <v>0</v>
      </c>
      <c r="J1732" t="inlineStr">
        <is>
          <t>NA</t>
        </is>
      </c>
      <c r="K1732" t="n">
        <v>93.90000000000001</v>
      </c>
    </row>
    <row r="1733">
      <c r="A1733" t="inlineStr">
        <is>
          <t>SIMULATED Food Waste Remote Study</t>
        </is>
      </c>
      <c r="B1733" t="inlineStr">
        <is>
          <t>RESP0254</t>
        </is>
      </c>
      <c r="C1733" t="inlineStr">
        <is>
          <t>Stimulus</t>
        </is>
      </c>
      <c r="D1733" t="inlineStr">
        <is>
          <t>foodwaste_narrative</t>
        </is>
      </c>
      <c r="E1733" t="n">
        <v>60</v>
      </c>
      <c r="F1733" t="inlineStr">
        <is>
          <t>Joy</t>
        </is>
      </c>
      <c r="G1733" t="n">
        <v>50</v>
      </c>
      <c r="H1733" t="n">
        <v>0.28</v>
      </c>
      <c r="I1733" t="n">
        <v>1</v>
      </c>
      <c r="J1733" t="inlineStr">
        <is>
          <t>NA</t>
        </is>
      </c>
      <c r="K1733" t="n">
        <v>93.90000000000001</v>
      </c>
    </row>
    <row r="1734">
      <c r="A1734" t="inlineStr">
        <is>
          <t>SIMULATED Food Waste Remote Study</t>
        </is>
      </c>
      <c r="B1734" t="inlineStr">
        <is>
          <t>RESP0254</t>
        </is>
      </c>
      <c r="C1734" t="inlineStr">
        <is>
          <t>Stimulus</t>
        </is>
      </c>
      <c r="D1734" t="inlineStr">
        <is>
          <t>foodwaste_narrative</t>
        </is>
      </c>
      <c r="E1734" t="n">
        <v>60</v>
      </c>
      <c r="F1734" t="inlineStr">
        <is>
          <t>Brow Furrow</t>
        </is>
      </c>
      <c r="G1734" t="n">
        <v>50</v>
      </c>
      <c r="H1734" t="n">
        <v>0</v>
      </c>
      <c r="I1734" t="n">
        <v>0</v>
      </c>
      <c r="J1734" t="inlineStr">
        <is>
          <t>NA</t>
        </is>
      </c>
      <c r="K1734" t="n">
        <v>93.90000000000001</v>
      </c>
    </row>
    <row r="1735">
      <c r="A1735" t="inlineStr">
        <is>
          <t>SIMULATED Food Waste Remote Study</t>
        </is>
      </c>
      <c r="B1735" t="inlineStr">
        <is>
          <t>RESP0254</t>
        </is>
      </c>
      <c r="C1735" t="inlineStr">
        <is>
          <t>Stimulus</t>
        </is>
      </c>
      <c r="D1735" t="inlineStr">
        <is>
          <t>foodwaste_narrative</t>
        </is>
      </c>
      <c r="E1735" t="n">
        <v>60</v>
      </c>
      <c r="F1735" t="inlineStr">
        <is>
          <t>Positive Valence</t>
        </is>
      </c>
      <c r="G1735" t="n">
        <v>50</v>
      </c>
      <c r="H1735" t="n">
        <v>0</v>
      </c>
      <c r="I1735" t="n">
        <v>0</v>
      </c>
      <c r="J1735" t="inlineStr">
        <is>
          <t>NA</t>
        </is>
      </c>
      <c r="K1735" t="n">
        <v>93.90000000000001</v>
      </c>
    </row>
    <row r="1736">
      <c r="A1736" t="inlineStr">
        <is>
          <t>SIMULATED Food Waste Remote Study</t>
        </is>
      </c>
      <c r="B1736" t="inlineStr">
        <is>
          <t>RESP0254</t>
        </is>
      </c>
      <c r="C1736" t="inlineStr">
        <is>
          <t>Stimulus</t>
        </is>
      </c>
      <c r="D1736" t="inlineStr">
        <is>
          <t>foodwaste_narrative</t>
        </is>
      </c>
      <c r="E1736" t="n">
        <v>60</v>
      </c>
      <c r="F1736" t="inlineStr">
        <is>
          <t>Negative Valence</t>
        </is>
      </c>
      <c r="G1736" t="n">
        <v>-50</v>
      </c>
      <c r="H1736" t="n">
        <v>0</v>
      </c>
      <c r="I1736" t="n">
        <v>0</v>
      </c>
      <c r="J1736" t="inlineStr">
        <is>
          <t>NA</t>
        </is>
      </c>
      <c r="K1736" t="n">
        <v>93.90000000000001</v>
      </c>
    </row>
    <row r="1737">
      <c r="A1737" t="inlineStr">
        <is>
          <t>SIMULATED Food Waste Remote Study</t>
        </is>
      </c>
      <c r="B1737" t="inlineStr">
        <is>
          <t>RESP0254</t>
        </is>
      </c>
      <c r="C1737" t="inlineStr">
        <is>
          <t>Stimulus</t>
        </is>
      </c>
      <c r="D1737" t="inlineStr">
        <is>
          <t>foodwaste_visual</t>
        </is>
      </c>
      <c r="E1737" t="n">
        <v>62</v>
      </c>
      <c r="F1737" t="inlineStr">
        <is>
          <t>Engagement</t>
        </is>
      </c>
      <c r="G1737" t="n">
        <v>50</v>
      </c>
      <c r="H1737" t="n">
        <v>26.94</v>
      </c>
      <c r="I1737" t="n">
        <v>7</v>
      </c>
      <c r="J1737" t="inlineStr">
        <is>
          <t>NA</t>
        </is>
      </c>
      <c r="K1737" t="n">
        <v>93.2</v>
      </c>
    </row>
    <row r="1738">
      <c r="A1738" t="inlineStr">
        <is>
          <t>SIMULATED Food Waste Remote Study</t>
        </is>
      </c>
      <c r="B1738" t="inlineStr">
        <is>
          <t>RESP0254</t>
        </is>
      </c>
      <c r="C1738" t="inlineStr">
        <is>
          <t>Stimulus</t>
        </is>
      </c>
      <c r="D1738" t="inlineStr">
        <is>
          <t>foodwaste_visual</t>
        </is>
      </c>
      <c r="E1738" t="n">
        <v>62</v>
      </c>
      <c r="F1738" t="inlineStr">
        <is>
          <t>Joy</t>
        </is>
      </c>
      <c r="G1738" t="n">
        <v>50</v>
      </c>
      <c r="H1738" t="n">
        <v>4.89</v>
      </c>
      <c r="I1738" t="n">
        <v>2</v>
      </c>
      <c r="J1738" t="inlineStr">
        <is>
          <t>NA</t>
        </is>
      </c>
      <c r="K1738" t="n">
        <v>93.2</v>
      </c>
    </row>
    <row r="1739">
      <c r="A1739" t="inlineStr">
        <is>
          <t>SIMULATED Food Waste Remote Study</t>
        </is>
      </c>
      <c r="B1739" t="inlineStr">
        <is>
          <t>RESP0254</t>
        </is>
      </c>
      <c r="C1739" t="inlineStr">
        <is>
          <t>Stimulus</t>
        </is>
      </c>
      <c r="D1739" t="inlineStr">
        <is>
          <t>foodwaste_visual</t>
        </is>
      </c>
      <c r="E1739" t="n">
        <v>62</v>
      </c>
      <c r="F1739" t="inlineStr">
        <is>
          <t>Brow Furrow</t>
        </is>
      </c>
      <c r="G1739" t="n">
        <v>50</v>
      </c>
      <c r="H1739" t="n">
        <v>0.48</v>
      </c>
      <c r="I1739" t="n">
        <v>1</v>
      </c>
      <c r="J1739" t="inlineStr">
        <is>
          <t>NA</t>
        </is>
      </c>
      <c r="K1739" t="n">
        <v>93.2</v>
      </c>
    </row>
    <row r="1740">
      <c r="A1740" t="inlineStr">
        <is>
          <t>SIMULATED Food Waste Remote Study</t>
        </is>
      </c>
      <c r="B1740" t="inlineStr">
        <is>
          <t>RESP0254</t>
        </is>
      </c>
      <c r="C1740" t="inlineStr">
        <is>
          <t>Stimulus</t>
        </is>
      </c>
      <c r="D1740" t="inlineStr">
        <is>
          <t>foodwaste_visual</t>
        </is>
      </c>
      <c r="E1740" t="n">
        <v>62</v>
      </c>
      <c r="F1740" t="inlineStr">
        <is>
          <t>Positive Valence</t>
        </is>
      </c>
      <c r="G1740" t="n">
        <v>50</v>
      </c>
      <c r="H1740" t="n">
        <v>11.51</v>
      </c>
      <c r="I1740" t="n">
        <v>3</v>
      </c>
      <c r="J1740" t="inlineStr">
        <is>
          <t>NA</t>
        </is>
      </c>
      <c r="K1740" t="n">
        <v>93.2</v>
      </c>
    </row>
    <row r="1741">
      <c r="A1741" t="inlineStr">
        <is>
          <t>SIMULATED Food Waste Remote Study</t>
        </is>
      </c>
      <c r="B1741" t="inlineStr">
        <is>
          <t>RESP0254</t>
        </is>
      </c>
      <c r="C1741" t="inlineStr">
        <is>
          <t>Stimulus</t>
        </is>
      </c>
      <c r="D1741" t="inlineStr">
        <is>
          <t>foodwaste_visual</t>
        </is>
      </c>
      <c r="E1741" t="n">
        <v>62</v>
      </c>
      <c r="F1741" t="inlineStr">
        <is>
          <t>Negative Valence</t>
        </is>
      </c>
      <c r="G1741" t="n">
        <v>-50</v>
      </c>
      <c r="H1741" t="n">
        <v>4.14</v>
      </c>
      <c r="I1741" t="n">
        <v>1</v>
      </c>
      <c r="J1741" t="inlineStr">
        <is>
          <t>NA</t>
        </is>
      </c>
      <c r="K1741" t="n">
        <v>93.2</v>
      </c>
    </row>
    <row r="1742">
      <c r="A1742" t="inlineStr">
        <is>
          <t>SIMULATED Food Waste Remote Study</t>
        </is>
      </c>
      <c r="B1742" t="inlineStr">
        <is>
          <t>RESP0255</t>
        </is>
      </c>
      <c r="C1742" t="inlineStr">
        <is>
          <t>Stimulus</t>
        </is>
      </c>
      <c r="D1742" t="inlineStr">
        <is>
          <t>foodwaste_narrative</t>
        </is>
      </c>
      <c r="E1742" t="n">
        <v>60</v>
      </c>
      <c r="F1742" t="inlineStr">
        <is>
          <t>Engagement</t>
        </is>
      </c>
      <c r="G1742" t="n">
        <v>50</v>
      </c>
      <c r="H1742" t="n">
        <v>17.39</v>
      </c>
      <c r="I1742" t="n">
        <v>4</v>
      </c>
      <c r="J1742" t="inlineStr">
        <is>
          <t>NA</t>
        </is>
      </c>
      <c r="K1742" t="n">
        <v>92.8</v>
      </c>
    </row>
    <row r="1743">
      <c r="A1743" t="inlineStr">
        <is>
          <t>SIMULATED Food Waste Remote Study</t>
        </is>
      </c>
      <c r="B1743" t="inlineStr">
        <is>
          <t>RESP0255</t>
        </is>
      </c>
      <c r="C1743" t="inlineStr">
        <is>
          <t>Stimulus</t>
        </is>
      </c>
      <c r="D1743" t="inlineStr">
        <is>
          <t>foodwaste_narrative</t>
        </is>
      </c>
      <c r="E1743" t="n">
        <v>60</v>
      </c>
      <c r="F1743" t="inlineStr">
        <is>
          <t>Joy</t>
        </is>
      </c>
      <c r="G1743" t="n">
        <v>50</v>
      </c>
      <c r="H1743" t="n">
        <v>0</v>
      </c>
      <c r="I1743" t="n">
        <v>0</v>
      </c>
      <c r="J1743" t="inlineStr">
        <is>
          <t>NA</t>
        </is>
      </c>
      <c r="K1743" t="n">
        <v>92.8</v>
      </c>
    </row>
    <row r="1744">
      <c r="A1744" t="inlineStr">
        <is>
          <t>SIMULATED Food Waste Remote Study</t>
        </is>
      </c>
      <c r="B1744" t="inlineStr">
        <is>
          <t>RESP0255</t>
        </is>
      </c>
      <c r="C1744" t="inlineStr">
        <is>
          <t>Stimulus</t>
        </is>
      </c>
      <c r="D1744" t="inlineStr">
        <is>
          <t>foodwaste_narrative</t>
        </is>
      </c>
      <c r="E1744" t="n">
        <v>60</v>
      </c>
      <c r="F1744" t="inlineStr">
        <is>
          <t>Brow Furrow</t>
        </is>
      </c>
      <c r="G1744" t="n">
        <v>50</v>
      </c>
      <c r="H1744" t="n">
        <v>18.11</v>
      </c>
      <c r="I1744" t="n">
        <v>4</v>
      </c>
      <c r="J1744" t="inlineStr">
        <is>
          <t>NA</t>
        </is>
      </c>
      <c r="K1744" t="n">
        <v>92.8</v>
      </c>
    </row>
    <row r="1745">
      <c r="A1745" t="inlineStr">
        <is>
          <t>SIMULATED Food Waste Remote Study</t>
        </is>
      </c>
      <c r="B1745" t="inlineStr">
        <is>
          <t>RESP0255</t>
        </is>
      </c>
      <c r="C1745" t="inlineStr">
        <is>
          <t>Stimulus</t>
        </is>
      </c>
      <c r="D1745" t="inlineStr">
        <is>
          <t>foodwaste_narrative</t>
        </is>
      </c>
      <c r="E1745" t="n">
        <v>60</v>
      </c>
      <c r="F1745" t="inlineStr">
        <is>
          <t>Positive Valence</t>
        </is>
      </c>
      <c r="G1745" t="n">
        <v>50</v>
      </c>
      <c r="H1745" t="n">
        <v>4.28</v>
      </c>
      <c r="I1745" t="n">
        <v>2</v>
      </c>
      <c r="J1745" t="inlineStr">
        <is>
          <t>NA</t>
        </is>
      </c>
      <c r="K1745" t="n">
        <v>92.8</v>
      </c>
    </row>
    <row r="1746">
      <c r="A1746" t="inlineStr">
        <is>
          <t>SIMULATED Food Waste Remote Study</t>
        </is>
      </c>
      <c r="B1746" t="inlineStr">
        <is>
          <t>RESP0255</t>
        </is>
      </c>
      <c r="C1746" t="inlineStr">
        <is>
          <t>Stimulus</t>
        </is>
      </c>
      <c r="D1746" t="inlineStr">
        <is>
          <t>foodwaste_narrative</t>
        </is>
      </c>
      <c r="E1746" t="n">
        <v>60</v>
      </c>
      <c r="F1746" t="inlineStr">
        <is>
          <t>Negative Valence</t>
        </is>
      </c>
      <c r="G1746" t="n">
        <v>-50</v>
      </c>
      <c r="H1746" t="n">
        <v>0</v>
      </c>
      <c r="I1746" t="n">
        <v>0</v>
      </c>
      <c r="J1746" t="inlineStr">
        <is>
          <t>NA</t>
        </is>
      </c>
      <c r="K1746" t="n">
        <v>92.8</v>
      </c>
    </row>
    <row r="1747">
      <c r="A1747" t="inlineStr">
        <is>
          <t>SIMULATED Food Waste Remote Study</t>
        </is>
      </c>
      <c r="B1747" t="inlineStr">
        <is>
          <t>RESP0255</t>
        </is>
      </c>
      <c r="C1747" t="inlineStr">
        <is>
          <t>Stimulus</t>
        </is>
      </c>
      <c r="D1747" t="inlineStr">
        <is>
          <t>foodwaste_visual</t>
        </is>
      </c>
      <c r="E1747" t="n">
        <v>62</v>
      </c>
      <c r="F1747" t="inlineStr">
        <is>
          <t>Engagement</t>
        </is>
      </c>
      <c r="G1747" t="n">
        <v>50</v>
      </c>
      <c r="H1747" t="n">
        <v>73.81999999999999</v>
      </c>
      <c r="I1747" t="n">
        <v>20</v>
      </c>
      <c r="J1747" t="inlineStr">
        <is>
          <t>NA</t>
        </is>
      </c>
      <c r="K1747" t="n">
        <v>96.59999999999999</v>
      </c>
    </row>
    <row r="1748">
      <c r="A1748" t="inlineStr">
        <is>
          <t>SIMULATED Food Waste Remote Study</t>
        </is>
      </c>
      <c r="B1748" t="inlineStr">
        <is>
          <t>RESP0255</t>
        </is>
      </c>
      <c r="C1748" t="inlineStr">
        <is>
          <t>Stimulus</t>
        </is>
      </c>
      <c r="D1748" t="inlineStr">
        <is>
          <t>foodwaste_visual</t>
        </is>
      </c>
      <c r="E1748" t="n">
        <v>62</v>
      </c>
      <c r="F1748" t="inlineStr">
        <is>
          <t>Joy</t>
        </is>
      </c>
      <c r="G1748" t="n">
        <v>50</v>
      </c>
      <c r="H1748" t="n">
        <v>1.88</v>
      </c>
      <c r="I1748" t="n">
        <v>2</v>
      </c>
      <c r="J1748" t="inlineStr">
        <is>
          <t>NA</t>
        </is>
      </c>
      <c r="K1748" t="n">
        <v>96.59999999999999</v>
      </c>
    </row>
    <row r="1749">
      <c r="A1749" t="inlineStr">
        <is>
          <t>SIMULATED Food Waste Remote Study</t>
        </is>
      </c>
      <c r="B1749" t="inlineStr">
        <is>
          <t>RESP0255</t>
        </is>
      </c>
      <c r="C1749" t="inlineStr">
        <is>
          <t>Stimulus</t>
        </is>
      </c>
      <c r="D1749" t="inlineStr">
        <is>
          <t>foodwaste_visual</t>
        </is>
      </c>
      <c r="E1749" t="n">
        <v>62</v>
      </c>
      <c r="F1749" t="inlineStr">
        <is>
          <t>Brow Furrow</t>
        </is>
      </c>
      <c r="G1749" t="n">
        <v>50</v>
      </c>
      <c r="H1749" t="n">
        <v>12.9</v>
      </c>
      <c r="I1749" t="n">
        <v>4</v>
      </c>
      <c r="J1749" t="inlineStr">
        <is>
          <t>NA</t>
        </is>
      </c>
      <c r="K1749" t="n">
        <v>96.59999999999999</v>
      </c>
    </row>
    <row r="1750">
      <c r="A1750" t="inlineStr">
        <is>
          <t>SIMULATED Food Waste Remote Study</t>
        </is>
      </c>
      <c r="B1750" t="inlineStr">
        <is>
          <t>RESP0255</t>
        </is>
      </c>
      <c r="C1750" t="inlineStr">
        <is>
          <t>Stimulus</t>
        </is>
      </c>
      <c r="D1750" t="inlineStr">
        <is>
          <t>foodwaste_visual</t>
        </is>
      </c>
      <c r="E1750" t="n">
        <v>62</v>
      </c>
      <c r="F1750" t="inlineStr">
        <is>
          <t>Positive Valence</t>
        </is>
      </c>
      <c r="G1750" t="n">
        <v>50</v>
      </c>
      <c r="H1750" t="n">
        <v>7.04</v>
      </c>
      <c r="I1750" t="n">
        <v>2</v>
      </c>
      <c r="J1750" t="inlineStr">
        <is>
          <t>NA</t>
        </is>
      </c>
      <c r="K1750" t="n">
        <v>96.59999999999999</v>
      </c>
    </row>
    <row r="1751">
      <c r="A1751" t="inlineStr">
        <is>
          <t>SIMULATED Food Waste Remote Study</t>
        </is>
      </c>
      <c r="B1751" t="inlineStr">
        <is>
          <t>RESP0255</t>
        </is>
      </c>
      <c r="C1751" t="inlineStr">
        <is>
          <t>Stimulus</t>
        </is>
      </c>
      <c r="D1751" t="inlineStr">
        <is>
          <t>foodwaste_visual</t>
        </is>
      </c>
      <c r="E1751" t="n">
        <v>62</v>
      </c>
      <c r="F1751" t="inlineStr">
        <is>
          <t>Negative Valence</t>
        </is>
      </c>
      <c r="G1751" t="n">
        <v>-50</v>
      </c>
      <c r="H1751" t="n">
        <v>25.59</v>
      </c>
      <c r="I1751" t="n">
        <v>6</v>
      </c>
      <c r="J1751" t="inlineStr">
        <is>
          <t>NA</t>
        </is>
      </c>
      <c r="K1751" t="n">
        <v>96.59999999999999</v>
      </c>
    </row>
    <row r="1752">
      <c r="A1752" t="inlineStr">
        <is>
          <t>SIMULATED Food Waste Remote Study</t>
        </is>
      </c>
      <c r="B1752" t="inlineStr">
        <is>
          <t>RESP0256</t>
        </is>
      </c>
      <c r="C1752" t="inlineStr">
        <is>
          <t>Stimulus</t>
        </is>
      </c>
      <c r="D1752" t="inlineStr">
        <is>
          <t>foodwaste_narrative</t>
        </is>
      </c>
      <c r="E1752" t="n">
        <v>60</v>
      </c>
      <c r="F1752" t="inlineStr">
        <is>
          <t>Engagement</t>
        </is>
      </c>
      <c r="G1752" t="n">
        <v>50</v>
      </c>
      <c r="H1752" t="n">
        <v>26.5</v>
      </c>
      <c r="I1752" t="n">
        <v>5</v>
      </c>
      <c r="J1752" t="inlineStr">
        <is>
          <t>NA</t>
        </is>
      </c>
      <c r="K1752" t="n">
        <v>93.8</v>
      </c>
    </row>
    <row r="1753">
      <c r="A1753" t="inlineStr">
        <is>
          <t>SIMULATED Food Waste Remote Study</t>
        </is>
      </c>
      <c r="B1753" t="inlineStr">
        <is>
          <t>RESP0256</t>
        </is>
      </c>
      <c r="C1753" t="inlineStr">
        <is>
          <t>Stimulus</t>
        </is>
      </c>
      <c r="D1753" t="inlineStr">
        <is>
          <t>foodwaste_narrative</t>
        </is>
      </c>
      <c r="E1753" t="n">
        <v>60</v>
      </c>
      <c r="F1753" t="inlineStr">
        <is>
          <t>Joy</t>
        </is>
      </c>
      <c r="G1753" t="n">
        <v>50</v>
      </c>
      <c r="H1753" t="n">
        <v>0</v>
      </c>
      <c r="I1753" t="n">
        <v>0</v>
      </c>
      <c r="J1753" t="inlineStr">
        <is>
          <t>NA</t>
        </is>
      </c>
      <c r="K1753" t="n">
        <v>93.8</v>
      </c>
    </row>
    <row r="1754">
      <c r="A1754" t="inlineStr">
        <is>
          <t>SIMULATED Food Waste Remote Study</t>
        </is>
      </c>
      <c r="B1754" t="inlineStr">
        <is>
          <t>RESP0256</t>
        </is>
      </c>
      <c r="C1754" t="inlineStr">
        <is>
          <t>Stimulus</t>
        </is>
      </c>
      <c r="D1754" t="inlineStr">
        <is>
          <t>foodwaste_narrative</t>
        </is>
      </c>
      <c r="E1754" t="n">
        <v>60</v>
      </c>
      <c r="F1754" t="inlineStr">
        <is>
          <t>Brow Furrow</t>
        </is>
      </c>
      <c r="G1754" t="n">
        <v>50</v>
      </c>
      <c r="H1754" t="n">
        <v>0</v>
      </c>
      <c r="I1754" t="n">
        <v>0</v>
      </c>
      <c r="J1754" t="inlineStr">
        <is>
          <t>NA</t>
        </is>
      </c>
      <c r="K1754" t="n">
        <v>93.8</v>
      </c>
    </row>
    <row r="1755">
      <c r="A1755" t="inlineStr">
        <is>
          <t>SIMULATED Food Waste Remote Study</t>
        </is>
      </c>
      <c r="B1755" t="inlineStr">
        <is>
          <t>RESP0256</t>
        </is>
      </c>
      <c r="C1755" t="inlineStr">
        <is>
          <t>Stimulus</t>
        </is>
      </c>
      <c r="D1755" t="inlineStr">
        <is>
          <t>foodwaste_narrative</t>
        </is>
      </c>
      <c r="E1755" t="n">
        <v>60</v>
      </c>
      <c r="F1755" t="inlineStr">
        <is>
          <t>Positive Valence</t>
        </is>
      </c>
      <c r="G1755" t="n">
        <v>50</v>
      </c>
      <c r="H1755" t="n">
        <v>0.67</v>
      </c>
      <c r="I1755" t="n">
        <v>2</v>
      </c>
      <c r="J1755" t="inlineStr">
        <is>
          <t>NA</t>
        </is>
      </c>
      <c r="K1755" t="n">
        <v>93.8</v>
      </c>
    </row>
    <row r="1756">
      <c r="A1756" t="inlineStr">
        <is>
          <t>SIMULATED Food Waste Remote Study</t>
        </is>
      </c>
      <c r="B1756" t="inlineStr">
        <is>
          <t>RESP0256</t>
        </is>
      </c>
      <c r="C1756" t="inlineStr">
        <is>
          <t>Stimulus</t>
        </is>
      </c>
      <c r="D1756" t="inlineStr">
        <is>
          <t>foodwaste_narrative</t>
        </is>
      </c>
      <c r="E1756" t="n">
        <v>60</v>
      </c>
      <c r="F1756" t="inlineStr">
        <is>
          <t>Negative Valence</t>
        </is>
      </c>
      <c r="G1756" t="n">
        <v>-50</v>
      </c>
      <c r="H1756" t="n">
        <v>0</v>
      </c>
      <c r="I1756" t="n">
        <v>0</v>
      </c>
      <c r="J1756" t="inlineStr">
        <is>
          <t>NA</t>
        </is>
      </c>
      <c r="K1756" t="n">
        <v>93.8</v>
      </c>
    </row>
    <row r="1757">
      <c r="A1757" t="inlineStr">
        <is>
          <t>SIMULATED Food Waste Remote Study</t>
        </is>
      </c>
      <c r="B1757" t="inlineStr">
        <is>
          <t>RESP0256</t>
        </is>
      </c>
      <c r="C1757" t="inlineStr">
        <is>
          <t>Stimulus</t>
        </is>
      </c>
      <c r="D1757" t="inlineStr">
        <is>
          <t>foodwaste_visual</t>
        </is>
      </c>
      <c r="E1757" t="n">
        <v>62</v>
      </c>
      <c r="F1757" t="inlineStr">
        <is>
          <t>Engagement</t>
        </is>
      </c>
      <c r="G1757" t="n">
        <v>50</v>
      </c>
      <c r="H1757" t="n">
        <v>7.8</v>
      </c>
      <c r="I1757" t="n">
        <v>4</v>
      </c>
      <c r="J1757" t="inlineStr">
        <is>
          <t>NA</t>
        </is>
      </c>
      <c r="K1757" t="n">
        <v>91.90000000000001</v>
      </c>
    </row>
    <row r="1758">
      <c r="A1758" t="inlineStr">
        <is>
          <t>SIMULATED Food Waste Remote Study</t>
        </is>
      </c>
      <c r="B1758" t="inlineStr">
        <is>
          <t>RESP0256</t>
        </is>
      </c>
      <c r="C1758" t="inlineStr">
        <is>
          <t>Stimulus</t>
        </is>
      </c>
      <c r="D1758" t="inlineStr">
        <is>
          <t>foodwaste_visual</t>
        </is>
      </c>
      <c r="E1758" t="n">
        <v>62</v>
      </c>
      <c r="F1758" t="inlineStr">
        <is>
          <t>Joy</t>
        </is>
      </c>
      <c r="G1758" t="n">
        <v>50</v>
      </c>
      <c r="H1758" t="n">
        <v>0</v>
      </c>
      <c r="I1758" t="n">
        <v>0</v>
      </c>
      <c r="J1758" t="inlineStr">
        <is>
          <t>NA</t>
        </is>
      </c>
      <c r="K1758" t="n">
        <v>91.90000000000001</v>
      </c>
    </row>
    <row r="1759">
      <c r="A1759" t="inlineStr">
        <is>
          <t>SIMULATED Food Waste Remote Study</t>
        </is>
      </c>
      <c r="B1759" t="inlineStr">
        <is>
          <t>RESP0256</t>
        </is>
      </c>
      <c r="C1759" t="inlineStr">
        <is>
          <t>Stimulus</t>
        </is>
      </c>
      <c r="D1759" t="inlineStr">
        <is>
          <t>foodwaste_visual</t>
        </is>
      </c>
      <c r="E1759" t="n">
        <v>62</v>
      </c>
      <c r="F1759" t="inlineStr">
        <is>
          <t>Brow Furrow</t>
        </is>
      </c>
      <c r="G1759" t="n">
        <v>50</v>
      </c>
      <c r="H1759" t="n">
        <v>0</v>
      </c>
      <c r="I1759" t="n">
        <v>0</v>
      </c>
      <c r="J1759" t="inlineStr">
        <is>
          <t>NA</t>
        </is>
      </c>
      <c r="K1759" t="n">
        <v>91.90000000000001</v>
      </c>
    </row>
    <row r="1760">
      <c r="A1760" t="inlineStr">
        <is>
          <t>SIMULATED Food Waste Remote Study</t>
        </is>
      </c>
      <c r="B1760" t="inlineStr">
        <is>
          <t>RESP0256</t>
        </is>
      </c>
      <c r="C1760" t="inlineStr">
        <is>
          <t>Stimulus</t>
        </is>
      </c>
      <c r="D1760" t="inlineStr">
        <is>
          <t>foodwaste_visual</t>
        </is>
      </c>
      <c r="E1760" t="n">
        <v>62</v>
      </c>
      <c r="F1760" t="inlineStr">
        <is>
          <t>Positive Valence</t>
        </is>
      </c>
      <c r="G1760" t="n">
        <v>50</v>
      </c>
      <c r="H1760" t="n">
        <v>0</v>
      </c>
      <c r="I1760" t="n">
        <v>0</v>
      </c>
      <c r="J1760" t="inlineStr">
        <is>
          <t>NA</t>
        </is>
      </c>
      <c r="K1760" t="n">
        <v>91.90000000000001</v>
      </c>
    </row>
    <row r="1761">
      <c r="A1761" t="inlineStr">
        <is>
          <t>SIMULATED Food Waste Remote Study</t>
        </is>
      </c>
      <c r="B1761" t="inlineStr">
        <is>
          <t>RESP0256</t>
        </is>
      </c>
      <c r="C1761" t="inlineStr">
        <is>
          <t>Stimulus</t>
        </is>
      </c>
      <c r="D1761" t="inlineStr">
        <is>
          <t>foodwaste_visual</t>
        </is>
      </c>
      <c r="E1761" t="n">
        <v>62</v>
      </c>
      <c r="F1761" t="inlineStr">
        <is>
          <t>Negative Valence</t>
        </is>
      </c>
      <c r="G1761" t="n">
        <v>-50</v>
      </c>
      <c r="H1761" t="n">
        <v>0</v>
      </c>
      <c r="I1761" t="n">
        <v>0</v>
      </c>
      <c r="J1761" t="inlineStr">
        <is>
          <t>NA</t>
        </is>
      </c>
      <c r="K1761" t="n">
        <v>91.90000000000001</v>
      </c>
    </row>
    <row r="1762">
      <c r="A1762" t="inlineStr">
        <is>
          <t>SIMULATED Food Waste Remote Study</t>
        </is>
      </c>
      <c r="B1762" t="inlineStr">
        <is>
          <t>RESP0258</t>
        </is>
      </c>
      <c r="C1762" t="inlineStr">
        <is>
          <t>Stimulus</t>
        </is>
      </c>
      <c r="D1762" t="inlineStr">
        <is>
          <t>foodwaste_narrative</t>
        </is>
      </c>
      <c r="E1762" t="n">
        <v>60</v>
      </c>
      <c r="F1762" t="inlineStr">
        <is>
          <t>Engagement</t>
        </is>
      </c>
      <c r="G1762" t="n">
        <v>50</v>
      </c>
      <c r="H1762" t="n">
        <v>0</v>
      </c>
      <c r="I1762" t="n">
        <v>0</v>
      </c>
      <c r="J1762" t="inlineStr">
        <is>
          <t>NA</t>
        </is>
      </c>
      <c r="K1762" t="n">
        <v>99</v>
      </c>
    </row>
    <row r="1763">
      <c r="A1763" t="inlineStr">
        <is>
          <t>SIMULATED Food Waste Remote Study</t>
        </is>
      </c>
      <c r="B1763" t="inlineStr">
        <is>
          <t>RESP0258</t>
        </is>
      </c>
      <c r="C1763" t="inlineStr">
        <is>
          <t>Stimulus</t>
        </is>
      </c>
      <c r="D1763" t="inlineStr">
        <is>
          <t>foodwaste_narrative</t>
        </is>
      </c>
      <c r="E1763" t="n">
        <v>60</v>
      </c>
      <c r="F1763" t="inlineStr">
        <is>
          <t>Joy</t>
        </is>
      </c>
      <c r="G1763" t="n">
        <v>50</v>
      </c>
      <c r="H1763" t="n">
        <v>22.44</v>
      </c>
      <c r="I1763" t="n">
        <v>3</v>
      </c>
      <c r="J1763" t="inlineStr">
        <is>
          <t>NA</t>
        </is>
      </c>
      <c r="K1763" t="n">
        <v>99</v>
      </c>
    </row>
    <row r="1764">
      <c r="A1764" t="inlineStr">
        <is>
          <t>SIMULATED Food Waste Remote Study</t>
        </is>
      </c>
      <c r="B1764" t="inlineStr">
        <is>
          <t>RESP0258</t>
        </is>
      </c>
      <c r="C1764" t="inlineStr">
        <is>
          <t>Stimulus</t>
        </is>
      </c>
      <c r="D1764" t="inlineStr">
        <is>
          <t>foodwaste_narrative</t>
        </is>
      </c>
      <c r="E1764" t="n">
        <v>60</v>
      </c>
      <c r="F1764" t="inlineStr">
        <is>
          <t>Brow Furrow</t>
        </is>
      </c>
      <c r="G1764" t="n">
        <v>50</v>
      </c>
      <c r="H1764" t="n">
        <v>12.61</v>
      </c>
      <c r="I1764" t="n">
        <v>7</v>
      </c>
      <c r="J1764" t="inlineStr">
        <is>
          <t>NA</t>
        </is>
      </c>
      <c r="K1764" t="n">
        <v>99</v>
      </c>
    </row>
    <row r="1765">
      <c r="A1765" t="inlineStr">
        <is>
          <t>SIMULATED Food Waste Remote Study</t>
        </is>
      </c>
      <c r="B1765" t="inlineStr">
        <is>
          <t>RESP0258</t>
        </is>
      </c>
      <c r="C1765" t="inlineStr">
        <is>
          <t>Stimulus</t>
        </is>
      </c>
      <c r="D1765" t="inlineStr">
        <is>
          <t>foodwaste_narrative</t>
        </is>
      </c>
      <c r="E1765" t="n">
        <v>60</v>
      </c>
      <c r="F1765" t="inlineStr">
        <is>
          <t>Positive Valence</t>
        </is>
      </c>
      <c r="G1765" t="n">
        <v>50</v>
      </c>
      <c r="H1765" t="n">
        <v>0</v>
      </c>
      <c r="I1765" t="n">
        <v>0</v>
      </c>
      <c r="J1765" t="inlineStr">
        <is>
          <t>NA</t>
        </is>
      </c>
      <c r="K1765" t="n">
        <v>99</v>
      </c>
    </row>
    <row r="1766">
      <c r="A1766" t="inlineStr">
        <is>
          <t>SIMULATED Food Waste Remote Study</t>
        </is>
      </c>
      <c r="B1766" t="inlineStr">
        <is>
          <t>RESP0258</t>
        </is>
      </c>
      <c r="C1766" t="inlineStr">
        <is>
          <t>Stimulus</t>
        </is>
      </c>
      <c r="D1766" t="inlineStr">
        <is>
          <t>foodwaste_narrative</t>
        </is>
      </c>
      <c r="E1766" t="n">
        <v>60</v>
      </c>
      <c r="F1766" t="inlineStr">
        <is>
          <t>Negative Valence</t>
        </is>
      </c>
      <c r="G1766" t="n">
        <v>-50</v>
      </c>
      <c r="H1766" t="n">
        <v>2.22</v>
      </c>
      <c r="I1766" t="n">
        <v>2</v>
      </c>
      <c r="J1766" t="inlineStr">
        <is>
          <t>NA</t>
        </is>
      </c>
      <c r="K1766" t="n">
        <v>99</v>
      </c>
    </row>
    <row r="1767">
      <c r="A1767" t="inlineStr">
        <is>
          <t>SIMULATED Food Waste Remote Study</t>
        </is>
      </c>
      <c r="B1767" t="inlineStr">
        <is>
          <t>RESP0258</t>
        </is>
      </c>
      <c r="C1767" t="inlineStr">
        <is>
          <t>Stimulus</t>
        </is>
      </c>
      <c r="D1767" t="inlineStr">
        <is>
          <t>foodwaste_visual</t>
        </is>
      </c>
      <c r="E1767" t="n">
        <v>62</v>
      </c>
      <c r="F1767" t="inlineStr">
        <is>
          <t>Engagement</t>
        </is>
      </c>
      <c r="G1767" t="n">
        <v>50</v>
      </c>
      <c r="H1767" t="n">
        <v>46.72</v>
      </c>
      <c r="I1767" t="n">
        <v>8</v>
      </c>
      <c r="J1767" t="inlineStr">
        <is>
          <t>NA</t>
        </is>
      </c>
      <c r="K1767" t="n">
        <v>98.09999999999999</v>
      </c>
    </row>
    <row r="1768">
      <c r="A1768" t="inlineStr">
        <is>
          <t>SIMULATED Food Waste Remote Study</t>
        </is>
      </c>
      <c r="B1768" t="inlineStr">
        <is>
          <t>RESP0258</t>
        </is>
      </c>
      <c r="C1768" t="inlineStr">
        <is>
          <t>Stimulus</t>
        </is>
      </c>
      <c r="D1768" t="inlineStr">
        <is>
          <t>foodwaste_visual</t>
        </is>
      </c>
      <c r="E1768" t="n">
        <v>62</v>
      </c>
      <c r="F1768" t="inlineStr">
        <is>
          <t>Joy</t>
        </is>
      </c>
      <c r="G1768" t="n">
        <v>50</v>
      </c>
      <c r="H1768" t="n">
        <v>0</v>
      </c>
      <c r="I1768" t="n">
        <v>0</v>
      </c>
      <c r="J1768" t="inlineStr">
        <is>
          <t>NA</t>
        </is>
      </c>
      <c r="K1768" t="n">
        <v>98.09999999999999</v>
      </c>
    </row>
    <row r="1769">
      <c r="A1769" t="inlineStr">
        <is>
          <t>SIMULATED Food Waste Remote Study</t>
        </is>
      </c>
      <c r="B1769" t="inlineStr">
        <is>
          <t>RESP0258</t>
        </is>
      </c>
      <c r="C1769" t="inlineStr">
        <is>
          <t>Stimulus</t>
        </is>
      </c>
      <c r="D1769" t="inlineStr">
        <is>
          <t>foodwaste_visual</t>
        </is>
      </c>
      <c r="E1769" t="n">
        <v>62</v>
      </c>
      <c r="F1769" t="inlineStr">
        <is>
          <t>Brow Furrow</t>
        </is>
      </c>
      <c r="G1769" t="n">
        <v>50</v>
      </c>
      <c r="H1769" t="n">
        <v>12.15</v>
      </c>
      <c r="I1769" t="n">
        <v>5</v>
      </c>
      <c r="J1769" t="inlineStr">
        <is>
          <t>NA</t>
        </is>
      </c>
      <c r="K1769" t="n">
        <v>98.09999999999999</v>
      </c>
    </row>
    <row r="1770">
      <c r="A1770" t="inlineStr">
        <is>
          <t>SIMULATED Food Waste Remote Study</t>
        </is>
      </c>
      <c r="B1770" t="inlineStr">
        <is>
          <t>RESP0258</t>
        </is>
      </c>
      <c r="C1770" t="inlineStr">
        <is>
          <t>Stimulus</t>
        </is>
      </c>
      <c r="D1770" t="inlineStr">
        <is>
          <t>foodwaste_visual</t>
        </is>
      </c>
      <c r="E1770" t="n">
        <v>62</v>
      </c>
      <c r="F1770" t="inlineStr">
        <is>
          <t>Positive Valence</t>
        </is>
      </c>
      <c r="G1770" t="n">
        <v>50</v>
      </c>
      <c r="H1770" t="n">
        <v>10.75</v>
      </c>
      <c r="I1770" t="n">
        <v>3</v>
      </c>
      <c r="J1770" t="inlineStr">
        <is>
          <t>NA</t>
        </is>
      </c>
      <c r="K1770" t="n">
        <v>98.09999999999999</v>
      </c>
    </row>
    <row r="1771">
      <c r="A1771" t="inlineStr">
        <is>
          <t>SIMULATED Food Waste Remote Study</t>
        </is>
      </c>
      <c r="B1771" t="inlineStr">
        <is>
          <t>RESP0258</t>
        </is>
      </c>
      <c r="C1771" t="inlineStr">
        <is>
          <t>Stimulus</t>
        </is>
      </c>
      <c r="D1771" t="inlineStr">
        <is>
          <t>foodwaste_visual</t>
        </is>
      </c>
      <c r="E1771" t="n">
        <v>62</v>
      </c>
      <c r="F1771" t="inlineStr">
        <is>
          <t>Negative Valence</t>
        </is>
      </c>
      <c r="G1771" t="n">
        <v>-50</v>
      </c>
      <c r="H1771" t="n">
        <v>7.2</v>
      </c>
      <c r="I1771" t="n">
        <v>2</v>
      </c>
      <c r="J1771" t="inlineStr">
        <is>
          <t>NA</t>
        </is>
      </c>
      <c r="K1771" t="n">
        <v>98.09999999999999</v>
      </c>
    </row>
    <row r="1772">
      <c r="A1772" t="inlineStr">
        <is>
          <t>SIMULATED Food Waste Remote Study</t>
        </is>
      </c>
      <c r="B1772" t="inlineStr">
        <is>
          <t>RESP0260</t>
        </is>
      </c>
      <c r="C1772" t="inlineStr">
        <is>
          <t>Stimulus</t>
        </is>
      </c>
      <c r="D1772" t="inlineStr">
        <is>
          <t>foodwaste_narrative</t>
        </is>
      </c>
      <c r="E1772" t="n">
        <v>60</v>
      </c>
      <c r="F1772" t="inlineStr">
        <is>
          <t>Engagement</t>
        </is>
      </c>
      <c r="G1772" t="n">
        <v>50</v>
      </c>
      <c r="H1772" t="n">
        <v>73.94</v>
      </c>
      <c r="I1772" t="n">
        <v>17</v>
      </c>
      <c r="J1772" t="inlineStr">
        <is>
          <t>NA</t>
        </is>
      </c>
      <c r="K1772" t="n">
        <v>86.7</v>
      </c>
    </row>
    <row r="1773">
      <c r="A1773" t="inlineStr">
        <is>
          <t>SIMULATED Food Waste Remote Study</t>
        </is>
      </c>
      <c r="B1773" t="inlineStr">
        <is>
          <t>RESP0260</t>
        </is>
      </c>
      <c r="C1773" t="inlineStr">
        <is>
          <t>Stimulus</t>
        </is>
      </c>
      <c r="D1773" t="inlineStr">
        <is>
          <t>foodwaste_narrative</t>
        </is>
      </c>
      <c r="E1773" t="n">
        <v>60</v>
      </c>
      <c r="F1773" t="inlineStr">
        <is>
          <t>Joy</t>
        </is>
      </c>
      <c r="G1773" t="n">
        <v>50</v>
      </c>
      <c r="H1773" t="n">
        <v>3.89</v>
      </c>
      <c r="I1773" t="n">
        <v>1</v>
      </c>
      <c r="J1773" t="inlineStr">
        <is>
          <t>NA</t>
        </is>
      </c>
      <c r="K1773" t="n">
        <v>86.7</v>
      </c>
    </row>
    <row r="1774">
      <c r="A1774" t="inlineStr">
        <is>
          <t>SIMULATED Food Waste Remote Study</t>
        </is>
      </c>
      <c r="B1774" t="inlineStr">
        <is>
          <t>RESP0260</t>
        </is>
      </c>
      <c r="C1774" t="inlineStr">
        <is>
          <t>Stimulus</t>
        </is>
      </c>
      <c r="D1774" t="inlineStr">
        <is>
          <t>foodwaste_narrative</t>
        </is>
      </c>
      <c r="E1774" t="n">
        <v>60</v>
      </c>
      <c r="F1774" t="inlineStr">
        <is>
          <t>Brow Furrow</t>
        </is>
      </c>
      <c r="G1774" t="n">
        <v>50</v>
      </c>
      <c r="H1774" t="n">
        <v>0</v>
      </c>
      <c r="I1774" t="n">
        <v>0</v>
      </c>
      <c r="J1774" t="inlineStr">
        <is>
          <t>NA</t>
        </is>
      </c>
      <c r="K1774" t="n">
        <v>86.7</v>
      </c>
    </row>
    <row r="1775">
      <c r="A1775" t="inlineStr">
        <is>
          <t>SIMULATED Food Waste Remote Study</t>
        </is>
      </c>
      <c r="B1775" t="inlineStr">
        <is>
          <t>RESP0260</t>
        </is>
      </c>
      <c r="C1775" t="inlineStr">
        <is>
          <t>Stimulus</t>
        </is>
      </c>
      <c r="D1775" t="inlineStr">
        <is>
          <t>foodwaste_narrative</t>
        </is>
      </c>
      <c r="E1775" t="n">
        <v>60</v>
      </c>
      <c r="F1775" t="inlineStr">
        <is>
          <t>Positive Valence</t>
        </is>
      </c>
      <c r="G1775" t="n">
        <v>50</v>
      </c>
      <c r="H1775" t="n">
        <v>6.78</v>
      </c>
      <c r="I1775" t="n">
        <v>4</v>
      </c>
      <c r="J1775" t="inlineStr">
        <is>
          <t>NA</t>
        </is>
      </c>
      <c r="K1775" t="n">
        <v>86.7</v>
      </c>
    </row>
    <row r="1776">
      <c r="A1776" t="inlineStr">
        <is>
          <t>SIMULATED Food Waste Remote Study</t>
        </is>
      </c>
      <c r="B1776" t="inlineStr">
        <is>
          <t>RESP0260</t>
        </is>
      </c>
      <c r="C1776" t="inlineStr">
        <is>
          <t>Stimulus</t>
        </is>
      </c>
      <c r="D1776" t="inlineStr">
        <is>
          <t>foodwaste_narrative</t>
        </is>
      </c>
      <c r="E1776" t="n">
        <v>60</v>
      </c>
      <c r="F1776" t="inlineStr">
        <is>
          <t>Negative Valence</t>
        </is>
      </c>
      <c r="G1776" t="n">
        <v>-50</v>
      </c>
      <c r="H1776" t="n">
        <v>9.279999999999999</v>
      </c>
      <c r="I1776" t="n">
        <v>3</v>
      </c>
      <c r="J1776" t="inlineStr">
        <is>
          <t>NA</t>
        </is>
      </c>
      <c r="K1776" t="n">
        <v>86.7</v>
      </c>
    </row>
    <row r="1777">
      <c r="A1777" t="inlineStr">
        <is>
          <t>SIMULATED Food Waste Remote Study</t>
        </is>
      </c>
      <c r="B1777" t="inlineStr">
        <is>
          <t>RESP0260</t>
        </is>
      </c>
      <c r="C1777" t="inlineStr">
        <is>
          <t>Stimulus</t>
        </is>
      </c>
      <c r="D1777" t="inlineStr">
        <is>
          <t>foodwaste_visual</t>
        </is>
      </c>
      <c r="E1777" t="n">
        <v>62</v>
      </c>
      <c r="F1777" t="inlineStr">
        <is>
          <t>Engagement</t>
        </is>
      </c>
      <c r="G1777" t="n">
        <v>50</v>
      </c>
      <c r="H1777" t="n">
        <v>63.82</v>
      </c>
      <c r="I1777" t="n">
        <v>101</v>
      </c>
      <c r="J1777" t="inlineStr">
        <is>
          <t>NA</t>
        </is>
      </c>
      <c r="K1777" t="n">
        <v>65.90000000000001</v>
      </c>
    </row>
    <row r="1778">
      <c r="A1778" t="inlineStr">
        <is>
          <t>SIMULATED Food Waste Remote Study</t>
        </is>
      </c>
      <c r="B1778" t="inlineStr">
        <is>
          <t>RESP0260</t>
        </is>
      </c>
      <c r="C1778" t="inlineStr">
        <is>
          <t>Stimulus</t>
        </is>
      </c>
      <c r="D1778" t="inlineStr">
        <is>
          <t>foodwaste_visual</t>
        </is>
      </c>
      <c r="E1778" t="n">
        <v>62</v>
      </c>
      <c r="F1778" t="inlineStr">
        <is>
          <t>Joy</t>
        </is>
      </c>
      <c r="G1778" t="n">
        <v>50</v>
      </c>
      <c r="H1778" t="n">
        <v>6.45</v>
      </c>
      <c r="I1778" t="n">
        <v>12</v>
      </c>
      <c r="J1778" t="inlineStr">
        <is>
          <t>NA</t>
        </is>
      </c>
      <c r="K1778" t="n">
        <v>65.90000000000001</v>
      </c>
    </row>
    <row r="1779">
      <c r="A1779" t="inlineStr">
        <is>
          <t>SIMULATED Food Waste Remote Study</t>
        </is>
      </c>
      <c r="B1779" t="inlineStr">
        <is>
          <t>RESP0260</t>
        </is>
      </c>
      <c r="C1779" t="inlineStr">
        <is>
          <t>Stimulus</t>
        </is>
      </c>
      <c r="D1779" t="inlineStr">
        <is>
          <t>foodwaste_visual</t>
        </is>
      </c>
      <c r="E1779" t="n">
        <v>62</v>
      </c>
      <c r="F1779" t="inlineStr">
        <is>
          <t>Brow Furrow</t>
        </is>
      </c>
      <c r="G1779" t="n">
        <v>50</v>
      </c>
      <c r="H1779" t="n">
        <v>5.86</v>
      </c>
      <c r="I1779" t="n">
        <v>8</v>
      </c>
      <c r="J1779" t="inlineStr">
        <is>
          <t>NA</t>
        </is>
      </c>
      <c r="K1779" t="n">
        <v>65.90000000000001</v>
      </c>
    </row>
    <row r="1780">
      <c r="A1780" t="inlineStr">
        <is>
          <t>SIMULATED Food Waste Remote Study</t>
        </is>
      </c>
      <c r="B1780" t="inlineStr">
        <is>
          <t>RESP0260</t>
        </is>
      </c>
      <c r="C1780" t="inlineStr">
        <is>
          <t>Stimulus</t>
        </is>
      </c>
      <c r="D1780" t="inlineStr">
        <is>
          <t>foodwaste_visual</t>
        </is>
      </c>
      <c r="E1780" t="n">
        <v>62</v>
      </c>
      <c r="F1780" t="inlineStr">
        <is>
          <t>Positive Valence</t>
        </is>
      </c>
      <c r="G1780" t="n">
        <v>50</v>
      </c>
      <c r="H1780" t="n">
        <v>2.63</v>
      </c>
      <c r="I1780" t="n">
        <v>7</v>
      </c>
      <c r="J1780" t="inlineStr">
        <is>
          <t>NA</t>
        </is>
      </c>
      <c r="K1780" t="n">
        <v>65.90000000000001</v>
      </c>
    </row>
    <row r="1781">
      <c r="A1781" t="inlineStr">
        <is>
          <t>SIMULATED Food Waste Remote Study</t>
        </is>
      </c>
      <c r="B1781" t="inlineStr">
        <is>
          <t>RESP0260</t>
        </is>
      </c>
      <c r="C1781" t="inlineStr">
        <is>
          <t>Stimulus</t>
        </is>
      </c>
      <c r="D1781" t="inlineStr">
        <is>
          <t>foodwaste_visual</t>
        </is>
      </c>
      <c r="E1781" t="n">
        <v>62</v>
      </c>
      <c r="F1781" t="inlineStr">
        <is>
          <t>Negative Valence</t>
        </is>
      </c>
      <c r="G1781" t="n">
        <v>-50</v>
      </c>
      <c r="H1781" t="n">
        <v>3.82</v>
      </c>
      <c r="I1781" t="n">
        <v>6</v>
      </c>
      <c r="J1781" t="inlineStr">
        <is>
          <t>NA</t>
        </is>
      </c>
      <c r="K1781" t="n">
        <v>65.90000000000001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7" customWidth="1" min="2" max="2"/>
    <col width="8" customWidth="1" min="3" max="3"/>
    <col width="19" customWidth="1" min="4" max="4"/>
    <col width="28" customWidth="1" min="5" max="5"/>
    <col width="23" customWidth="1" min="6" max="6"/>
    <col width="20" customWidth="1" min="7" max="7"/>
  </cols>
  <sheetData>
    <row r="1">
      <c r="A1" s="2" t="inlineStr">
        <is>
          <t>Study Name</t>
        </is>
      </c>
      <c r="B1" s="2" t="inlineStr">
        <is>
          <t>Respondent Name</t>
        </is>
      </c>
      <c r="C1" s="2" t="inlineStr">
        <is>
          <t>Age</t>
        </is>
      </c>
      <c r="D1" s="2" t="inlineStr">
        <is>
          <t>Gender</t>
        </is>
      </c>
      <c r="E1" s="2" t="inlineStr">
        <is>
          <t>Intention_reduce_food_waste_1to7</t>
        </is>
      </c>
      <c r="F1" s="2" t="inlineStr">
        <is>
          <t>More_persuasive_video</t>
        </is>
      </c>
      <c r="G1" s="2" t="inlineStr">
        <is>
          <t>Tips_recalled_0to4</t>
        </is>
      </c>
    </row>
    <row r="2">
      <c r="A2" t="inlineStr">
        <is>
          <t>SIMULATED Food Waste Remote Study</t>
        </is>
      </c>
      <c r="B2" t="inlineStr">
        <is>
          <t>RESP0001</t>
        </is>
      </c>
      <c r="C2" t="n">
        <v>61</v>
      </c>
      <c r="D2" t="inlineStr">
        <is>
          <t>F</t>
        </is>
      </c>
      <c r="E2" t="n">
        <v>5</v>
      </c>
      <c r="F2" t="inlineStr">
        <is>
          <t>Visual</t>
        </is>
      </c>
      <c r="G2" t="n">
        <v>2</v>
      </c>
    </row>
    <row r="3">
      <c r="A3" t="inlineStr">
        <is>
          <t>SIMULATED Food Waste Remote Study</t>
        </is>
      </c>
      <c r="B3" t="inlineStr">
        <is>
          <t>RESP0002</t>
        </is>
      </c>
      <c r="C3" t="n">
        <v>21</v>
      </c>
      <c r="D3" t="inlineStr">
        <is>
          <t>M</t>
        </is>
      </c>
      <c r="E3" t="n">
        <v>7</v>
      </c>
      <c r="F3" t="inlineStr">
        <is>
          <t>Visual</t>
        </is>
      </c>
      <c r="G3" t="n">
        <v>4</v>
      </c>
    </row>
    <row r="4">
      <c r="A4" t="inlineStr">
        <is>
          <t>SIMULATED Food Waste Remote Study</t>
        </is>
      </c>
      <c r="B4" t="inlineStr">
        <is>
          <t>RESP0003</t>
        </is>
      </c>
      <c r="C4" t="n">
        <v>49</v>
      </c>
      <c r="D4" t="inlineStr">
        <is>
          <t>M</t>
        </is>
      </c>
      <c r="E4" t="n">
        <v>7</v>
      </c>
      <c r="F4" t="inlineStr">
        <is>
          <t>Visual</t>
        </is>
      </c>
      <c r="G4" t="n">
        <v>0</v>
      </c>
    </row>
    <row r="5">
      <c r="A5" t="inlineStr">
        <is>
          <t>SIMULATED Food Waste Remote Study</t>
        </is>
      </c>
      <c r="B5" t="inlineStr">
        <is>
          <t>RESP0004</t>
        </is>
      </c>
      <c r="C5" t="n">
        <v>38</v>
      </c>
      <c r="D5" t="inlineStr">
        <is>
          <t>M</t>
        </is>
      </c>
      <c r="E5" t="n">
        <v>5</v>
      </c>
      <c r="F5" t="inlineStr">
        <is>
          <t>Narrative</t>
        </is>
      </c>
      <c r="G5" t="n">
        <v>4</v>
      </c>
    </row>
    <row r="6">
      <c r="A6" t="inlineStr">
        <is>
          <t>SIMULATED Food Waste Remote Study</t>
        </is>
      </c>
      <c r="B6" t="inlineStr">
        <is>
          <t>RESP0005</t>
        </is>
      </c>
      <c r="C6" t="n">
        <v>64</v>
      </c>
      <c r="D6" t="inlineStr">
        <is>
          <t>M</t>
        </is>
      </c>
      <c r="E6" t="n">
        <v>3</v>
      </c>
      <c r="F6" t="inlineStr">
        <is>
          <t>Visual</t>
        </is>
      </c>
      <c r="G6" t="n">
        <v>1</v>
      </c>
    </row>
    <row r="7">
      <c r="A7" t="inlineStr">
        <is>
          <t>SIMULATED Food Waste Remote Study</t>
        </is>
      </c>
      <c r="B7" t="inlineStr">
        <is>
          <t>RESP0006</t>
        </is>
      </c>
      <c r="C7" t="n">
        <v>21</v>
      </c>
      <c r="D7" t="inlineStr">
        <is>
          <t>F</t>
        </is>
      </c>
      <c r="E7" t="n">
        <v>5</v>
      </c>
      <c r="F7" t="inlineStr">
        <is>
          <t>Narrative</t>
        </is>
      </c>
      <c r="G7" t="n">
        <v>3</v>
      </c>
    </row>
    <row r="8">
      <c r="A8" t="inlineStr">
        <is>
          <t>SIMULATED Food Waste Remote Study</t>
        </is>
      </c>
      <c r="B8" t="inlineStr">
        <is>
          <t>RESP0007</t>
        </is>
      </c>
      <c r="C8" t="n">
        <v>19</v>
      </c>
      <c r="D8" t="inlineStr">
        <is>
          <t>M</t>
        </is>
      </c>
      <c r="E8" t="n">
        <v>6</v>
      </c>
      <c r="F8" t="inlineStr">
        <is>
          <t>Visual</t>
        </is>
      </c>
      <c r="G8" t="n">
        <v>4</v>
      </c>
    </row>
    <row r="9">
      <c r="A9" t="inlineStr">
        <is>
          <t>SIMULATED Food Waste Remote Study</t>
        </is>
      </c>
      <c r="B9" t="inlineStr">
        <is>
          <t>RESP0009</t>
        </is>
      </c>
      <c r="C9" t="n">
        <v>64</v>
      </c>
      <c r="D9" t="inlineStr">
        <is>
          <t>F</t>
        </is>
      </c>
      <c r="E9" t="n">
        <v>6</v>
      </c>
      <c r="F9" t="inlineStr">
        <is>
          <t>Visual</t>
        </is>
      </c>
      <c r="G9" t="n">
        <v>3</v>
      </c>
    </row>
    <row r="10">
      <c r="A10" t="inlineStr">
        <is>
          <t>SIMULATED Food Waste Remote Study</t>
        </is>
      </c>
      <c r="B10" t="inlineStr">
        <is>
          <t>RESP0010</t>
        </is>
      </c>
      <c r="C10" t="n">
        <v>42</v>
      </c>
      <c r="D10" t="inlineStr">
        <is>
          <t>F</t>
        </is>
      </c>
      <c r="E10" t="n">
        <v>6</v>
      </c>
      <c r="F10" t="inlineStr">
        <is>
          <t>Narrative</t>
        </is>
      </c>
      <c r="G10" t="n">
        <v>3</v>
      </c>
    </row>
    <row r="11">
      <c r="A11" t="inlineStr">
        <is>
          <t>SIMULATED Food Waste Remote Study</t>
        </is>
      </c>
      <c r="B11" t="inlineStr">
        <is>
          <t>RESP0012</t>
        </is>
      </c>
      <c r="C11" t="n">
        <v>20</v>
      </c>
      <c r="D11" t="inlineStr">
        <is>
          <t>F</t>
        </is>
      </c>
      <c r="E11" t="n">
        <v>7</v>
      </c>
      <c r="F11" t="inlineStr">
        <is>
          <t>Narrative</t>
        </is>
      </c>
      <c r="G11" t="n">
        <v>3</v>
      </c>
    </row>
    <row r="12">
      <c r="A12" t="inlineStr">
        <is>
          <t>SIMULATED Food Waste Remote Study</t>
        </is>
      </c>
      <c r="B12" t="inlineStr">
        <is>
          <t>RESP0013</t>
        </is>
      </c>
      <c r="C12" t="n">
        <v>23</v>
      </c>
      <c r="D12" t="inlineStr">
        <is>
          <t>F</t>
        </is>
      </c>
      <c r="E12" t="n">
        <v>7</v>
      </c>
      <c r="F12" t="inlineStr">
        <is>
          <t>Narrative</t>
        </is>
      </c>
      <c r="G12" t="n">
        <v>0</v>
      </c>
    </row>
    <row r="13">
      <c r="A13" t="inlineStr">
        <is>
          <t>SIMULATED Food Waste Remote Study</t>
        </is>
      </c>
      <c r="B13" t="inlineStr">
        <is>
          <t>RESP0014</t>
        </is>
      </c>
      <c r="C13" t="n">
        <v>64</v>
      </c>
      <c r="D13" t="inlineStr">
        <is>
          <t>F</t>
        </is>
      </c>
      <c r="E13" t="n">
        <v>4</v>
      </c>
      <c r="F13" t="inlineStr">
        <is>
          <t>Narrative</t>
        </is>
      </c>
      <c r="G13" t="n">
        <v>3</v>
      </c>
    </row>
    <row r="14">
      <c r="A14" t="inlineStr">
        <is>
          <t>SIMULATED Food Waste Remote Study</t>
        </is>
      </c>
      <c r="B14" t="inlineStr">
        <is>
          <t>RESP0015</t>
        </is>
      </c>
      <c r="C14" t="n">
        <v>47</v>
      </c>
      <c r="D14" t="inlineStr">
        <is>
          <t>M</t>
        </is>
      </c>
      <c r="E14" t="n">
        <v>5</v>
      </c>
      <c r="F14" t="inlineStr">
        <is>
          <t>Visual</t>
        </is>
      </c>
      <c r="G14" t="n">
        <v>3</v>
      </c>
    </row>
    <row r="15">
      <c r="A15" t="inlineStr">
        <is>
          <t>SIMULATED Food Waste Remote Study</t>
        </is>
      </c>
      <c r="B15" t="inlineStr">
        <is>
          <t>RESP0016</t>
        </is>
      </c>
      <c r="C15" t="n">
        <v>35</v>
      </c>
      <c r="D15" t="inlineStr">
        <is>
          <t>M</t>
        </is>
      </c>
      <c r="E15" t="n">
        <v>5</v>
      </c>
      <c r="F15" t="inlineStr">
        <is>
          <t>Visual</t>
        </is>
      </c>
      <c r="G15" t="n">
        <v>4</v>
      </c>
    </row>
    <row r="16">
      <c r="A16" t="inlineStr">
        <is>
          <t>SIMULATED Food Waste Remote Study</t>
        </is>
      </c>
      <c r="B16" t="inlineStr">
        <is>
          <t>RESP0019</t>
        </is>
      </c>
      <c r="C16" t="n">
        <v>23</v>
      </c>
      <c r="D16" t="inlineStr">
        <is>
          <t>F</t>
        </is>
      </c>
      <c r="E16" t="n">
        <v>6</v>
      </c>
      <c r="F16" t="inlineStr">
        <is>
          <t>Narrative</t>
        </is>
      </c>
      <c r="G16" t="n">
        <v>4</v>
      </c>
    </row>
    <row r="17">
      <c r="A17" t="inlineStr">
        <is>
          <t>SIMULATED Food Waste Remote Study</t>
        </is>
      </c>
      <c r="B17" t="inlineStr">
        <is>
          <t>RESP0020</t>
        </is>
      </c>
      <c r="C17" t="n">
        <v>18</v>
      </c>
      <c r="D17" t="inlineStr">
        <is>
          <t>F</t>
        </is>
      </c>
      <c r="E17" t="n">
        <v>3</v>
      </c>
      <c r="F17" t="inlineStr">
        <is>
          <t>Visual</t>
        </is>
      </c>
      <c r="G17" t="n">
        <v>3</v>
      </c>
    </row>
    <row r="18">
      <c r="A18" t="inlineStr">
        <is>
          <t>SIMULATED Food Waste Remote Study</t>
        </is>
      </c>
      <c r="B18" t="inlineStr">
        <is>
          <t>RESP0022</t>
        </is>
      </c>
      <c r="C18" t="n">
        <v>39</v>
      </c>
      <c r="D18" t="inlineStr">
        <is>
          <t>M</t>
        </is>
      </c>
      <c r="E18" t="n">
        <v>3</v>
      </c>
      <c r="F18" t="inlineStr">
        <is>
          <t>Narrative</t>
        </is>
      </c>
      <c r="G18" t="n">
        <v>1</v>
      </c>
    </row>
    <row r="19">
      <c r="A19" t="inlineStr">
        <is>
          <t>SIMULATED Food Waste Remote Study</t>
        </is>
      </c>
      <c r="B19" t="inlineStr">
        <is>
          <t>RESP0023</t>
        </is>
      </c>
      <c r="C19" t="n">
        <v>24</v>
      </c>
      <c r="D19" t="inlineStr">
        <is>
          <t>M</t>
        </is>
      </c>
      <c r="E19" t="n">
        <v>4</v>
      </c>
      <c r="F19" t="inlineStr">
        <is>
          <t>Visual</t>
        </is>
      </c>
      <c r="G19" t="n">
        <v>0</v>
      </c>
    </row>
    <row r="20">
      <c r="A20" t="inlineStr">
        <is>
          <t>SIMULATED Food Waste Remote Study</t>
        </is>
      </c>
      <c r="B20" t="inlineStr">
        <is>
          <t>RESP0024</t>
        </is>
      </c>
      <c r="C20" t="n">
        <v>28</v>
      </c>
      <c r="D20" t="inlineStr">
        <is>
          <t>M</t>
        </is>
      </c>
      <c r="E20" t="n">
        <v>6</v>
      </c>
      <c r="F20" t="inlineStr">
        <is>
          <t>Visual</t>
        </is>
      </c>
      <c r="G20" t="n">
        <v>4</v>
      </c>
    </row>
    <row r="21">
      <c r="A21" t="inlineStr">
        <is>
          <t>SIMULATED Food Waste Remote Study</t>
        </is>
      </c>
      <c r="B21" t="inlineStr">
        <is>
          <t>RESP0025</t>
        </is>
      </c>
      <c r="C21" t="n">
        <v>21</v>
      </c>
      <c r="D21" t="inlineStr">
        <is>
          <t>M</t>
        </is>
      </c>
      <c r="E21" t="n">
        <v>4</v>
      </c>
      <c r="F21" t="inlineStr">
        <is>
          <t>Narrative</t>
        </is>
      </c>
      <c r="G21" t="n">
        <v>0</v>
      </c>
    </row>
    <row r="22">
      <c r="A22" t="inlineStr">
        <is>
          <t>SIMULATED Food Waste Remote Study</t>
        </is>
      </c>
      <c r="B22" t="inlineStr">
        <is>
          <t>RESP0026</t>
        </is>
      </c>
      <c r="C22" t="n">
        <v>24</v>
      </c>
      <c r="D22" t="inlineStr">
        <is>
          <t>F</t>
        </is>
      </c>
      <c r="E22" t="n">
        <v>4</v>
      </c>
      <c r="F22" t="inlineStr">
        <is>
          <t>Visual</t>
        </is>
      </c>
      <c r="G22" t="n">
        <v>3</v>
      </c>
    </row>
    <row r="23">
      <c r="A23" t="inlineStr">
        <is>
          <t>SIMULATED Food Waste Remote Study</t>
        </is>
      </c>
      <c r="B23" t="inlineStr">
        <is>
          <t>RESP0028</t>
        </is>
      </c>
      <c r="C23" t="n">
        <v>42</v>
      </c>
      <c r="D23" t="inlineStr">
        <is>
          <t>M</t>
        </is>
      </c>
      <c r="E23" t="n">
        <v>5</v>
      </c>
      <c r="F23" t="inlineStr">
        <is>
          <t>Narrative</t>
        </is>
      </c>
      <c r="G23" t="n">
        <v>4</v>
      </c>
    </row>
    <row r="24">
      <c r="A24" t="inlineStr">
        <is>
          <t>SIMULATED Food Waste Remote Study</t>
        </is>
      </c>
      <c r="B24" t="inlineStr">
        <is>
          <t>RESP0029</t>
        </is>
      </c>
      <c r="C24" t="n">
        <v>30</v>
      </c>
      <c r="D24" t="inlineStr">
        <is>
          <t>M</t>
        </is>
      </c>
      <c r="E24" t="n">
        <v>4</v>
      </c>
      <c r="F24" t="inlineStr">
        <is>
          <t>Visual</t>
        </is>
      </c>
      <c r="G24" t="n">
        <v>2</v>
      </c>
    </row>
    <row r="25">
      <c r="A25" t="inlineStr">
        <is>
          <t>SIMULATED Food Waste Remote Study</t>
        </is>
      </c>
      <c r="B25" t="inlineStr">
        <is>
          <t>RESP0031</t>
        </is>
      </c>
      <c r="C25" t="n">
        <v>21</v>
      </c>
      <c r="D25" t="inlineStr">
        <is>
          <t>F</t>
        </is>
      </c>
      <c r="E25" t="n">
        <v>5</v>
      </c>
      <c r="F25" t="inlineStr">
        <is>
          <t>Narrative</t>
        </is>
      </c>
      <c r="G25" t="n">
        <v>0</v>
      </c>
    </row>
    <row r="26">
      <c r="A26" t="inlineStr">
        <is>
          <t>SIMULATED Food Waste Remote Study</t>
        </is>
      </c>
      <c r="B26" t="inlineStr">
        <is>
          <t>RESP0032</t>
        </is>
      </c>
      <c r="C26" t="n">
        <v>21</v>
      </c>
      <c r="D26" t="inlineStr">
        <is>
          <t>F</t>
        </is>
      </c>
      <c r="E26" t="n">
        <v>7</v>
      </c>
      <c r="F26" t="inlineStr">
        <is>
          <t>Visual</t>
        </is>
      </c>
      <c r="G26" t="n">
        <v>1</v>
      </c>
    </row>
    <row r="27">
      <c r="A27" t="inlineStr">
        <is>
          <t>SIMULATED Food Waste Remote Study</t>
        </is>
      </c>
      <c r="B27" t="inlineStr">
        <is>
          <t>RESP0035</t>
        </is>
      </c>
      <c r="C27" t="n">
        <v>20</v>
      </c>
      <c r="D27" t="inlineStr">
        <is>
          <t>M</t>
        </is>
      </c>
      <c r="E27" t="n">
        <v>4</v>
      </c>
      <c r="F27" t="inlineStr">
        <is>
          <t>Narrative</t>
        </is>
      </c>
      <c r="G27" t="n">
        <v>1</v>
      </c>
    </row>
    <row r="28">
      <c r="A28" t="inlineStr">
        <is>
          <t>SIMULATED Food Waste Remote Study</t>
        </is>
      </c>
      <c r="B28" t="inlineStr">
        <is>
          <t>RESP0036</t>
        </is>
      </c>
      <c r="C28" t="n">
        <v>34</v>
      </c>
      <c r="D28" t="inlineStr">
        <is>
          <t>F</t>
        </is>
      </c>
      <c r="E28" t="n">
        <v>6</v>
      </c>
      <c r="F28" t="inlineStr">
        <is>
          <t>Visual</t>
        </is>
      </c>
      <c r="G28" t="n">
        <v>3</v>
      </c>
    </row>
    <row r="29">
      <c r="A29" t="inlineStr">
        <is>
          <t>SIMULATED Food Waste Remote Study</t>
        </is>
      </c>
      <c r="B29" t="inlineStr">
        <is>
          <t>RESP0037</t>
        </is>
      </c>
      <c r="C29" t="n">
        <v>20</v>
      </c>
      <c r="D29" t="inlineStr">
        <is>
          <t>M</t>
        </is>
      </c>
      <c r="E29" t="n">
        <v>4</v>
      </c>
      <c r="F29" t="inlineStr">
        <is>
          <t>Visual</t>
        </is>
      </c>
      <c r="G29" t="n">
        <v>3</v>
      </c>
    </row>
    <row r="30">
      <c r="A30" t="inlineStr">
        <is>
          <t>SIMULATED Food Waste Remote Study</t>
        </is>
      </c>
      <c r="B30" t="inlineStr">
        <is>
          <t>RESP0038</t>
        </is>
      </c>
      <c r="C30" t="n">
        <v>24</v>
      </c>
      <c r="D30" t="inlineStr">
        <is>
          <t>F</t>
        </is>
      </c>
      <c r="E30" t="n">
        <v>6</v>
      </c>
      <c r="F30" t="inlineStr">
        <is>
          <t>Narrative</t>
        </is>
      </c>
      <c r="G30" t="n">
        <v>4</v>
      </c>
    </row>
    <row r="31">
      <c r="A31" t="inlineStr">
        <is>
          <t>SIMULATED Food Waste Remote Study</t>
        </is>
      </c>
      <c r="B31" t="inlineStr">
        <is>
          <t>RESP0039</t>
        </is>
      </c>
      <c r="C31" t="n">
        <v>32</v>
      </c>
      <c r="D31" t="inlineStr">
        <is>
          <t>F</t>
        </is>
      </c>
      <c r="E31" t="n">
        <v>6</v>
      </c>
      <c r="F31" t="inlineStr">
        <is>
          <t>Visual</t>
        </is>
      </c>
      <c r="G31" t="n">
        <v>0</v>
      </c>
    </row>
    <row r="32">
      <c r="A32" t="inlineStr">
        <is>
          <t>SIMULATED Food Waste Remote Study</t>
        </is>
      </c>
      <c r="B32" t="inlineStr">
        <is>
          <t>RESP0040</t>
        </is>
      </c>
      <c r="C32" t="n">
        <v>59</v>
      </c>
      <c r="D32" t="inlineStr">
        <is>
          <t>F</t>
        </is>
      </c>
      <c r="E32" t="n">
        <v>5</v>
      </c>
      <c r="F32" t="inlineStr">
        <is>
          <t>Narrative</t>
        </is>
      </c>
      <c r="G32" t="n">
        <v>2</v>
      </c>
    </row>
    <row r="33">
      <c r="A33" t="inlineStr">
        <is>
          <t>SIMULATED Food Waste Remote Study</t>
        </is>
      </c>
      <c r="B33" t="inlineStr">
        <is>
          <t>RESP0041</t>
        </is>
      </c>
      <c r="C33" t="n">
        <v>21</v>
      </c>
      <c r="D33" t="inlineStr">
        <is>
          <t>F</t>
        </is>
      </c>
      <c r="E33" t="n">
        <v>7</v>
      </c>
      <c r="F33" t="inlineStr">
        <is>
          <t>Visual</t>
        </is>
      </c>
      <c r="G33" t="n">
        <v>3</v>
      </c>
    </row>
    <row r="34">
      <c r="A34" t="inlineStr">
        <is>
          <t>SIMULATED Food Waste Remote Study</t>
        </is>
      </c>
      <c r="B34" t="inlineStr">
        <is>
          <t>RESP0043</t>
        </is>
      </c>
      <c r="C34" t="n">
        <v>18</v>
      </c>
      <c r="D34" t="inlineStr">
        <is>
          <t>F</t>
        </is>
      </c>
      <c r="E34" t="n">
        <v>5</v>
      </c>
      <c r="F34" t="inlineStr">
        <is>
          <t>Visual</t>
        </is>
      </c>
      <c r="G34" t="n">
        <v>2</v>
      </c>
    </row>
    <row r="35">
      <c r="A35" t="inlineStr">
        <is>
          <t>SIMULATED Food Waste Remote Study</t>
        </is>
      </c>
      <c r="B35" t="inlineStr">
        <is>
          <t>RESP0044</t>
        </is>
      </c>
      <c r="C35" t="n">
        <v>21</v>
      </c>
      <c r="D35" t="inlineStr">
        <is>
          <t>F</t>
        </is>
      </c>
      <c r="E35" t="n">
        <v>3</v>
      </c>
      <c r="F35" t="inlineStr">
        <is>
          <t>Visual</t>
        </is>
      </c>
      <c r="G35" t="n">
        <v>3</v>
      </c>
    </row>
    <row r="36">
      <c r="A36" t="inlineStr">
        <is>
          <t>SIMULATED Food Waste Remote Study</t>
        </is>
      </c>
      <c r="B36" t="inlineStr">
        <is>
          <t>RESP0046</t>
        </is>
      </c>
      <c r="C36" t="n">
        <v>24</v>
      </c>
      <c r="D36" t="inlineStr">
        <is>
          <t>F</t>
        </is>
      </c>
      <c r="E36" t="n">
        <v>4</v>
      </c>
      <c r="F36" t="inlineStr">
        <is>
          <t>Visual</t>
        </is>
      </c>
      <c r="G36" t="n">
        <v>4</v>
      </c>
    </row>
    <row r="37">
      <c r="A37" t="inlineStr">
        <is>
          <t>SIMULATED Food Waste Remote Study</t>
        </is>
      </c>
      <c r="B37" t="inlineStr">
        <is>
          <t>RESP0047</t>
        </is>
      </c>
      <c r="C37" t="n">
        <v>22</v>
      </c>
      <c r="D37" t="inlineStr">
        <is>
          <t>M</t>
        </is>
      </c>
      <c r="E37" t="n">
        <v>3</v>
      </c>
      <c r="F37" t="inlineStr">
        <is>
          <t>Visual</t>
        </is>
      </c>
      <c r="G37" t="n">
        <v>0</v>
      </c>
    </row>
    <row r="38">
      <c r="A38" t="inlineStr">
        <is>
          <t>SIMULATED Food Waste Remote Study</t>
        </is>
      </c>
      <c r="B38" t="inlineStr">
        <is>
          <t>RESP0048</t>
        </is>
      </c>
      <c r="C38" t="n">
        <v>56</v>
      </c>
      <c r="D38" t="inlineStr">
        <is>
          <t>F</t>
        </is>
      </c>
      <c r="E38" t="n">
        <v>6</v>
      </c>
      <c r="F38" t="inlineStr">
        <is>
          <t>Visual</t>
        </is>
      </c>
      <c r="G38" t="n">
        <v>0</v>
      </c>
    </row>
    <row r="39">
      <c r="A39" t="inlineStr">
        <is>
          <t>SIMULATED Food Waste Remote Study</t>
        </is>
      </c>
      <c r="B39" t="inlineStr">
        <is>
          <t>RESP0049</t>
        </is>
      </c>
      <c r="C39" t="n">
        <v>19</v>
      </c>
      <c r="D39" t="inlineStr">
        <is>
          <t>F</t>
        </is>
      </c>
      <c r="E39" t="n">
        <v>4</v>
      </c>
      <c r="F39" t="inlineStr">
        <is>
          <t>Visual</t>
        </is>
      </c>
      <c r="G39" t="n">
        <v>1</v>
      </c>
    </row>
    <row r="40">
      <c r="A40" t="inlineStr">
        <is>
          <t>SIMULATED Food Waste Remote Study</t>
        </is>
      </c>
      <c r="B40" t="inlineStr">
        <is>
          <t>RESP0050</t>
        </is>
      </c>
      <c r="C40" t="n">
        <v>21</v>
      </c>
      <c r="D40" t="inlineStr">
        <is>
          <t>F</t>
        </is>
      </c>
      <c r="E40" t="n">
        <v>7</v>
      </c>
      <c r="F40" t="inlineStr">
        <is>
          <t>Narrative</t>
        </is>
      </c>
      <c r="G40" t="n">
        <v>3</v>
      </c>
    </row>
    <row r="41">
      <c r="A41" t="inlineStr">
        <is>
          <t>SIMULATED Food Waste Remote Study</t>
        </is>
      </c>
      <c r="B41" t="inlineStr">
        <is>
          <t>RESP0052</t>
        </is>
      </c>
      <c r="C41" t="n">
        <v>23</v>
      </c>
      <c r="D41" t="inlineStr">
        <is>
          <t>F</t>
        </is>
      </c>
      <c r="E41" t="n">
        <v>7</v>
      </c>
      <c r="F41" t="inlineStr">
        <is>
          <t>Visual</t>
        </is>
      </c>
      <c r="G41" t="n">
        <v>2</v>
      </c>
    </row>
    <row r="42">
      <c r="A42" t="inlineStr">
        <is>
          <t>SIMULATED Food Waste Remote Study</t>
        </is>
      </c>
      <c r="B42" t="inlineStr">
        <is>
          <t>RESP0053</t>
        </is>
      </c>
      <c r="C42" t="n">
        <v>22</v>
      </c>
      <c r="D42" t="inlineStr">
        <is>
          <t>M</t>
        </is>
      </c>
      <c r="E42" t="n">
        <v>4</v>
      </c>
      <c r="F42" t="inlineStr">
        <is>
          <t>Visual</t>
        </is>
      </c>
      <c r="G42" t="n">
        <v>2</v>
      </c>
    </row>
    <row r="43">
      <c r="A43" t="inlineStr">
        <is>
          <t>SIMULATED Food Waste Remote Study</t>
        </is>
      </c>
      <c r="B43" t="inlineStr">
        <is>
          <t>RESP0055</t>
        </is>
      </c>
      <c r="C43" t="n">
        <v>22</v>
      </c>
      <c r="D43" t="inlineStr">
        <is>
          <t>M</t>
        </is>
      </c>
      <c r="E43" t="n">
        <v>7</v>
      </c>
      <c r="F43" t="inlineStr">
        <is>
          <t>Visual</t>
        </is>
      </c>
      <c r="G43" t="n">
        <v>2</v>
      </c>
    </row>
    <row r="44">
      <c r="A44" t="inlineStr">
        <is>
          <t>SIMULATED Food Waste Remote Study</t>
        </is>
      </c>
      <c r="B44" t="inlineStr">
        <is>
          <t>RESP0056</t>
        </is>
      </c>
      <c r="C44" t="n">
        <v>55</v>
      </c>
      <c r="D44" t="inlineStr">
        <is>
          <t>F</t>
        </is>
      </c>
      <c r="E44" t="n">
        <v>6</v>
      </c>
      <c r="F44" t="inlineStr">
        <is>
          <t>Narrative</t>
        </is>
      </c>
      <c r="G44" t="n">
        <v>2</v>
      </c>
    </row>
    <row r="45">
      <c r="A45" t="inlineStr">
        <is>
          <t>SIMULATED Food Waste Remote Study</t>
        </is>
      </c>
      <c r="B45" t="inlineStr">
        <is>
          <t>RESP0058</t>
        </is>
      </c>
      <c r="C45" t="n">
        <v>20</v>
      </c>
      <c r="D45" t="inlineStr">
        <is>
          <t>F</t>
        </is>
      </c>
      <c r="E45" t="n">
        <v>5</v>
      </c>
      <c r="F45" t="inlineStr">
        <is>
          <t>Visual</t>
        </is>
      </c>
      <c r="G45" t="n">
        <v>2</v>
      </c>
    </row>
    <row r="46">
      <c r="A46" t="inlineStr">
        <is>
          <t>SIMULATED Food Waste Remote Study</t>
        </is>
      </c>
      <c r="B46" t="inlineStr">
        <is>
          <t>RESP0059</t>
        </is>
      </c>
      <c r="C46" t="n">
        <v>21</v>
      </c>
      <c r="D46" t="inlineStr">
        <is>
          <t>M</t>
        </is>
      </c>
      <c r="E46" t="n">
        <v>2</v>
      </c>
      <c r="F46" t="inlineStr">
        <is>
          <t>Visual</t>
        </is>
      </c>
      <c r="G46" t="n">
        <v>0</v>
      </c>
    </row>
    <row r="47">
      <c r="A47" t="inlineStr">
        <is>
          <t>SIMULATED Food Waste Remote Study</t>
        </is>
      </c>
      <c r="B47" t="inlineStr">
        <is>
          <t>RESP0061</t>
        </is>
      </c>
      <c r="C47" t="n">
        <v>23</v>
      </c>
      <c r="D47" t="inlineStr">
        <is>
          <t>M</t>
        </is>
      </c>
      <c r="E47" t="n">
        <v>5</v>
      </c>
      <c r="F47" t="inlineStr">
        <is>
          <t>Visual</t>
        </is>
      </c>
      <c r="G47" t="n">
        <v>4</v>
      </c>
    </row>
    <row r="48">
      <c r="A48" t="inlineStr">
        <is>
          <t>SIMULATED Food Waste Remote Study</t>
        </is>
      </c>
      <c r="B48" t="inlineStr">
        <is>
          <t>RESP0062</t>
        </is>
      </c>
      <c r="C48" t="n">
        <v>19</v>
      </c>
      <c r="D48" t="inlineStr">
        <is>
          <t>M</t>
        </is>
      </c>
      <c r="E48" t="n">
        <v>5</v>
      </c>
      <c r="F48" t="inlineStr">
        <is>
          <t>Narrative</t>
        </is>
      </c>
      <c r="G48" t="n">
        <v>3</v>
      </c>
    </row>
    <row r="49">
      <c r="A49" t="inlineStr">
        <is>
          <t>SIMULATED Food Waste Remote Study</t>
        </is>
      </c>
      <c r="B49" t="inlineStr">
        <is>
          <t>RESP0063</t>
        </is>
      </c>
      <c r="C49" t="n">
        <v>23</v>
      </c>
      <c r="D49" t="inlineStr">
        <is>
          <t>M</t>
        </is>
      </c>
      <c r="E49" t="n">
        <v>6</v>
      </c>
      <c r="F49" t="inlineStr">
        <is>
          <t>Narrative</t>
        </is>
      </c>
      <c r="G49" t="n">
        <v>1</v>
      </c>
    </row>
    <row r="50">
      <c r="A50" t="inlineStr">
        <is>
          <t>SIMULATED Food Waste Remote Study</t>
        </is>
      </c>
      <c r="B50" t="inlineStr">
        <is>
          <t>RESP0064</t>
        </is>
      </c>
      <c r="C50" t="n">
        <v>18</v>
      </c>
      <c r="D50" t="inlineStr">
        <is>
          <t>M</t>
        </is>
      </c>
      <c r="E50" t="n">
        <v>5</v>
      </c>
      <c r="F50" t="inlineStr">
        <is>
          <t>Visual</t>
        </is>
      </c>
      <c r="G50" t="n">
        <v>4</v>
      </c>
    </row>
    <row r="51">
      <c r="A51" t="inlineStr">
        <is>
          <t>SIMULATED Food Waste Remote Study</t>
        </is>
      </c>
      <c r="B51" t="inlineStr">
        <is>
          <t>RESP0065</t>
        </is>
      </c>
      <c r="C51" t="n">
        <v>20</v>
      </c>
      <c r="D51" t="inlineStr">
        <is>
          <t>F</t>
        </is>
      </c>
      <c r="E51" t="n">
        <v>4</v>
      </c>
      <c r="F51" t="inlineStr">
        <is>
          <t>Visual</t>
        </is>
      </c>
      <c r="G51" t="n">
        <v>2</v>
      </c>
    </row>
    <row r="52">
      <c r="A52" t="inlineStr">
        <is>
          <t>SIMULATED Food Waste Remote Study</t>
        </is>
      </c>
      <c r="B52" t="inlineStr">
        <is>
          <t>RESP0066</t>
        </is>
      </c>
      <c r="C52" t="n">
        <v>18</v>
      </c>
      <c r="D52" t="inlineStr">
        <is>
          <t>M</t>
        </is>
      </c>
      <c r="E52" t="n">
        <v>6</v>
      </c>
      <c r="F52" t="inlineStr">
        <is>
          <t>Visual</t>
        </is>
      </c>
      <c r="G52" t="n">
        <v>0</v>
      </c>
    </row>
    <row r="53">
      <c r="A53" t="inlineStr">
        <is>
          <t>SIMULATED Food Waste Remote Study</t>
        </is>
      </c>
      <c r="B53" t="inlineStr">
        <is>
          <t>RESP0067</t>
        </is>
      </c>
      <c r="C53" t="n">
        <v>18</v>
      </c>
      <c r="D53" t="inlineStr">
        <is>
          <t>F</t>
        </is>
      </c>
      <c r="E53" t="n">
        <v>5</v>
      </c>
      <c r="F53" t="inlineStr">
        <is>
          <t>Visual</t>
        </is>
      </c>
      <c r="G53" t="n">
        <v>2</v>
      </c>
    </row>
    <row r="54">
      <c r="A54" t="inlineStr">
        <is>
          <t>SIMULATED Food Waste Remote Study</t>
        </is>
      </c>
      <c r="B54" t="inlineStr">
        <is>
          <t>RESP0069</t>
        </is>
      </c>
      <c r="C54" t="n">
        <v>19</v>
      </c>
      <c r="D54" t="inlineStr">
        <is>
          <t>M</t>
        </is>
      </c>
      <c r="E54" t="n">
        <v>5</v>
      </c>
      <c r="F54" t="inlineStr">
        <is>
          <t>Narrative</t>
        </is>
      </c>
      <c r="G54" t="n">
        <v>3</v>
      </c>
    </row>
    <row r="55">
      <c r="A55" t="inlineStr">
        <is>
          <t>SIMULATED Food Waste Remote Study</t>
        </is>
      </c>
      <c r="B55" t="inlineStr">
        <is>
          <t>RESP0071</t>
        </is>
      </c>
      <c r="C55" t="n">
        <v>33</v>
      </c>
      <c r="D55" t="inlineStr">
        <is>
          <t>M</t>
        </is>
      </c>
      <c r="E55" t="n">
        <v>4</v>
      </c>
      <c r="F55" t="inlineStr">
        <is>
          <t>Visual</t>
        </is>
      </c>
      <c r="G55" t="n">
        <v>2</v>
      </c>
    </row>
    <row r="56">
      <c r="A56" t="inlineStr">
        <is>
          <t>SIMULATED Food Waste Remote Study</t>
        </is>
      </c>
      <c r="B56" t="inlineStr">
        <is>
          <t>RESP0072</t>
        </is>
      </c>
      <c r="C56" t="n">
        <v>20</v>
      </c>
      <c r="D56" t="inlineStr">
        <is>
          <t>F</t>
        </is>
      </c>
      <c r="E56" t="n">
        <v>6</v>
      </c>
      <c r="F56" t="inlineStr">
        <is>
          <t>Narrative</t>
        </is>
      </c>
      <c r="G56" t="n">
        <v>1</v>
      </c>
    </row>
    <row r="57">
      <c r="A57" t="inlineStr">
        <is>
          <t>SIMULATED Food Waste Remote Study</t>
        </is>
      </c>
      <c r="B57" t="inlineStr">
        <is>
          <t>RESP0073</t>
        </is>
      </c>
      <c r="C57" t="n">
        <v>18</v>
      </c>
      <c r="D57" t="inlineStr">
        <is>
          <t>M</t>
        </is>
      </c>
      <c r="E57" t="n">
        <v>5</v>
      </c>
      <c r="F57" t="inlineStr">
        <is>
          <t>Narrative</t>
        </is>
      </c>
      <c r="G57" t="n">
        <v>2</v>
      </c>
    </row>
    <row r="58">
      <c r="A58" t="inlineStr">
        <is>
          <t>SIMULATED Food Waste Remote Study</t>
        </is>
      </c>
      <c r="B58" t="inlineStr">
        <is>
          <t>RESP0074</t>
        </is>
      </c>
      <c r="C58" t="n">
        <v>24</v>
      </c>
      <c r="D58" t="inlineStr">
        <is>
          <t>M</t>
        </is>
      </c>
      <c r="E58" t="n">
        <v>5</v>
      </c>
      <c r="F58" t="inlineStr">
        <is>
          <t>Narrative</t>
        </is>
      </c>
      <c r="G58" t="n">
        <v>1</v>
      </c>
    </row>
    <row r="59">
      <c r="A59" t="inlineStr">
        <is>
          <t>SIMULATED Food Waste Remote Study</t>
        </is>
      </c>
      <c r="B59" t="inlineStr">
        <is>
          <t>RESP0075</t>
        </is>
      </c>
      <c r="C59" t="n">
        <v>40</v>
      </c>
      <c r="D59" t="inlineStr">
        <is>
          <t>F</t>
        </is>
      </c>
      <c r="E59" t="n">
        <v>4</v>
      </c>
      <c r="F59" t="inlineStr">
        <is>
          <t>Visual</t>
        </is>
      </c>
      <c r="G59" t="n">
        <v>4</v>
      </c>
    </row>
    <row r="60">
      <c r="A60" t="inlineStr">
        <is>
          <t>SIMULATED Food Waste Remote Study</t>
        </is>
      </c>
      <c r="B60" t="inlineStr">
        <is>
          <t>RESP0076</t>
        </is>
      </c>
      <c r="C60" t="n">
        <v>19</v>
      </c>
      <c r="D60" t="inlineStr">
        <is>
          <t>F</t>
        </is>
      </c>
      <c r="E60" t="n">
        <v>7</v>
      </c>
      <c r="F60" t="inlineStr">
        <is>
          <t>Visual</t>
        </is>
      </c>
      <c r="G60" t="n">
        <v>0</v>
      </c>
    </row>
    <row r="61">
      <c r="A61" t="inlineStr">
        <is>
          <t>SIMULATED Food Waste Remote Study</t>
        </is>
      </c>
      <c r="B61" t="inlineStr">
        <is>
          <t>RESP0077</t>
        </is>
      </c>
      <c r="C61" t="n">
        <v>54</v>
      </c>
      <c r="D61" t="inlineStr">
        <is>
          <t>F</t>
        </is>
      </c>
      <c r="E61" t="n">
        <v>5</v>
      </c>
      <c r="F61" t="inlineStr">
        <is>
          <t>Narrative</t>
        </is>
      </c>
      <c r="G61" t="n">
        <v>3</v>
      </c>
    </row>
    <row r="62">
      <c r="A62" t="inlineStr">
        <is>
          <t>SIMULATED Food Waste Remote Study</t>
        </is>
      </c>
      <c r="B62" t="inlineStr">
        <is>
          <t>RESP0078</t>
        </is>
      </c>
      <c r="C62" t="n">
        <v>23</v>
      </c>
      <c r="D62" t="inlineStr">
        <is>
          <t>F</t>
        </is>
      </c>
      <c r="E62" t="n">
        <v>4</v>
      </c>
      <c r="F62" t="inlineStr">
        <is>
          <t>Visual</t>
        </is>
      </c>
      <c r="G62" t="n">
        <v>3</v>
      </c>
    </row>
    <row r="63">
      <c r="A63" t="inlineStr">
        <is>
          <t>SIMULATED Food Waste Remote Study</t>
        </is>
      </c>
      <c r="B63" t="inlineStr">
        <is>
          <t>RESP0079</t>
        </is>
      </c>
      <c r="C63" t="n">
        <v>39</v>
      </c>
      <c r="D63" t="inlineStr">
        <is>
          <t>M</t>
        </is>
      </c>
      <c r="E63" t="n">
        <v>5</v>
      </c>
      <c r="F63" t="inlineStr">
        <is>
          <t>Visual</t>
        </is>
      </c>
      <c r="G63" t="n">
        <v>0</v>
      </c>
    </row>
    <row r="64">
      <c r="A64" t="inlineStr">
        <is>
          <t>SIMULATED Food Waste Remote Study</t>
        </is>
      </c>
      <c r="B64" t="inlineStr">
        <is>
          <t>RESP0080</t>
        </is>
      </c>
      <c r="C64" t="n">
        <v>24</v>
      </c>
      <c r="D64" t="inlineStr">
        <is>
          <t>F</t>
        </is>
      </c>
      <c r="E64" t="n">
        <v>6</v>
      </c>
      <c r="F64" t="inlineStr">
        <is>
          <t>Visual</t>
        </is>
      </c>
      <c r="G64" t="n">
        <v>1</v>
      </c>
    </row>
    <row r="65">
      <c r="A65" t="inlineStr">
        <is>
          <t>SIMULATED Food Waste Remote Study</t>
        </is>
      </c>
      <c r="B65" t="inlineStr">
        <is>
          <t>RESP0081</t>
        </is>
      </c>
      <c r="C65" t="n">
        <v>18</v>
      </c>
      <c r="D65" t="inlineStr">
        <is>
          <t>M</t>
        </is>
      </c>
      <c r="E65" t="n">
        <v>6</v>
      </c>
      <c r="F65" t="inlineStr">
        <is>
          <t>Visual</t>
        </is>
      </c>
      <c r="G65" t="n">
        <v>1</v>
      </c>
    </row>
    <row r="66">
      <c r="A66" t="inlineStr">
        <is>
          <t>SIMULATED Food Waste Remote Study</t>
        </is>
      </c>
      <c r="B66" t="inlineStr">
        <is>
          <t>RESP0082</t>
        </is>
      </c>
      <c r="C66" t="n">
        <v>31</v>
      </c>
      <c r="D66" t="inlineStr">
        <is>
          <t>F</t>
        </is>
      </c>
      <c r="E66" t="n">
        <v>4</v>
      </c>
      <c r="F66" t="inlineStr">
        <is>
          <t>Narrative</t>
        </is>
      </c>
      <c r="G66" t="n">
        <v>4</v>
      </c>
    </row>
    <row r="67">
      <c r="A67" t="inlineStr">
        <is>
          <t>SIMULATED Food Waste Remote Study</t>
        </is>
      </c>
      <c r="B67" t="inlineStr">
        <is>
          <t>RESP0084</t>
        </is>
      </c>
      <c r="C67" t="n">
        <v>22</v>
      </c>
      <c r="D67" t="inlineStr">
        <is>
          <t>F</t>
        </is>
      </c>
      <c r="E67" t="n">
        <v>4</v>
      </c>
      <c r="F67" t="inlineStr">
        <is>
          <t>Visual</t>
        </is>
      </c>
      <c r="G67" t="n">
        <v>1</v>
      </c>
    </row>
    <row r="68">
      <c r="A68" t="inlineStr">
        <is>
          <t>SIMULATED Food Waste Remote Study</t>
        </is>
      </c>
      <c r="B68" t="inlineStr">
        <is>
          <t>RESP0085</t>
        </is>
      </c>
      <c r="C68" t="n">
        <v>20</v>
      </c>
      <c r="D68" t="inlineStr">
        <is>
          <t>M</t>
        </is>
      </c>
      <c r="E68" t="n">
        <v>7</v>
      </c>
      <c r="F68" t="inlineStr">
        <is>
          <t>Visual</t>
        </is>
      </c>
      <c r="G68" t="n">
        <v>3</v>
      </c>
    </row>
    <row r="69">
      <c r="A69" t="inlineStr">
        <is>
          <t>SIMULATED Food Waste Remote Study</t>
        </is>
      </c>
      <c r="B69" t="inlineStr">
        <is>
          <t>RESP0088</t>
        </is>
      </c>
      <c r="C69" t="n">
        <v>24</v>
      </c>
      <c r="D69" t="inlineStr">
        <is>
          <t>M</t>
        </is>
      </c>
      <c r="E69" t="n">
        <v>6</v>
      </c>
      <c r="F69" t="inlineStr">
        <is>
          <t>Visual</t>
        </is>
      </c>
      <c r="G69" t="n">
        <v>0</v>
      </c>
    </row>
    <row r="70">
      <c r="A70" t="inlineStr">
        <is>
          <t>SIMULATED Food Waste Remote Study</t>
        </is>
      </c>
      <c r="B70" t="inlineStr">
        <is>
          <t>RESP0090</t>
        </is>
      </c>
      <c r="C70" t="n">
        <v>33</v>
      </c>
      <c r="D70" t="inlineStr">
        <is>
          <t>F</t>
        </is>
      </c>
      <c r="E70" t="n">
        <v>2</v>
      </c>
      <c r="F70" t="inlineStr">
        <is>
          <t>Narrative</t>
        </is>
      </c>
      <c r="G70" t="n">
        <v>3</v>
      </c>
    </row>
    <row r="71">
      <c r="A71" t="inlineStr">
        <is>
          <t>SIMULATED Food Waste Remote Study</t>
        </is>
      </c>
      <c r="B71" t="inlineStr">
        <is>
          <t>RESP0093</t>
        </is>
      </c>
      <c r="C71" t="n">
        <v>19</v>
      </c>
      <c r="D71" t="inlineStr">
        <is>
          <t>M</t>
        </is>
      </c>
      <c r="E71" t="n">
        <v>6</v>
      </c>
      <c r="F71" t="inlineStr">
        <is>
          <t>Visual</t>
        </is>
      </c>
      <c r="G71" t="n">
        <v>4</v>
      </c>
    </row>
    <row r="72">
      <c r="A72" t="inlineStr">
        <is>
          <t>SIMULATED Food Waste Remote Study</t>
        </is>
      </c>
      <c r="B72" t="inlineStr">
        <is>
          <t>RESP0094</t>
        </is>
      </c>
      <c r="C72" t="n">
        <v>33</v>
      </c>
      <c r="D72" t="inlineStr">
        <is>
          <t>F</t>
        </is>
      </c>
      <c r="E72" t="n">
        <v>5</v>
      </c>
      <c r="F72" t="inlineStr">
        <is>
          <t>Visual</t>
        </is>
      </c>
      <c r="G72" t="n">
        <v>4</v>
      </c>
    </row>
    <row r="73">
      <c r="A73" t="inlineStr">
        <is>
          <t>SIMULATED Food Waste Remote Study</t>
        </is>
      </c>
      <c r="B73" t="inlineStr">
        <is>
          <t>RESP0095</t>
        </is>
      </c>
      <c r="C73" t="n">
        <v>18</v>
      </c>
      <c r="D73" t="inlineStr">
        <is>
          <t>F</t>
        </is>
      </c>
      <c r="E73" t="n">
        <v>2</v>
      </c>
      <c r="F73" t="inlineStr">
        <is>
          <t>Visual</t>
        </is>
      </c>
      <c r="G73" t="n">
        <v>1</v>
      </c>
    </row>
    <row r="74">
      <c r="A74" t="inlineStr">
        <is>
          <t>SIMULATED Food Waste Remote Study</t>
        </is>
      </c>
      <c r="B74" t="inlineStr">
        <is>
          <t>RESP0096</t>
        </is>
      </c>
      <c r="C74" t="n">
        <v>18</v>
      </c>
      <c r="D74" t="inlineStr">
        <is>
          <t>M</t>
        </is>
      </c>
      <c r="E74" t="n">
        <v>5</v>
      </c>
      <c r="F74" t="inlineStr">
        <is>
          <t>Narrative</t>
        </is>
      </c>
      <c r="G74" t="n">
        <v>3</v>
      </c>
    </row>
    <row r="75">
      <c r="A75" t="inlineStr">
        <is>
          <t>SIMULATED Food Waste Remote Study</t>
        </is>
      </c>
      <c r="B75" t="inlineStr">
        <is>
          <t>RESP0098</t>
        </is>
      </c>
      <c r="C75" t="n">
        <v>21</v>
      </c>
      <c r="D75" t="inlineStr">
        <is>
          <t>M</t>
        </is>
      </c>
      <c r="E75" t="n">
        <v>4</v>
      </c>
      <c r="F75" t="inlineStr">
        <is>
          <t>Visual</t>
        </is>
      </c>
      <c r="G75" t="n">
        <v>3</v>
      </c>
    </row>
    <row r="76">
      <c r="A76" t="inlineStr">
        <is>
          <t>SIMULATED Food Waste Remote Study</t>
        </is>
      </c>
      <c r="B76" t="inlineStr">
        <is>
          <t>RESP0099</t>
        </is>
      </c>
      <c r="C76" t="n">
        <v>23</v>
      </c>
      <c r="D76" t="inlineStr">
        <is>
          <t>M</t>
        </is>
      </c>
      <c r="E76" t="n">
        <v>4</v>
      </c>
      <c r="F76" t="inlineStr">
        <is>
          <t>Visual</t>
        </is>
      </c>
      <c r="G76" t="n">
        <v>3</v>
      </c>
    </row>
    <row r="77">
      <c r="A77" t="inlineStr">
        <is>
          <t>SIMULATED Food Waste Remote Study</t>
        </is>
      </c>
      <c r="B77" t="inlineStr">
        <is>
          <t>RESP0102</t>
        </is>
      </c>
      <c r="C77" t="n">
        <v>19</v>
      </c>
      <c r="D77" t="inlineStr">
        <is>
          <t>F</t>
        </is>
      </c>
      <c r="E77" t="n">
        <v>5</v>
      </c>
      <c r="F77" t="inlineStr">
        <is>
          <t>Narrative</t>
        </is>
      </c>
      <c r="G77" t="n">
        <v>1</v>
      </c>
    </row>
    <row r="78">
      <c r="A78" t="inlineStr">
        <is>
          <t>SIMULATED Food Waste Remote Study</t>
        </is>
      </c>
      <c r="B78" t="inlineStr">
        <is>
          <t>RESP0108</t>
        </is>
      </c>
      <c r="C78" t="n">
        <v>36</v>
      </c>
      <c r="D78" t="inlineStr">
        <is>
          <t>F</t>
        </is>
      </c>
      <c r="E78" t="n">
        <v>5</v>
      </c>
      <c r="F78" t="inlineStr">
        <is>
          <t>Visual</t>
        </is>
      </c>
      <c r="G78" t="n">
        <v>4</v>
      </c>
    </row>
    <row r="79">
      <c r="A79" t="inlineStr">
        <is>
          <t>SIMULATED Food Waste Remote Study</t>
        </is>
      </c>
      <c r="B79" t="inlineStr">
        <is>
          <t>RESP0109</t>
        </is>
      </c>
      <c r="C79" t="n">
        <v>33</v>
      </c>
      <c r="D79" t="inlineStr">
        <is>
          <t>F</t>
        </is>
      </c>
      <c r="E79" t="n">
        <v>4</v>
      </c>
      <c r="F79" t="inlineStr">
        <is>
          <t>Visual</t>
        </is>
      </c>
      <c r="G79" t="n">
        <v>4</v>
      </c>
    </row>
    <row r="80">
      <c r="A80" t="inlineStr">
        <is>
          <t>SIMULATED Food Waste Remote Study</t>
        </is>
      </c>
      <c r="B80" t="inlineStr">
        <is>
          <t>RESP0111</t>
        </is>
      </c>
      <c r="C80" t="n">
        <v>55</v>
      </c>
      <c r="D80" t="inlineStr">
        <is>
          <t>F</t>
        </is>
      </c>
      <c r="E80" t="n">
        <v>6</v>
      </c>
      <c r="F80" t="inlineStr">
        <is>
          <t>Visual</t>
        </is>
      </c>
      <c r="G80" t="n">
        <v>2</v>
      </c>
    </row>
    <row r="81">
      <c r="A81" t="inlineStr">
        <is>
          <t>SIMULATED Food Waste Remote Study</t>
        </is>
      </c>
      <c r="B81" t="inlineStr">
        <is>
          <t>RESP0112</t>
        </is>
      </c>
      <c r="C81" t="n">
        <v>19</v>
      </c>
      <c r="D81" t="inlineStr">
        <is>
          <t>M</t>
        </is>
      </c>
      <c r="E81" t="n">
        <v>7</v>
      </c>
      <c r="F81" t="inlineStr">
        <is>
          <t>Narrative</t>
        </is>
      </c>
      <c r="G81" t="n">
        <v>2</v>
      </c>
    </row>
    <row r="82">
      <c r="A82" t="inlineStr">
        <is>
          <t>SIMULATED Food Waste Remote Study</t>
        </is>
      </c>
      <c r="B82" t="inlineStr">
        <is>
          <t>RESP0113</t>
        </is>
      </c>
      <c r="C82" t="n">
        <v>44</v>
      </c>
      <c r="D82" t="inlineStr">
        <is>
          <t>F</t>
        </is>
      </c>
      <c r="E82" t="n">
        <v>6</v>
      </c>
      <c r="F82" t="inlineStr">
        <is>
          <t>Visual</t>
        </is>
      </c>
      <c r="G82" t="n">
        <v>3</v>
      </c>
    </row>
    <row r="83">
      <c r="A83" t="inlineStr">
        <is>
          <t>SIMULATED Food Waste Remote Study</t>
        </is>
      </c>
      <c r="B83" t="inlineStr">
        <is>
          <t>RESP0114</t>
        </is>
      </c>
      <c r="C83" t="n">
        <v>33</v>
      </c>
      <c r="D83" t="inlineStr">
        <is>
          <t>M</t>
        </is>
      </c>
      <c r="E83" t="n">
        <v>6</v>
      </c>
      <c r="F83" t="inlineStr">
        <is>
          <t>Narrative</t>
        </is>
      </c>
      <c r="G83" t="n">
        <v>4</v>
      </c>
    </row>
    <row r="84">
      <c r="A84" t="inlineStr">
        <is>
          <t>SIMULATED Food Waste Remote Study</t>
        </is>
      </c>
      <c r="B84" t="inlineStr">
        <is>
          <t>RESP0115</t>
        </is>
      </c>
      <c r="C84" t="n">
        <v>20</v>
      </c>
      <c r="D84" t="inlineStr">
        <is>
          <t>M</t>
        </is>
      </c>
      <c r="E84" t="n">
        <v>4</v>
      </c>
      <c r="F84" t="inlineStr">
        <is>
          <t>Narrative</t>
        </is>
      </c>
      <c r="G84" t="n">
        <v>4</v>
      </c>
    </row>
    <row r="85">
      <c r="A85" t="inlineStr">
        <is>
          <t>SIMULATED Food Waste Remote Study</t>
        </is>
      </c>
      <c r="B85" t="inlineStr">
        <is>
          <t>RESP0117</t>
        </is>
      </c>
      <c r="C85" t="n">
        <v>19</v>
      </c>
      <c r="D85" t="inlineStr">
        <is>
          <t>F</t>
        </is>
      </c>
      <c r="E85" t="n">
        <v>5</v>
      </c>
      <c r="F85" t="inlineStr">
        <is>
          <t>Visual</t>
        </is>
      </c>
      <c r="G85" t="n">
        <v>4</v>
      </c>
    </row>
    <row r="86">
      <c r="A86" t="inlineStr">
        <is>
          <t>SIMULATED Food Waste Remote Study</t>
        </is>
      </c>
      <c r="B86" t="inlineStr">
        <is>
          <t>RESP0118</t>
        </is>
      </c>
      <c r="C86" t="n">
        <v>23</v>
      </c>
      <c r="D86" t="inlineStr">
        <is>
          <t>M</t>
        </is>
      </c>
      <c r="E86" t="n">
        <v>7</v>
      </c>
      <c r="F86" t="inlineStr">
        <is>
          <t>Visual</t>
        </is>
      </c>
      <c r="G86" t="n">
        <v>0</v>
      </c>
    </row>
    <row r="87">
      <c r="A87" t="inlineStr">
        <is>
          <t>SIMULATED Food Waste Remote Study</t>
        </is>
      </c>
      <c r="B87" t="inlineStr">
        <is>
          <t>RESP0120</t>
        </is>
      </c>
      <c r="C87" t="n">
        <v>28</v>
      </c>
      <c r="D87" t="inlineStr">
        <is>
          <t>F</t>
        </is>
      </c>
      <c r="E87" t="n">
        <v>5</v>
      </c>
      <c r="F87" t="inlineStr">
        <is>
          <t>Visual</t>
        </is>
      </c>
      <c r="G87" t="n">
        <v>0</v>
      </c>
    </row>
    <row r="88">
      <c r="A88" t="inlineStr">
        <is>
          <t>SIMULATED Food Waste Remote Study</t>
        </is>
      </c>
      <c r="B88" t="inlineStr">
        <is>
          <t>RESP0122</t>
        </is>
      </c>
      <c r="C88" t="n">
        <v>19</v>
      </c>
      <c r="D88" t="inlineStr">
        <is>
          <t>M</t>
        </is>
      </c>
      <c r="E88" t="n">
        <v>3</v>
      </c>
      <c r="F88" t="inlineStr">
        <is>
          <t>Visual</t>
        </is>
      </c>
      <c r="G88" t="n">
        <v>3</v>
      </c>
    </row>
    <row r="89">
      <c r="A89" t="inlineStr">
        <is>
          <t>SIMULATED Food Waste Remote Study</t>
        </is>
      </c>
      <c r="B89" t="inlineStr">
        <is>
          <t>RESP0123</t>
        </is>
      </c>
      <c r="C89" t="n">
        <v>48</v>
      </c>
      <c r="D89" t="inlineStr">
        <is>
          <t>F</t>
        </is>
      </c>
      <c r="E89" t="n">
        <v>4</v>
      </c>
      <c r="F89" t="inlineStr">
        <is>
          <t>Narrative</t>
        </is>
      </c>
      <c r="G89" t="n">
        <v>1</v>
      </c>
    </row>
    <row r="90">
      <c r="A90" t="inlineStr">
        <is>
          <t>SIMULATED Food Waste Remote Study</t>
        </is>
      </c>
      <c r="B90" t="inlineStr">
        <is>
          <t>RESP0124</t>
        </is>
      </c>
      <c r="C90" t="n">
        <v>24</v>
      </c>
      <c r="D90" t="inlineStr">
        <is>
          <t>M</t>
        </is>
      </c>
      <c r="E90" t="n">
        <v>6</v>
      </c>
      <c r="F90" t="inlineStr">
        <is>
          <t>Narrative</t>
        </is>
      </c>
      <c r="G90" t="n">
        <v>3</v>
      </c>
    </row>
    <row r="91">
      <c r="A91" t="inlineStr">
        <is>
          <t>SIMULATED Food Waste Remote Study</t>
        </is>
      </c>
      <c r="B91" t="inlineStr">
        <is>
          <t>RESP0125</t>
        </is>
      </c>
      <c r="C91" t="n">
        <v>20</v>
      </c>
      <c r="D91" t="inlineStr">
        <is>
          <t>M</t>
        </is>
      </c>
      <c r="E91" t="n">
        <v>5</v>
      </c>
      <c r="F91" t="inlineStr">
        <is>
          <t>Narrative</t>
        </is>
      </c>
      <c r="G91" t="n">
        <v>2</v>
      </c>
    </row>
    <row r="92">
      <c r="A92" t="inlineStr">
        <is>
          <t>SIMULATED Food Waste Remote Study</t>
        </is>
      </c>
      <c r="B92" t="inlineStr">
        <is>
          <t>RESP0129</t>
        </is>
      </c>
      <c r="C92" t="n">
        <v>22</v>
      </c>
      <c r="D92" t="inlineStr">
        <is>
          <t>M</t>
        </is>
      </c>
      <c r="E92" t="n">
        <v>4</v>
      </c>
      <c r="F92" t="inlineStr">
        <is>
          <t>Narrative</t>
        </is>
      </c>
      <c r="G92" t="n">
        <v>0</v>
      </c>
    </row>
    <row r="93">
      <c r="A93" t="inlineStr">
        <is>
          <t>SIMULATED Food Waste Remote Study</t>
        </is>
      </c>
      <c r="B93" t="inlineStr">
        <is>
          <t>RESP0130</t>
        </is>
      </c>
      <c r="C93" t="n">
        <v>22</v>
      </c>
      <c r="D93" t="inlineStr">
        <is>
          <t>F</t>
        </is>
      </c>
      <c r="E93" t="n">
        <v>2</v>
      </c>
      <c r="F93" t="inlineStr">
        <is>
          <t>Narrative</t>
        </is>
      </c>
      <c r="G93" t="n">
        <v>0</v>
      </c>
    </row>
    <row r="94">
      <c r="A94" t="inlineStr">
        <is>
          <t>SIMULATED Food Waste Remote Study</t>
        </is>
      </c>
      <c r="B94" t="inlineStr">
        <is>
          <t>RESP0131</t>
        </is>
      </c>
      <c r="C94" t="n">
        <v>42</v>
      </c>
      <c r="D94" t="inlineStr">
        <is>
          <t>F</t>
        </is>
      </c>
      <c r="E94" t="n">
        <v>6</v>
      </c>
      <c r="F94" t="inlineStr">
        <is>
          <t>Visual</t>
        </is>
      </c>
      <c r="G94" t="n">
        <v>0</v>
      </c>
    </row>
    <row r="95">
      <c r="A95" t="inlineStr">
        <is>
          <t>SIMULATED Food Waste Remote Study</t>
        </is>
      </c>
      <c r="B95" t="inlineStr">
        <is>
          <t>RESP0133</t>
        </is>
      </c>
      <c r="C95" t="n">
        <v>51</v>
      </c>
      <c r="D95" t="inlineStr">
        <is>
          <t>F</t>
        </is>
      </c>
      <c r="E95" t="n">
        <v>7</v>
      </c>
      <c r="F95" t="inlineStr">
        <is>
          <t>Visual</t>
        </is>
      </c>
      <c r="G95" t="n">
        <v>0</v>
      </c>
    </row>
    <row r="96">
      <c r="A96" t="inlineStr">
        <is>
          <t>SIMULATED Food Waste Remote Study</t>
        </is>
      </c>
      <c r="B96" t="inlineStr">
        <is>
          <t>RESP0134</t>
        </is>
      </c>
      <c r="C96" t="n">
        <v>18</v>
      </c>
      <c r="D96" t="inlineStr">
        <is>
          <t>F</t>
        </is>
      </c>
      <c r="E96" t="n">
        <v>7</v>
      </c>
      <c r="F96" t="inlineStr">
        <is>
          <t>Visual</t>
        </is>
      </c>
      <c r="G96" t="n">
        <v>2</v>
      </c>
    </row>
    <row r="97">
      <c r="A97" t="inlineStr">
        <is>
          <t>SIMULATED Food Waste Remote Study</t>
        </is>
      </c>
      <c r="B97" t="inlineStr">
        <is>
          <t>RESP0137</t>
        </is>
      </c>
      <c r="C97" t="n">
        <v>55</v>
      </c>
      <c r="D97" t="inlineStr">
        <is>
          <t>M</t>
        </is>
      </c>
      <c r="E97" t="n">
        <v>6</v>
      </c>
      <c r="F97" t="inlineStr">
        <is>
          <t>Visual</t>
        </is>
      </c>
      <c r="G97" t="n">
        <v>0</v>
      </c>
    </row>
    <row r="98">
      <c r="A98" t="inlineStr">
        <is>
          <t>SIMULATED Food Waste Remote Study</t>
        </is>
      </c>
      <c r="B98" t="inlineStr">
        <is>
          <t>RESP0140</t>
        </is>
      </c>
      <c r="C98" t="n">
        <v>40</v>
      </c>
      <c r="D98" t="inlineStr">
        <is>
          <t>F</t>
        </is>
      </c>
      <c r="E98" t="n">
        <v>7</v>
      </c>
      <c r="F98" t="inlineStr">
        <is>
          <t>Visual</t>
        </is>
      </c>
      <c r="G98" t="n">
        <v>2</v>
      </c>
    </row>
    <row r="99">
      <c r="A99" t="inlineStr">
        <is>
          <t>SIMULATED Food Waste Remote Study</t>
        </is>
      </c>
      <c r="B99" t="inlineStr">
        <is>
          <t>RESP0141</t>
        </is>
      </c>
      <c r="C99" t="n">
        <v>23</v>
      </c>
      <c r="D99" t="inlineStr">
        <is>
          <t>M</t>
        </is>
      </c>
      <c r="E99" t="n">
        <v>4</v>
      </c>
      <c r="F99" t="inlineStr">
        <is>
          <t>Narrative</t>
        </is>
      </c>
      <c r="G99" t="n">
        <v>4</v>
      </c>
    </row>
    <row r="100">
      <c r="A100" t="inlineStr">
        <is>
          <t>SIMULATED Food Waste Remote Study</t>
        </is>
      </c>
      <c r="B100" t="inlineStr">
        <is>
          <t>RESP0142</t>
        </is>
      </c>
      <c r="C100" t="n">
        <v>47</v>
      </c>
      <c r="D100" t="inlineStr">
        <is>
          <t>M</t>
        </is>
      </c>
      <c r="E100" t="n">
        <v>6</v>
      </c>
      <c r="F100" t="inlineStr">
        <is>
          <t>Visual</t>
        </is>
      </c>
      <c r="G100" t="n">
        <v>4</v>
      </c>
    </row>
    <row r="101">
      <c r="A101" t="inlineStr">
        <is>
          <t>SIMULATED Food Waste Remote Study</t>
        </is>
      </c>
      <c r="B101" t="inlineStr">
        <is>
          <t>RESP0143</t>
        </is>
      </c>
      <c r="C101" t="n">
        <v>22</v>
      </c>
      <c r="D101" t="inlineStr">
        <is>
          <t>F</t>
        </is>
      </c>
      <c r="E101" t="n">
        <v>5</v>
      </c>
      <c r="F101" t="inlineStr">
        <is>
          <t>Visual</t>
        </is>
      </c>
      <c r="G101" t="n">
        <v>1</v>
      </c>
    </row>
    <row r="102">
      <c r="A102" t="inlineStr">
        <is>
          <t>SIMULATED Food Waste Remote Study</t>
        </is>
      </c>
      <c r="B102" t="inlineStr">
        <is>
          <t>RESP0144</t>
        </is>
      </c>
      <c r="C102" t="n">
        <v>23</v>
      </c>
      <c r="D102" t="inlineStr">
        <is>
          <t>F</t>
        </is>
      </c>
      <c r="E102" t="n">
        <v>7</v>
      </c>
      <c r="F102" t="inlineStr">
        <is>
          <t>Narrative</t>
        </is>
      </c>
      <c r="G102" t="n">
        <v>3</v>
      </c>
    </row>
    <row r="103">
      <c r="A103" t="inlineStr">
        <is>
          <t>SIMULATED Food Waste Remote Study</t>
        </is>
      </c>
      <c r="B103" t="inlineStr">
        <is>
          <t>RESP0145</t>
        </is>
      </c>
      <c r="C103" t="n">
        <v>21</v>
      </c>
      <c r="D103" t="inlineStr">
        <is>
          <t>M</t>
        </is>
      </c>
      <c r="E103" t="n">
        <v>3</v>
      </c>
      <c r="F103" t="inlineStr">
        <is>
          <t>Narrative</t>
        </is>
      </c>
      <c r="G103" t="n">
        <v>3</v>
      </c>
    </row>
    <row r="104">
      <c r="A104" t="inlineStr">
        <is>
          <t>SIMULATED Food Waste Remote Study</t>
        </is>
      </c>
      <c r="B104" t="inlineStr">
        <is>
          <t>RESP0147</t>
        </is>
      </c>
      <c r="C104" t="n">
        <v>23</v>
      </c>
      <c r="D104" t="inlineStr">
        <is>
          <t>M</t>
        </is>
      </c>
      <c r="E104" t="n">
        <v>6</v>
      </c>
      <c r="F104" t="inlineStr">
        <is>
          <t>Narrative</t>
        </is>
      </c>
      <c r="G104" t="n">
        <v>2</v>
      </c>
    </row>
    <row r="105">
      <c r="A105" t="inlineStr">
        <is>
          <t>SIMULATED Food Waste Remote Study</t>
        </is>
      </c>
      <c r="B105" t="inlineStr">
        <is>
          <t>RESP0149</t>
        </is>
      </c>
      <c r="C105" t="n">
        <v>19</v>
      </c>
      <c r="D105" t="inlineStr">
        <is>
          <t>F</t>
        </is>
      </c>
      <c r="E105" t="n">
        <v>5</v>
      </c>
      <c r="F105" t="inlineStr">
        <is>
          <t>Visual</t>
        </is>
      </c>
      <c r="G105" t="n">
        <v>2</v>
      </c>
    </row>
    <row r="106">
      <c r="A106" t="inlineStr">
        <is>
          <t>SIMULATED Food Waste Remote Study</t>
        </is>
      </c>
      <c r="B106" t="inlineStr">
        <is>
          <t>RESP0150</t>
        </is>
      </c>
      <c r="C106" t="n">
        <v>20</v>
      </c>
      <c r="D106" t="inlineStr">
        <is>
          <t>F</t>
        </is>
      </c>
      <c r="E106" t="n">
        <v>3</v>
      </c>
      <c r="F106" t="inlineStr">
        <is>
          <t>Visual</t>
        </is>
      </c>
      <c r="G106" t="n">
        <v>1</v>
      </c>
    </row>
    <row r="107">
      <c r="A107" t="inlineStr">
        <is>
          <t>SIMULATED Food Waste Remote Study</t>
        </is>
      </c>
      <c r="B107" t="inlineStr">
        <is>
          <t>RESP0151</t>
        </is>
      </c>
      <c r="C107" t="n">
        <v>22</v>
      </c>
      <c r="D107" t="inlineStr">
        <is>
          <t>M</t>
        </is>
      </c>
      <c r="E107" t="n">
        <v>7</v>
      </c>
      <c r="F107" t="inlineStr">
        <is>
          <t>Visual</t>
        </is>
      </c>
      <c r="G107" t="n">
        <v>1</v>
      </c>
    </row>
    <row r="108">
      <c r="A108" t="inlineStr">
        <is>
          <t>SIMULATED Food Waste Remote Study</t>
        </is>
      </c>
      <c r="B108" t="inlineStr">
        <is>
          <t>RESP0154</t>
        </is>
      </c>
      <c r="C108" t="n">
        <v>18</v>
      </c>
      <c r="D108" t="inlineStr">
        <is>
          <t>F</t>
        </is>
      </c>
      <c r="E108" t="n">
        <v>7</v>
      </c>
      <c r="F108" t="inlineStr">
        <is>
          <t>Narrative</t>
        </is>
      </c>
      <c r="G108" t="n">
        <v>0</v>
      </c>
    </row>
    <row r="109">
      <c r="A109" t="inlineStr">
        <is>
          <t>SIMULATED Food Waste Remote Study</t>
        </is>
      </c>
      <c r="B109" t="inlineStr">
        <is>
          <t>RESP0155</t>
        </is>
      </c>
      <c r="C109" t="n">
        <v>23</v>
      </c>
      <c r="D109" t="inlineStr">
        <is>
          <t>M</t>
        </is>
      </c>
      <c r="E109" t="n">
        <v>5</v>
      </c>
      <c r="F109" t="inlineStr">
        <is>
          <t>Narrative</t>
        </is>
      </c>
      <c r="G109" t="n">
        <v>1</v>
      </c>
    </row>
    <row r="110">
      <c r="A110" t="inlineStr">
        <is>
          <t>SIMULATED Food Waste Remote Study</t>
        </is>
      </c>
      <c r="B110" t="inlineStr">
        <is>
          <t>RESP0157</t>
        </is>
      </c>
      <c r="C110" t="n">
        <v>28</v>
      </c>
      <c r="D110" t="inlineStr">
        <is>
          <t>M</t>
        </is>
      </c>
      <c r="E110" t="n">
        <v>6</v>
      </c>
      <c r="F110" t="inlineStr">
        <is>
          <t>Narrative</t>
        </is>
      </c>
      <c r="G110" t="n">
        <v>0</v>
      </c>
    </row>
    <row r="111">
      <c r="A111" t="inlineStr">
        <is>
          <t>SIMULATED Food Waste Remote Study</t>
        </is>
      </c>
      <c r="B111" t="inlineStr">
        <is>
          <t>RESP0161</t>
        </is>
      </c>
      <c r="C111" t="n">
        <v>64</v>
      </c>
      <c r="D111" t="inlineStr">
        <is>
          <t>F</t>
        </is>
      </c>
      <c r="E111" t="n">
        <v>4</v>
      </c>
      <c r="F111" t="inlineStr">
        <is>
          <t>Narrative</t>
        </is>
      </c>
      <c r="G111" t="n">
        <v>1</v>
      </c>
    </row>
    <row r="112">
      <c r="A112" t="inlineStr">
        <is>
          <t>SIMULATED Food Waste Remote Study</t>
        </is>
      </c>
      <c r="B112" t="inlineStr">
        <is>
          <t>RESP0163</t>
        </is>
      </c>
      <c r="C112" t="n">
        <v>24</v>
      </c>
      <c r="D112" t="inlineStr">
        <is>
          <t>F</t>
        </is>
      </c>
      <c r="E112" t="n">
        <v>6</v>
      </c>
      <c r="F112" t="inlineStr">
        <is>
          <t>Visual</t>
        </is>
      </c>
      <c r="G112" t="n">
        <v>3</v>
      </c>
    </row>
    <row r="113">
      <c r="A113" t="inlineStr">
        <is>
          <t>SIMULATED Food Waste Remote Study</t>
        </is>
      </c>
      <c r="B113" t="inlineStr">
        <is>
          <t>RESP0164</t>
        </is>
      </c>
      <c r="C113" t="n">
        <v>55</v>
      </c>
      <c r="D113" t="inlineStr">
        <is>
          <t>F</t>
        </is>
      </c>
      <c r="E113" t="n">
        <v>6</v>
      </c>
      <c r="F113" t="inlineStr">
        <is>
          <t>Visual</t>
        </is>
      </c>
      <c r="G113" t="n">
        <v>4</v>
      </c>
    </row>
    <row r="114">
      <c r="A114" t="inlineStr">
        <is>
          <t>SIMULATED Food Waste Remote Study</t>
        </is>
      </c>
      <c r="B114" t="inlineStr">
        <is>
          <t>RESP0165</t>
        </is>
      </c>
      <c r="C114" t="n">
        <v>44</v>
      </c>
      <c r="D114" t="inlineStr">
        <is>
          <t>F</t>
        </is>
      </c>
      <c r="E114" t="n">
        <v>6</v>
      </c>
      <c r="F114" t="inlineStr">
        <is>
          <t>Visual</t>
        </is>
      </c>
      <c r="G114" t="n">
        <v>1</v>
      </c>
    </row>
    <row r="115">
      <c r="A115" t="inlineStr">
        <is>
          <t>SIMULATED Food Waste Remote Study</t>
        </is>
      </c>
      <c r="B115" t="inlineStr">
        <is>
          <t>RESP0166</t>
        </is>
      </c>
      <c r="C115" t="n">
        <v>52</v>
      </c>
      <c r="D115" t="inlineStr">
        <is>
          <t>F</t>
        </is>
      </c>
      <c r="E115" t="n">
        <v>6</v>
      </c>
      <c r="F115" t="inlineStr">
        <is>
          <t>Narrative</t>
        </is>
      </c>
      <c r="G115" t="n">
        <v>1</v>
      </c>
    </row>
    <row r="116">
      <c r="A116" t="inlineStr">
        <is>
          <t>SIMULATED Food Waste Remote Study</t>
        </is>
      </c>
      <c r="B116" t="inlineStr">
        <is>
          <t>RESP0167</t>
        </is>
      </c>
      <c r="C116" t="n">
        <v>32</v>
      </c>
      <c r="D116" t="inlineStr">
        <is>
          <t>M</t>
        </is>
      </c>
      <c r="E116" t="n">
        <v>2</v>
      </c>
      <c r="F116" t="inlineStr">
        <is>
          <t>Visual</t>
        </is>
      </c>
      <c r="G116" t="n">
        <v>2</v>
      </c>
    </row>
    <row r="117">
      <c r="A117" t="inlineStr">
        <is>
          <t>SIMULATED Food Waste Remote Study</t>
        </is>
      </c>
      <c r="B117" t="inlineStr">
        <is>
          <t>RESP0168</t>
        </is>
      </c>
      <c r="C117" t="n">
        <v>22</v>
      </c>
      <c r="D117" t="inlineStr">
        <is>
          <t>F</t>
        </is>
      </c>
      <c r="E117" t="n">
        <v>4</v>
      </c>
      <c r="F117" t="inlineStr">
        <is>
          <t>Visual</t>
        </is>
      </c>
      <c r="G117" t="n">
        <v>4</v>
      </c>
    </row>
    <row r="118">
      <c r="A118" t="inlineStr">
        <is>
          <t>SIMULATED Food Waste Remote Study</t>
        </is>
      </c>
      <c r="B118" t="inlineStr">
        <is>
          <t>RESP0169</t>
        </is>
      </c>
      <c r="C118" t="n">
        <v>18</v>
      </c>
      <c r="D118" t="inlineStr">
        <is>
          <t>F</t>
        </is>
      </c>
      <c r="E118" t="n">
        <v>6</v>
      </c>
      <c r="F118" t="inlineStr">
        <is>
          <t>Visual</t>
        </is>
      </c>
      <c r="G118" t="n">
        <v>0</v>
      </c>
    </row>
    <row r="119">
      <c r="A119" t="inlineStr">
        <is>
          <t>SIMULATED Food Waste Remote Study</t>
        </is>
      </c>
      <c r="B119" t="inlineStr">
        <is>
          <t>RESP0170</t>
        </is>
      </c>
      <c r="C119" t="n">
        <v>32</v>
      </c>
      <c r="D119" t="inlineStr">
        <is>
          <t>F</t>
        </is>
      </c>
      <c r="E119" t="n">
        <v>4</v>
      </c>
      <c r="F119" t="inlineStr">
        <is>
          <t>Narrative</t>
        </is>
      </c>
      <c r="G119" t="n">
        <v>3</v>
      </c>
    </row>
    <row r="120">
      <c r="A120" t="inlineStr">
        <is>
          <t>SIMULATED Food Waste Remote Study</t>
        </is>
      </c>
      <c r="B120" t="inlineStr">
        <is>
          <t>RESP0173</t>
        </is>
      </c>
      <c r="C120" t="n">
        <v>21</v>
      </c>
      <c r="D120" t="inlineStr">
        <is>
          <t>F</t>
        </is>
      </c>
      <c r="E120" t="n">
        <v>5</v>
      </c>
      <c r="F120" t="inlineStr">
        <is>
          <t>Narrative</t>
        </is>
      </c>
      <c r="G120" t="n">
        <v>4</v>
      </c>
    </row>
    <row r="121">
      <c r="A121" t="inlineStr">
        <is>
          <t>SIMULATED Food Waste Remote Study</t>
        </is>
      </c>
      <c r="B121" t="inlineStr">
        <is>
          <t>RESP0174</t>
        </is>
      </c>
      <c r="C121" t="n">
        <v>23</v>
      </c>
      <c r="D121" t="inlineStr">
        <is>
          <t>F</t>
        </is>
      </c>
      <c r="E121" t="n">
        <v>7</v>
      </c>
      <c r="F121" t="inlineStr">
        <is>
          <t>Visual</t>
        </is>
      </c>
      <c r="G121" t="n">
        <v>3</v>
      </c>
    </row>
    <row r="122">
      <c r="A122" t="inlineStr">
        <is>
          <t>SIMULATED Food Waste Remote Study</t>
        </is>
      </c>
      <c r="B122" t="inlineStr">
        <is>
          <t>RESP0175</t>
        </is>
      </c>
      <c r="C122" t="n">
        <v>22</v>
      </c>
      <c r="D122" t="inlineStr">
        <is>
          <t>M</t>
        </is>
      </c>
      <c r="E122" t="n">
        <v>4</v>
      </c>
      <c r="F122" t="inlineStr">
        <is>
          <t>Narrative</t>
        </is>
      </c>
      <c r="G122" t="n">
        <v>2</v>
      </c>
    </row>
    <row r="123">
      <c r="A123" t="inlineStr">
        <is>
          <t>SIMULATED Food Waste Remote Study</t>
        </is>
      </c>
      <c r="B123" t="inlineStr">
        <is>
          <t>RESP0176</t>
        </is>
      </c>
      <c r="C123" t="n">
        <v>24</v>
      </c>
      <c r="D123" t="inlineStr">
        <is>
          <t>F</t>
        </is>
      </c>
      <c r="E123" t="n">
        <v>6</v>
      </c>
      <c r="F123" t="inlineStr">
        <is>
          <t>Visual</t>
        </is>
      </c>
      <c r="G123" t="n">
        <v>2</v>
      </c>
    </row>
    <row r="124">
      <c r="A124" t="inlineStr">
        <is>
          <t>SIMULATED Food Waste Remote Study</t>
        </is>
      </c>
      <c r="B124" t="inlineStr">
        <is>
          <t>RESP0177</t>
        </is>
      </c>
      <c r="C124" t="n">
        <v>21</v>
      </c>
      <c r="D124" t="inlineStr">
        <is>
          <t>M</t>
        </is>
      </c>
      <c r="E124" t="n">
        <v>5</v>
      </c>
      <c r="F124" t="inlineStr">
        <is>
          <t>Visual</t>
        </is>
      </c>
      <c r="G124" t="n">
        <v>2</v>
      </c>
    </row>
    <row r="125">
      <c r="A125" t="inlineStr">
        <is>
          <t>SIMULATED Food Waste Remote Study</t>
        </is>
      </c>
      <c r="B125" t="inlineStr">
        <is>
          <t>RESP0178</t>
        </is>
      </c>
      <c r="C125" t="n">
        <v>23</v>
      </c>
      <c r="D125" t="inlineStr">
        <is>
          <t>F</t>
        </is>
      </c>
      <c r="E125" t="n">
        <v>7</v>
      </c>
      <c r="F125" t="inlineStr">
        <is>
          <t>Narrative</t>
        </is>
      </c>
      <c r="G125" t="n">
        <v>3</v>
      </c>
    </row>
    <row r="126">
      <c r="A126" t="inlineStr">
        <is>
          <t>SIMULATED Food Waste Remote Study</t>
        </is>
      </c>
      <c r="B126" t="inlineStr">
        <is>
          <t>RESP0179</t>
        </is>
      </c>
      <c r="C126" t="n">
        <v>28</v>
      </c>
      <c r="D126" t="inlineStr">
        <is>
          <t>F</t>
        </is>
      </c>
      <c r="E126" t="n">
        <v>6</v>
      </c>
      <c r="F126" t="inlineStr">
        <is>
          <t>Visual</t>
        </is>
      </c>
      <c r="G126" t="n">
        <v>1</v>
      </c>
    </row>
    <row r="127">
      <c r="A127" t="inlineStr">
        <is>
          <t>SIMULATED Food Waste Remote Study</t>
        </is>
      </c>
      <c r="B127" t="inlineStr">
        <is>
          <t>RESP0180</t>
        </is>
      </c>
      <c r="C127" t="n">
        <v>19</v>
      </c>
      <c r="D127" t="inlineStr">
        <is>
          <t>F</t>
        </is>
      </c>
      <c r="E127" t="n">
        <v>5</v>
      </c>
      <c r="F127" t="inlineStr">
        <is>
          <t>Narrative</t>
        </is>
      </c>
      <c r="G127" t="n">
        <v>0</v>
      </c>
    </row>
    <row r="128">
      <c r="A128" t="inlineStr">
        <is>
          <t>SIMULATED Food Waste Remote Study</t>
        </is>
      </c>
      <c r="B128" t="inlineStr">
        <is>
          <t>RESP0181</t>
        </is>
      </c>
      <c r="C128" t="n">
        <v>24</v>
      </c>
      <c r="D128" t="inlineStr">
        <is>
          <t>F</t>
        </is>
      </c>
      <c r="E128" t="n">
        <v>6</v>
      </c>
      <c r="F128" t="inlineStr">
        <is>
          <t>Narrative</t>
        </is>
      </c>
      <c r="G128" t="n">
        <v>1</v>
      </c>
    </row>
    <row r="129">
      <c r="A129" t="inlineStr">
        <is>
          <t>SIMULATED Food Waste Remote Study</t>
        </is>
      </c>
      <c r="B129" t="inlineStr">
        <is>
          <t>RESP0183</t>
        </is>
      </c>
      <c r="C129" t="n">
        <v>39</v>
      </c>
      <c r="D129" t="inlineStr">
        <is>
          <t>F</t>
        </is>
      </c>
      <c r="E129" t="n">
        <v>3</v>
      </c>
      <c r="F129" t="inlineStr">
        <is>
          <t>Visual</t>
        </is>
      </c>
      <c r="G129" t="n">
        <v>1</v>
      </c>
    </row>
    <row r="130">
      <c r="A130" t="inlineStr">
        <is>
          <t>SIMULATED Food Waste Remote Study</t>
        </is>
      </c>
      <c r="B130" t="inlineStr">
        <is>
          <t>RESP0184</t>
        </is>
      </c>
      <c r="C130" t="n">
        <v>34</v>
      </c>
      <c r="D130" t="inlineStr">
        <is>
          <t>F</t>
        </is>
      </c>
      <c r="E130" t="n">
        <v>7</v>
      </c>
      <c r="F130" t="inlineStr">
        <is>
          <t>Visual</t>
        </is>
      </c>
      <c r="G130" t="n">
        <v>0</v>
      </c>
    </row>
    <row r="131">
      <c r="A131" t="inlineStr">
        <is>
          <t>SIMULATED Food Waste Remote Study</t>
        </is>
      </c>
      <c r="B131" t="inlineStr">
        <is>
          <t>RESP0185</t>
        </is>
      </c>
      <c r="C131" t="n">
        <v>20</v>
      </c>
      <c r="D131" t="inlineStr">
        <is>
          <t>M</t>
        </is>
      </c>
      <c r="E131" t="n">
        <v>4</v>
      </c>
      <c r="F131" t="inlineStr">
        <is>
          <t>Visual</t>
        </is>
      </c>
      <c r="G131" t="n">
        <v>3</v>
      </c>
    </row>
    <row r="132">
      <c r="A132" t="inlineStr">
        <is>
          <t>SIMULATED Food Waste Remote Study</t>
        </is>
      </c>
      <c r="B132" t="inlineStr">
        <is>
          <t>RESP0186</t>
        </is>
      </c>
      <c r="C132" t="n">
        <v>23</v>
      </c>
      <c r="D132" t="inlineStr">
        <is>
          <t>M</t>
        </is>
      </c>
      <c r="E132" t="n">
        <v>6</v>
      </c>
      <c r="F132" t="inlineStr">
        <is>
          <t>Visual</t>
        </is>
      </c>
      <c r="G132" t="n">
        <v>3</v>
      </c>
    </row>
    <row r="133">
      <c r="A133" t="inlineStr">
        <is>
          <t>SIMULATED Food Waste Remote Study</t>
        </is>
      </c>
      <c r="B133" t="inlineStr">
        <is>
          <t>RESP0189</t>
        </is>
      </c>
      <c r="C133" t="n">
        <v>47</v>
      </c>
      <c r="D133" t="inlineStr">
        <is>
          <t>F</t>
        </is>
      </c>
      <c r="E133" t="n">
        <v>3</v>
      </c>
      <c r="F133" t="inlineStr">
        <is>
          <t>Visual</t>
        </is>
      </c>
      <c r="G133" t="n">
        <v>2</v>
      </c>
    </row>
    <row r="134">
      <c r="A134" t="inlineStr">
        <is>
          <t>SIMULATED Food Waste Remote Study</t>
        </is>
      </c>
      <c r="B134" t="inlineStr">
        <is>
          <t>RESP0190</t>
        </is>
      </c>
      <c r="C134" t="n">
        <v>55</v>
      </c>
      <c r="D134" t="inlineStr">
        <is>
          <t>M</t>
        </is>
      </c>
      <c r="E134" t="n">
        <v>5</v>
      </c>
      <c r="F134" t="inlineStr">
        <is>
          <t>Narrative</t>
        </is>
      </c>
      <c r="G134" t="n">
        <v>2</v>
      </c>
    </row>
    <row r="135">
      <c r="A135" t="inlineStr">
        <is>
          <t>SIMULATED Food Waste Remote Study</t>
        </is>
      </c>
      <c r="B135" t="inlineStr">
        <is>
          <t>RESP0191</t>
        </is>
      </c>
      <c r="C135" t="n">
        <v>51</v>
      </c>
      <c r="D135" t="inlineStr">
        <is>
          <t>F</t>
        </is>
      </c>
      <c r="E135" t="n">
        <v>5</v>
      </c>
      <c r="F135" t="inlineStr">
        <is>
          <t>Visual</t>
        </is>
      </c>
      <c r="G135" t="n">
        <v>1</v>
      </c>
    </row>
    <row r="136">
      <c r="A136" t="inlineStr">
        <is>
          <t>SIMULATED Food Waste Remote Study</t>
        </is>
      </c>
      <c r="B136" t="inlineStr">
        <is>
          <t>RESP0193</t>
        </is>
      </c>
      <c r="C136" t="n">
        <v>32</v>
      </c>
      <c r="D136" t="inlineStr">
        <is>
          <t>M</t>
        </is>
      </c>
      <c r="E136" t="n">
        <v>6</v>
      </c>
      <c r="F136" t="inlineStr">
        <is>
          <t>Narrative</t>
        </is>
      </c>
      <c r="G136" t="n">
        <v>2</v>
      </c>
    </row>
    <row r="137">
      <c r="A137" t="inlineStr">
        <is>
          <t>SIMULATED Food Waste Remote Study</t>
        </is>
      </c>
      <c r="B137" t="inlineStr">
        <is>
          <t>RESP0195</t>
        </is>
      </c>
      <c r="C137" t="n">
        <v>19</v>
      </c>
      <c r="D137" t="inlineStr">
        <is>
          <t>M</t>
        </is>
      </c>
      <c r="E137" t="n">
        <v>7</v>
      </c>
      <c r="F137" t="inlineStr">
        <is>
          <t>Visual</t>
        </is>
      </c>
      <c r="G137" t="n">
        <v>3</v>
      </c>
    </row>
    <row r="138">
      <c r="A138" t="inlineStr">
        <is>
          <t>SIMULATED Food Waste Remote Study</t>
        </is>
      </c>
      <c r="B138" t="inlineStr">
        <is>
          <t>RESP0196</t>
        </is>
      </c>
      <c r="C138" t="n">
        <v>56</v>
      </c>
      <c r="D138" t="inlineStr">
        <is>
          <t>F</t>
        </is>
      </c>
      <c r="E138" t="n">
        <v>5</v>
      </c>
      <c r="F138" t="inlineStr">
        <is>
          <t>Visual</t>
        </is>
      </c>
      <c r="G138" t="n">
        <v>4</v>
      </c>
    </row>
    <row r="139">
      <c r="A139" t="inlineStr">
        <is>
          <t>SIMULATED Food Waste Remote Study</t>
        </is>
      </c>
      <c r="B139" t="inlineStr">
        <is>
          <t>RESP0197</t>
        </is>
      </c>
      <c r="C139" t="n">
        <v>61</v>
      </c>
      <c r="D139" t="inlineStr">
        <is>
          <t>M</t>
        </is>
      </c>
      <c r="E139" t="n">
        <v>6</v>
      </c>
      <c r="F139" t="inlineStr">
        <is>
          <t>Visual</t>
        </is>
      </c>
      <c r="G139" t="n">
        <v>2</v>
      </c>
    </row>
    <row r="140">
      <c r="A140" t="inlineStr">
        <is>
          <t>SIMULATED Food Waste Remote Study</t>
        </is>
      </c>
      <c r="B140" t="inlineStr">
        <is>
          <t>RESP0198</t>
        </is>
      </c>
      <c r="C140" t="n">
        <v>22</v>
      </c>
      <c r="D140" t="inlineStr">
        <is>
          <t>M</t>
        </is>
      </c>
      <c r="E140" t="n">
        <v>5</v>
      </c>
      <c r="F140" t="inlineStr">
        <is>
          <t>Visual</t>
        </is>
      </c>
      <c r="G140" t="n">
        <v>1</v>
      </c>
    </row>
    <row r="141">
      <c r="A141" t="inlineStr">
        <is>
          <t>SIMULATED Food Waste Remote Study</t>
        </is>
      </c>
      <c r="B141" t="inlineStr">
        <is>
          <t>RESP0199</t>
        </is>
      </c>
      <c r="C141" t="n">
        <v>64</v>
      </c>
      <c r="D141" t="inlineStr">
        <is>
          <t>M</t>
        </is>
      </c>
      <c r="E141" t="n">
        <v>3</v>
      </c>
      <c r="F141" t="inlineStr">
        <is>
          <t>Narrative</t>
        </is>
      </c>
      <c r="G141" t="n">
        <v>3</v>
      </c>
    </row>
    <row r="142">
      <c r="A142" t="inlineStr">
        <is>
          <t>SIMULATED Food Waste Remote Study</t>
        </is>
      </c>
      <c r="B142" t="inlineStr">
        <is>
          <t>RESP0201</t>
        </is>
      </c>
      <c r="C142" t="n">
        <v>21</v>
      </c>
      <c r="D142" t="inlineStr">
        <is>
          <t>M</t>
        </is>
      </c>
      <c r="E142" t="n">
        <v>5</v>
      </c>
      <c r="F142" t="inlineStr">
        <is>
          <t>Visual</t>
        </is>
      </c>
      <c r="G142" t="n">
        <v>0</v>
      </c>
    </row>
    <row r="143">
      <c r="A143" t="inlineStr">
        <is>
          <t>SIMULATED Food Waste Remote Study</t>
        </is>
      </c>
      <c r="B143" t="inlineStr">
        <is>
          <t>RESP0202</t>
        </is>
      </c>
      <c r="C143" t="n">
        <v>23</v>
      </c>
      <c r="D143" t="inlineStr">
        <is>
          <t>F</t>
        </is>
      </c>
      <c r="E143" t="n">
        <v>6</v>
      </c>
      <c r="F143" t="inlineStr">
        <is>
          <t>Narrative</t>
        </is>
      </c>
      <c r="G143" t="n">
        <v>4</v>
      </c>
    </row>
    <row r="144">
      <c r="A144" t="inlineStr">
        <is>
          <t>SIMULATED Food Waste Remote Study</t>
        </is>
      </c>
      <c r="B144" t="inlineStr">
        <is>
          <t>RESP0203</t>
        </is>
      </c>
      <c r="C144" t="n">
        <v>35</v>
      </c>
      <c r="D144" t="inlineStr">
        <is>
          <t>F</t>
        </is>
      </c>
      <c r="E144" t="n">
        <v>6</v>
      </c>
      <c r="F144" t="inlineStr">
        <is>
          <t>Narrative</t>
        </is>
      </c>
      <c r="G144" t="n">
        <v>1</v>
      </c>
    </row>
    <row r="145">
      <c r="A145" t="inlineStr">
        <is>
          <t>SIMULATED Food Waste Remote Study</t>
        </is>
      </c>
      <c r="B145" t="inlineStr">
        <is>
          <t>RESP0204</t>
        </is>
      </c>
      <c r="C145" t="n">
        <v>41</v>
      </c>
      <c r="D145" t="inlineStr">
        <is>
          <t>M</t>
        </is>
      </c>
      <c r="E145" t="n">
        <v>5</v>
      </c>
      <c r="F145" t="inlineStr">
        <is>
          <t>Narrative</t>
        </is>
      </c>
      <c r="G145" t="n">
        <v>3</v>
      </c>
    </row>
    <row r="146">
      <c r="A146" t="inlineStr">
        <is>
          <t>SIMULATED Food Waste Remote Study</t>
        </is>
      </c>
      <c r="B146" t="inlineStr">
        <is>
          <t>RESP0206</t>
        </is>
      </c>
      <c r="C146" t="n">
        <v>24</v>
      </c>
      <c r="D146" t="inlineStr">
        <is>
          <t>M</t>
        </is>
      </c>
      <c r="E146" t="n">
        <v>6</v>
      </c>
      <c r="F146" t="inlineStr">
        <is>
          <t>Narrative</t>
        </is>
      </c>
      <c r="G146" t="n">
        <v>1</v>
      </c>
    </row>
    <row r="147">
      <c r="A147" t="inlineStr">
        <is>
          <t>SIMULATED Food Waste Remote Study</t>
        </is>
      </c>
      <c r="B147" t="inlineStr">
        <is>
          <t>RESP0207</t>
        </is>
      </c>
      <c r="C147" t="n">
        <v>22</v>
      </c>
      <c r="D147" t="inlineStr">
        <is>
          <t>Prefer not to say</t>
        </is>
      </c>
      <c r="E147" t="n">
        <v>7</v>
      </c>
      <c r="F147" t="inlineStr">
        <is>
          <t>Narrative</t>
        </is>
      </c>
      <c r="G147" t="n">
        <v>1</v>
      </c>
    </row>
    <row r="148">
      <c r="A148" t="inlineStr">
        <is>
          <t>SIMULATED Food Waste Remote Study</t>
        </is>
      </c>
      <c r="B148" t="inlineStr">
        <is>
          <t>RESP0208</t>
        </is>
      </c>
      <c r="C148" t="n">
        <v>24</v>
      </c>
      <c r="D148" t="inlineStr">
        <is>
          <t>M</t>
        </is>
      </c>
      <c r="E148" t="n">
        <v>5</v>
      </c>
      <c r="F148" t="inlineStr">
        <is>
          <t>Visual</t>
        </is>
      </c>
      <c r="G148" t="n">
        <v>4</v>
      </c>
    </row>
    <row r="149">
      <c r="A149" t="inlineStr">
        <is>
          <t>SIMULATED Food Waste Remote Study</t>
        </is>
      </c>
      <c r="B149" t="inlineStr">
        <is>
          <t>RESP0210</t>
        </is>
      </c>
      <c r="C149" t="n">
        <v>22</v>
      </c>
      <c r="D149" t="inlineStr">
        <is>
          <t>F</t>
        </is>
      </c>
      <c r="E149" t="n">
        <v>6</v>
      </c>
      <c r="F149" t="inlineStr">
        <is>
          <t>Narrative</t>
        </is>
      </c>
      <c r="G149" t="n">
        <v>1</v>
      </c>
    </row>
    <row r="150">
      <c r="A150" t="inlineStr">
        <is>
          <t>SIMULATED Food Waste Remote Study</t>
        </is>
      </c>
      <c r="B150" t="inlineStr">
        <is>
          <t>RESP0211</t>
        </is>
      </c>
      <c r="C150" t="n">
        <v>24</v>
      </c>
      <c r="D150" t="inlineStr">
        <is>
          <t>M</t>
        </is>
      </c>
      <c r="E150" t="n">
        <v>5</v>
      </c>
      <c r="F150" t="inlineStr">
        <is>
          <t>Visual</t>
        </is>
      </c>
      <c r="G150" t="n">
        <v>3</v>
      </c>
    </row>
    <row r="151">
      <c r="A151" t="inlineStr">
        <is>
          <t>SIMULATED Food Waste Remote Study</t>
        </is>
      </c>
      <c r="B151" t="inlineStr">
        <is>
          <t>RESP0212</t>
        </is>
      </c>
      <c r="C151" t="n">
        <v>20</v>
      </c>
      <c r="D151" t="inlineStr">
        <is>
          <t>F</t>
        </is>
      </c>
      <c r="E151" t="n">
        <v>7</v>
      </c>
      <c r="F151" t="inlineStr">
        <is>
          <t>Visual</t>
        </is>
      </c>
      <c r="G151" t="n">
        <v>3</v>
      </c>
    </row>
    <row r="152">
      <c r="A152" t="inlineStr">
        <is>
          <t>SIMULATED Food Waste Remote Study</t>
        </is>
      </c>
      <c r="B152" t="inlineStr">
        <is>
          <t>RESP0214</t>
        </is>
      </c>
      <c r="C152" t="n">
        <v>20</v>
      </c>
      <c r="D152" t="inlineStr">
        <is>
          <t>F</t>
        </is>
      </c>
      <c r="E152" t="n">
        <v>4</v>
      </c>
      <c r="F152" t="inlineStr">
        <is>
          <t>Visual</t>
        </is>
      </c>
      <c r="G152" t="n">
        <v>3</v>
      </c>
    </row>
    <row r="153">
      <c r="A153" t="inlineStr">
        <is>
          <t>SIMULATED Food Waste Remote Study</t>
        </is>
      </c>
      <c r="B153" t="inlineStr">
        <is>
          <t>RESP0218</t>
        </is>
      </c>
      <c r="C153" t="n">
        <v>20</v>
      </c>
      <c r="D153" t="inlineStr">
        <is>
          <t>F</t>
        </is>
      </c>
      <c r="E153" t="n">
        <v>6</v>
      </c>
      <c r="F153" t="inlineStr">
        <is>
          <t>Narrative</t>
        </is>
      </c>
      <c r="G153" t="n">
        <v>4</v>
      </c>
    </row>
    <row r="154">
      <c r="A154" t="inlineStr">
        <is>
          <t>SIMULATED Food Waste Remote Study</t>
        </is>
      </c>
      <c r="B154" t="inlineStr">
        <is>
          <t>RESP0219</t>
        </is>
      </c>
      <c r="C154" t="n">
        <v>19</v>
      </c>
      <c r="D154" t="inlineStr">
        <is>
          <t>F</t>
        </is>
      </c>
      <c r="E154" t="n">
        <v>6</v>
      </c>
      <c r="F154" t="inlineStr">
        <is>
          <t>Visual</t>
        </is>
      </c>
      <c r="G154" t="n">
        <v>4</v>
      </c>
    </row>
    <row r="155">
      <c r="A155" t="inlineStr">
        <is>
          <t>SIMULATED Food Waste Remote Study</t>
        </is>
      </c>
      <c r="B155" t="inlineStr">
        <is>
          <t>RESP0222</t>
        </is>
      </c>
      <c r="C155" t="n">
        <v>24</v>
      </c>
      <c r="D155" t="inlineStr">
        <is>
          <t>F</t>
        </is>
      </c>
      <c r="E155" t="n">
        <v>6</v>
      </c>
      <c r="F155" t="inlineStr">
        <is>
          <t>Visual</t>
        </is>
      </c>
      <c r="G155" t="n">
        <v>4</v>
      </c>
    </row>
    <row r="156">
      <c r="A156" t="inlineStr">
        <is>
          <t>SIMULATED Food Waste Remote Study</t>
        </is>
      </c>
      <c r="B156" t="inlineStr">
        <is>
          <t>RESP0223</t>
        </is>
      </c>
      <c r="C156" t="n">
        <v>23</v>
      </c>
      <c r="D156" t="inlineStr">
        <is>
          <t>F</t>
        </is>
      </c>
      <c r="E156" t="n">
        <v>6</v>
      </c>
      <c r="F156" t="inlineStr">
        <is>
          <t>Narrative</t>
        </is>
      </c>
      <c r="G156" t="n">
        <v>3</v>
      </c>
    </row>
    <row r="157">
      <c r="A157" t="inlineStr">
        <is>
          <t>SIMULATED Food Waste Remote Study</t>
        </is>
      </c>
      <c r="B157" t="inlineStr">
        <is>
          <t>RESP0224</t>
        </is>
      </c>
      <c r="C157" t="n">
        <v>42</v>
      </c>
      <c r="D157" t="inlineStr">
        <is>
          <t>F</t>
        </is>
      </c>
      <c r="E157" t="n">
        <v>7</v>
      </c>
      <c r="F157" t="inlineStr">
        <is>
          <t>Narrative</t>
        </is>
      </c>
      <c r="G157" t="n">
        <v>0</v>
      </c>
    </row>
    <row r="158">
      <c r="A158" t="inlineStr">
        <is>
          <t>SIMULATED Food Waste Remote Study</t>
        </is>
      </c>
      <c r="B158" t="inlineStr">
        <is>
          <t>RESP0226</t>
        </is>
      </c>
      <c r="C158" t="n">
        <v>34</v>
      </c>
      <c r="D158" t="inlineStr">
        <is>
          <t>F</t>
        </is>
      </c>
      <c r="E158" t="n">
        <v>4</v>
      </c>
      <c r="F158" t="inlineStr">
        <is>
          <t>Visual</t>
        </is>
      </c>
      <c r="G158" t="n">
        <v>3</v>
      </c>
    </row>
    <row r="159">
      <c r="A159" t="inlineStr">
        <is>
          <t>SIMULATED Food Waste Remote Study</t>
        </is>
      </c>
      <c r="B159" t="inlineStr">
        <is>
          <t>RESP0227</t>
        </is>
      </c>
      <c r="C159" t="n">
        <v>23</v>
      </c>
      <c r="D159" t="inlineStr">
        <is>
          <t>F</t>
        </is>
      </c>
      <c r="E159" t="n">
        <v>7</v>
      </c>
      <c r="F159" t="inlineStr">
        <is>
          <t>Visual</t>
        </is>
      </c>
      <c r="G159" t="n">
        <v>2</v>
      </c>
    </row>
    <row r="160">
      <c r="A160" t="inlineStr">
        <is>
          <t>SIMULATED Food Waste Remote Study</t>
        </is>
      </c>
      <c r="B160" t="inlineStr">
        <is>
          <t>RESP0228</t>
        </is>
      </c>
      <c r="C160" t="n">
        <v>18</v>
      </c>
      <c r="D160" t="inlineStr">
        <is>
          <t>F</t>
        </is>
      </c>
      <c r="E160" t="n">
        <v>3</v>
      </c>
      <c r="F160" t="inlineStr">
        <is>
          <t>Narrative</t>
        </is>
      </c>
      <c r="G160" t="n">
        <v>1</v>
      </c>
    </row>
    <row r="161">
      <c r="A161" t="inlineStr">
        <is>
          <t>SIMULATED Food Waste Remote Study</t>
        </is>
      </c>
      <c r="B161" t="inlineStr">
        <is>
          <t>RESP0229</t>
        </is>
      </c>
      <c r="C161" t="n">
        <v>64</v>
      </c>
      <c r="D161" t="inlineStr">
        <is>
          <t>F</t>
        </is>
      </c>
      <c r="E161" t="n">
        <v>6</v>
      </c>
      <c r="F161" t="inlineStr">
        <is>
          <t>Visual</t>
        </is>
      </c>
      <c r="G161" t="n">
        <v>1</v>
      </c>
    </row>
    <row r="162">
      <c r="A162" t="inlineStr">
        <is>
          <t>SIMULATED Food Waste Remote Study</t>
        </is>
      </c>
      <c r="B162" t="inlineStr">
        <is>
          <t>RESP0234</t>
        </is>
      </c>
      <c r="C162" t="n">
        <v>22</v>
      </c>
      <c r="D162" t="inlineStr">
        <is>
          <t>F</t>
        </is>
      </c>
      <c r="E162" t="n">
        <v>6</v>
      </c>
      <c r="F162" t="inlineStr">
        <is>
          <t>Narrative</t>
        </is>
      </c>
      <c r="G162" t="n">
        <v>3</v>
      </c>
    </row>
    <row r="163">
      <c r="A163" t="inlineStr">
        <is>
          <t>SIMULATED Food Waste Remote Study</t>
        </is>
      </c>
      <c r="B163" t="inlineStr">
        <is>
          <t>RESP0236</t>
        </is>
      </c>
      <c r="C163" t="n">
        <v>18</v>
      </c>
      <c r="D163" t="inlineStr">
        <is>
          <t>F</t>
        </is>
      </c>
      <c r="E163" t="n">
        <v>7</v>
      </c>
      <c r="F163" t="inlineStr">
        <is>
          <t>Visual</t>
        </is>
      </c>
      <c r="G163" t="n">
        <v>2</v>
      </c>
    </row>
    <row r="164">
      <c r="A164" t="inlineStr">
        <is>
          <t>SIMULATED Food Waste Remote Study</t>
        </is>
      </c>
      <c r="B164" t="inlineStr">
        <is>
          <t>RESP0237</t>
        </is>
      </c>
      <c r="C164" t="n">
        <v>19</v>
      </c>
      <c r="D164" t="inlineStr">
        <is>
          <t>F</t>
        </is>
      </c>
      <c r="E164" t="n">
        <v>6</v>
      </c>
      <c r="F164" t="inlineStr">
        <is>
          <t>Narrative</t>
        </is>
      </c>
      <c r="G164" t="n">
        <v>1</v>
      </c>
    </row>
    <row r="165">
      <c r="A165" t="inlineStr">
        <is>
          <t>SIMULATED Food Waste Remote Study</t>
        </is>
      </c>
      <c r="B165" t="inlineStr">
        <is>
          <t>RESP0238</t>
        </is>
      </c>
      <c r="C165" t="n">
        <v>32</v>
      </c>
      <c r="D165" t="inlineStr">
        <is>
          <t>M</t>
        </is>
      </c>
      <c r="E165" t="n">
        <v>4</v>
      </c>
      <c r="F165" t="inlineStr">
        <is>
          <t>Visual</t>
        </is>
      </c>
      <c r="G165" t="n">
        <v>3</v>
      </c>
    </row>
    <row r="166">
      <c r="A166" t="inlineStr">
        <is>
          <t>SIMULATED Food Waste Remote Study</t>
        </is>
      </c>
      <c r="B166" t="inlineStr">
        <is>
          <t>RESP0240</t>
        </is>
      </c>
      <c r="C166" t="n">
        <v>38</v>
      </c>
      <c r="D166" t="inlineStr">
        <is>
          <t>M</t>
        </is>
      </c>
      <c r="E166" t="n">
        <v>4</v>
      </c>
      <c r="F166" t="inlineStr">
        <is>
          <t>Narrative</t>
        </is>
      </c>
      <c r="G166" t="n">
        <v>1</v>
      </c>
    </row>
    <row r="167">
      <c r="A167" t="inlineStr">
        <is>
          <t>SIMULATED Food Waste Remote Study</t>
        </is>
      </c>
      <c r="B167" t="inlineStr">
        <is>
          <t>RESP0243</t>
        </is>
      </c>
      <c r="C167" t="n">
        <v>20</v>
      </c>
      <c r="D167" t="inlineStr">
        <is>
          <t>M</t>
        </is>
      </c>
      <c r="E167" t="n">
        <v>6</v>
      </c>
      <c r="F167" t="inlineStr">
        <is>
          <t>Visual</t>
        </is>
      </c>
      <c r="G167" t="n">
        <v>0</v>
      </c>
    </row>
    <row r="168">
      <c r="A168" t="inlineStr">
        <is>
          <t>SIMULATED Food Waste Remote Study</t>
        </is>
      </c>
      <c r="B168" t="inlineStr">
        <is>
          <t>RESP0245</t>
        </is>
      </c>
      <c r="C168" t="n">
        <v>20</v>
      </c>
      <c r="D168" t="inlineStr">
        <is>
          <t>M</t>
        </is>
      </c>
      <c r="E168" t="n">
        <v>6</v>
      </c>
      <c r="F168" t="inlineStr">
        <is>
          <t>Visual</t>
        </is>
      </c>
      <c r="G168" t="n">
        <v>4</v>
      </c>
    </row>
    <row r="169">
      <c r="A169" t="inlineStr">
        <is>
          <t>SIMULATED Food Waste Remote Study</t>
        </is>
      </c>
      <c r="B169" t="inlineStr">
        <is>
          <t>RESP0247</t>
        </is>
      </c>
      <c r="C169" t="n">
        <v>42</v>
      </c>
      <c r="D169" t="inlineStr">
        <is>
          <t>F</t>
        </is>
      </c>
      <c r="E169" t="n">
        <v>4</v>
      </c>
      <c r="F169" t="inlineStr">
        <is>
          <t>Visual</t>
        </is>
      </c>
      <c r="G169" t="n">
        <v>1</v>
      </c>
    </row>
    <row r="170">
      <c r="A170" t="inlineStr">
        <is>
          <t>SIMULATED Food Waste Remote Study</t>
        </is>
      </c>
      <c r="B170" t="inlineStr">
        <is>
          <t>RESP0248</t>
        </is>
      </c>
      <c r="C170" t="n">
        <v>24</v>
      </c>
      <c r="D170" t="inlineStr">
        <is>
          <t>F</t>
        </is>
      </c>
      <c r="E170" t="n">
        <v>5</v>
      </c>
      <c r="F170" t="inlineStr">
        <is>
          <t>Narrative</t>
        </is>
      </c>
      <c r="G170" t="n">
        <v>2</v>
      </c>
    </row>
    <row r="171">
      <c r="A171" t="inlineStr">
        <is>
          <t>SIMULATED Food Waste Remote Study</t>
        </is>
      </c>
      <c r="B171" t="inlineStr">
        <is>
          <t>RESP0249</t>
        </is>
      </c>
      <c r="C171" t="n">
        <v>19</v>
      </c>
      <c r="D171" t="inlineStr">
        <is>
          <t>F</t>
        </is>
      </c>
      <c r="E171" t="n">
        <v>4</v>
      </c>
      <c r="F171" t="inlineStr">
        <is>
          <t>Narrative</t>
        </is>
      </c>
      <c r="G171" t="n">
        <v>2</v>
      </c>
    </row>
    <row r="172">
      <c r="A172" t="inlineStr">
        <is>
          <t>SIMULATED Food Waste Remote Study</t>
        </is>
      </c>
      <c r="B172" t="inlineStr">
        <is>
          <t>RESP0251</t>
        </is>
      </c>
      <c r="C172" t="n">
        <v>35</v>
      </c>
      <c r="D172" t="inlineStr">
        <is>
          <t>F</t>
        </is>
      </c>
      <c r="E172" t="n">
        <v>5</v>
      </c>
      <c r="F172" t="inlineStr">
        <is>
          <t>Visual</t>
        </is>
      </c>
      <c r="G172" t="n">
        <v>3</v>
      </c>
    </row>
    <row r="173">
      <c r="A173" t="inlineStr">
        <is>
          <t>SIMULATED Food Waste Remote Study</t>
        </is>
      </c>
      <c r="B173" t="inlineStr">
        <is>
          <t>RESP0252</t>
        </is>
      </c>
      <c r="C173" t="n">
        <v>46</v>
      </c>
      <c r="D173" t="inlineStr">
        <is>
          <t>F</t>
        </is>
      </c>
      <c r="E173" t="n">
        <v>5</v>
      </c>
      <c r="F173" t="inlineStr">
        <is>
          <t>Visual</t>
        </is>
      </c>
      <c r="G173" t="n">
        <v>0</v>
      </c>
    </row>
    <row r="174">
      <c r="A174" t="inlineStr">
        <is>
          <t>SIMULATED Food Waste Remote Study</t>
        </is>
      </c>
      <c r="B174" t="inlineStr">
        <is>
          <t>RESP0253</t>
        </is>
      </c>
      <c r="C174" t="n">
        <v>29</v>
      </c>
      <c r="D174" t="inlineStr">
        <is>
          <t>Prefer not to say</t>
        </is>
      </c>
      <c r="E174" t="n">
        <v>5</v>
      </c>
      <c r="F174" t="inlineStr">
        <is>
          <t>Visual</t>
        </is>
      </c>
      <c r="G174" t="n">
        <v>1</v>
      </c>
    </row>
    <row r="175">
      <c r="A175" t="inlineStr">
        <is>
          <t>SIMULATED Food Waste Remote Study</t>
        </is>
      </c>
      <c r="B175" t="inlineStr">
        <is>
          <t>RESP0254</t>
        </is>
      </c>
      <c r="C175" t="n">
        <v>31</v>
      </c>
      <c r="D175" t="inlineStr">
        <is>
          <t>F</t>
        </is>
      </c>
      <c r="E175" t="n">
        <v>4</v>
      </c>
      <c r="F175" t="inlineStr">
        <is>
          <t>Narrative</t>
        </is>
      </c>
      <c r="G175" t="n">
        <v>4</v>
      </c>
    </row>
    <row r="176">
      <c r="A176" t="inlineStr">
        <is>
          <t>SIMULATED Food Waste Remote Study</t>
        </is>
      </c>
      <c r="B176" t="inlineStr">
        <is>
          <t>RESP0255</t>
        </is>
      </c>
      <c r="C176" t="n">
        <v>18</v>
      </c>
      <c r="D176" t="inlineStr">
        <is>
          <t>F</t>
        </is>
      </c>
      <c r="E176" t="n">
        <v>7</v>
      </c>
      <c r="F176" t="inlineStr">
        <is>
          <t>Visual</t>
        </is>
      </c>
      <c r="G176" t="n">
        <v>1</v>
      </c>
    </row>
    <row r="177">
      <c r="A177" t="inlineStr">
        <is>
          <t>SIMULATED Food Waste Remote Study</t>
        </is>
      </c>
      <c r="B177" t="inlineStr">
        <is>
          <t>RESP0256</t>
        </is>
      </c>
      <c r="C177" t="n">
        <v>50</v>
      </c>
      <c r="D177" t="inlineStr">
        <is>
          <t>M</t>
        </is>
      </c>
      <c r="E177" t="n">
        <v>7</v>
      </c>
      <c r="F177" t="inlineStr">
        <is>
          <t>Narrative</t>
        </is>
      </c>
      <c r="G177" t="n">
        <v>2</v>
      </c>
    </row>
    <row r="178">
      <c r="A178" t="inlineStr">
        <is>
          <t>SIMULATED Food Waste Remote Study</t>
        </is>
      </c>
      <c r="B178" t="inlineStr">
        <is>
          <t>RESP0258</t>
        </is>
      </c>
      <c r="C178" t="n">
        <v>34</v>
      </c>
      <c r="D178" t="inlineStr">
        <is>
          <t>F</t>
        </is>
      </c>
      <c r="E178" t="n">
        <v>3</v>
      </c>
      <c r="F178" t="inlineStr">
        <is>
          <t>Visual</t>
        </is>
      </c>
      <c r="G178" t="n">
        <v>4</v>
      </c>
    </row>
    <row r="179">
      <c r="A179" t="inlineStr">
        <is>
          <t>SIMULATED Food Waste Remote Study</t>
        </is>
      </c>
      <c r="B179" t="inlineStr">
        <is>
          <t>RESP0260</t>
        </is>
      </c>
      <c r="C179" t="n">
        <v>20</v>
      </c>
      <c r="D179" t="inlineStr">
        <is>
          <t>F</t>
        </is>
      </c>
      <c r="E179" t="n">
        <v>6</v>
      </c>
      <c r="F179" t="inlineStr">
        <is>
          <t>Narrative</t>
        </is>
      </c>
      <c r="G179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3" customWidth="1" min="10" max="10"/>
    <col width="52" customWidth="1" min="11" max="11"/>
    <col width="12" customWidth="1" min="12" max="12"/>
    <col width="60" customWidth="1" min="13" max="13"/>
    <col width="48" customWidth="1" min="14" max="14"/>
  </cols>
  <sheetData>
    <row r="1">
      <c r="A1" s="5" t="inlineStr">
        <is>
          <t>The respondent funnel, rebuilt from the session data (one row per session that opened a link). SIMULATED data.</t>
        </is>
      </c>
    </row>
    <row r="2">
      <c r="A2" s="6" t="inlineStr">
        <is>
          <t>Entered = sessions whose last step is this step or a later one (Step number on the Session sheet; 11 = completed). Stopped here = sessions that ended at this step. Step names are those of the iMotions Respondent funnel.</t>
        </is>
      </c>
    </row>
    <row r="4">
      <c r="A4" s="2" t="inlineStr">
        <is>
          <t>Step</t>
        </is>
      </c>
      <c r="B4" s="2" t="inlineStr">
        <is>
          <t>Step name</t>
        </is>
      </c>
      <c r="C4" s="2" t="inlineStr">
        <is>
          <t>Entered</t>
        </is>
      </c>
      <c r="D4" s="2" t="inlineStr">
        <is>
          <t>Stopped here</t>
        </is>
      </c>
      <c r="E4" s="2" t="inlineStr">
        <is>
          <t>Continued</t>
        </is>
      </c>
      <c r="F4" s="2" t="inlineStr">
        <is>
          <t>Percent of opened</t>
        </is>
      </c>
      <c r="G4" s="2" t="inlineStr">
        <is>
          <t>Percent of previous step</t>
        </is>
      </c>
    </row>
    <row r="5">
      <c r="A5" t="n">
        <v>1</v>
      </c>
      <c r="B5" t="inlineStr">
        <is>
          <t>STEP 1 Testing upload</t>
        </is>
      </c>
      <c r="C5" s="7">
        <f>COUNTIF(Session!$K$2:$K$261,"&gt;="&amp;A5)</f>
        <v/>
      </c>
      <c r="D5" s="7">
        <f>COUNTIF(Session!$K$2:$K$261,A5)</f>
        <v/>
      </c>
      <c r="E5" s="7">
        <f>C5-D5</f>
        <v/>
      </c>
      <c r="F5" s="8">
        <f>100*C5/COUNTA(Session!$A$2:$A$261)</f>
        <v/>
      </c>
      <c r="G5" s="8">
        <f>100*C5/COUNTA(Session!$A$2:$A$261)</f>
        <v/>
      </c>
    </row>
    <row r="6">
      <c r="A6" t="n">
        <v>2</v>
      </c>
      <c r="B6" t="inlineStr">
        <is>
          <t>STEP 2 Consent screen</t>
        </is>
      </c>
      <c r="C6" s="7">
        <f>COUNTIF(Session!$K$2:$K$261,"&gt;="&amp;A6)</f>
        <v/>
      </c>
      <c r="D6" s="7">
        <f>COUNTIF(Session!$K$2:$K$261,A6)</f>
        <v/>
      </c>
      <c r="E6" s="7">
        <f>C6-D6</f>
        <v/>
      </c>
      <c r="F6" s="8">
        <f>100*C6/COUNTA(Session!$A$2:$A$261)</f>
        <v/>
      </c>
      <c r="G6" s="8">
        <f>100*C6/C5</f>
        <v/>
      </c>
    </row>
    <row r="7">
      <c r="A7" t="n">
        <v>3</v>
      </c>
      <c r="B7" t="inlineStr">
        <is>
          <t>STEP 3 Screen recording setup</t>
        </is>
      </c>
      <c r="C7" s="7">
        <f>COUNTIF(Session!$K$2:$K$261,"&gt;="&amp;A7)</f>
        <v/>
      </c>
      <c r="D7" s="7">
        <f>COUNTIF(Session!$K$2:$K$261,A7)</f>
        <v/>
      </c>
      <c r="E7" s="7">
        <f>C7-D7</f>
        <v/>
      </c>
      <c r="F7" s="8">
        <f>100*C7/COUNTA(Session!$A$2:$A$261)</f>
        <v/>
      </c>
      <c r="G7" s="8">
        <f>100*C7/C6</f>
        <v/>
      </c>
    </row>
    <row r="8">
      <c r="A8" t="n">
        <v>4</v>
      </c>
      <c r="B8" t="inlineStr">
        <is>
          <t>STEP 4 Respondent camera setup</t>
        </is>
      </c>
      <c r="C8" s="7">
        <f>COUNTIF(Session!$K$2:$K$261,"&gt;="&amp;A8)</f>
        <v/>
      </c>
      <c r="D8" s="7">
        <f>COUNTIF(Session!$K$2:$K$261,A8)</f>
        <v/>
      </c>
      <c r="E8" s="7">
        <f>C8-D8</f>
        <v/>
      </c>
      <c r="F8" s="8">
        <f>100*C8/COUNTA(Session!$A$2:$A$261)</f>
        <v/>
      </c>
      <c r="G8" s="8">
        <f>100*C8/C7</f>
        <v/>
      </c>
    </row>
    <row r="9">
      <c r="A9" t="n">
        <v>5</v>
      </c>
      <c r="B9" t="inlineStr">
        <is>
          <t>STEP 5 Screen size</t>
        </is>
      </c>
      <c r="C9" s="7">
        <f>COUNTIF(Session!$K$2:$K$261,"&gt;="&amp;A9)</f>
        <v/>
      </c>
      <c r="D9" s="7">
        <f>COUNTIF(Session!$K$2:$K$261,A9)</f>
        <v/>
      </c>
      <c r="E9" s="7">
        <f>C9-D9</f>
        <v/>
      </c>
      <c r="F9" s="8">
        <f>100*C9/COUNTA(Session!$A$2:$A$261)</f>
        <v/>
      </c>
      <c r="G9" s="8">
        <f>100*C9/C8</f>
        <v/>
      </c>
    </row>
    <row r="10">
      <c r="A10" t="n">
        <v>6</v>
      </c>
      <c r="B10" t="inlineStr">
        <is>
          <t>STEP 6 Enter fullscreen</t>
        </is>
      </c>
      <c r="C10" s="7">
        <f>COUNTIF(Session!$K$2:$K$261,"&gt;="&amp;A10)</f>
        <v/>
      </c>
      <c r="D10" s="7">
        <f>COUNTIF(Session!$K$2:$K$261,A10)</f>
        <v/>
      </c>
      <c r="E10" s="7">
        <f>C10-D10</f>
        <v/>
      </c>
      <c r="F10" s="8">
        <f>100*C10/COUNTA(Session!$A$2:$A$261)</f>
        <v/>
      </c>
      <c r="G10" s="8">
        <f>100*C10/C9</f>
        <v/>
      </c>
    </row>
    <row r="11">
      <c r="A11" t="n">
        <v>7</v>
      </c>
      <c r="B11" t="inlineStr">
        <is>
          <t>STEP 7 Prepare positioning</t>
        </is>
      </c>
      <c r="C11" s="7">
        <f>COUNTIF(Session!$K$2:$K$261,"&gt;="&amp;A11)</f>
        <v/>
      </c>
      <c r="D11" s="7">
        <f>COUNTIF(Session!$K$2:$K$261,A11)</f>
        <v/>
      </c>
      <c r="E11" s="7">
        <f>C11-D11</f>
        <v/>
      </c>
      <c r="F11" s="8">
        <f>100*C11/COUNTA(Session!$A$2:$A$261)</f>
        <v/>
      </c>
      <c r="G11" s="8">
        <f>100*C11/C10</f>
        <v/>
      </c>
    </row>
    <row r="12">
      <c r="A12" t="n">
        <v>8</v>
      </c>
      <c r="B12" t="inlineStr">
        <is>
          <t>STEP 8 Positioning check</t>
        </is>
      </c>
      <c r="C12" s="7">
        <f>COUNTIF(Session!$K$2:$K$261,"&gt;="&amp;A12)</f>
        <v/>
      </c>
      <c r="D12" s="7">
        <f>COUNTIF(Session!$K$2:$K$261,A12)</f>
        <v/>
      </c>
      <c r="E12" s="7">
        <f>C12-D12</f>
        <v/>
      </c>
      <c r="F12" s="8">
        <f>100*C12/COUNTA(Session!$A$2:$A$261)</f>
        <v/>
      </c>
      <c r="G12" s="8">
        <f>100*C12/C11</f>
        <v/>
      </c>
    </row>
    <row r="13">
      <c r="A13" t="n">
        <v>9</v>
      </c>
      <c r="B13" t="inlineStr">
        <is>
          <t>STEP 9 Stimuli presentation*</t>
        </is>
      </c>
      <c r="C13" s="7">
        <f>COUNTIF(Session!$K$2:$K$261,"&gt;="&amp;A13)</f>
        <v/>
      </c>
      <c r="D13" s="7">
        <f>COUNTIF(Session!$K$2:$K$261,A13)</f>
        <v/>
      </c>
      <c r="E13" s="7">
        <f>C13-D13</f>
        <v/>
      </c>
      <c r="F13" s="8">
        <f>100*C13/COUNTA(Session!$A$2:$A$261)</f>
        <v/>
      </c>
      <c r="G13" s="8">
        <f>100*C13/C12</f>
        <v/>
      </c>
    </row>
    <row r="14">
      <c r="A14" t="n">
        <v>10</v>
      </c>
      <c r="B14" t="inlineStr">
        <is>
          <t>STEP 10 Study data upload</t>
        </is>
      </c>
      <c r="C14" s="7">
        <f>COUNTIF(Session!$K$2:$K$261,"&gt;="&amp;A14)</f>
        <v/>
      </c>
      <c r="D14" s="7">
        <f>COUNTIF(Session!$K$2:$K$261,A14)</f>
        <v/>
      </c>
      <c r="E14" s="7">
        <f>C14-D14</f>
        <v/>
      </c>
      <c r="F14" s="8">
        <f>100*C14/COUNTA(Session!$A$2:$A$261)</f>
        <v/>
      </c>
      <c r="G14" s="8">
        <f>100*C14/C13</f>
        <v/>
      </c>
    </row>
    <row r="15">
      <c r="B15" s="9" t="inlineStr">
        <is>
          <t>Completed (Status Processed)</t>
        </is>
      </c>
      <c r="C15" s="7">
        <f>COUNTIF(Session!$G$2:$G$261,"Processed")</f>
        <v/>
      </c>
      <c r="F15" s="8">
        <f>100*C15/COUNTA(Session!$A$2:$A$261)</f>
        <v/>
      </c>
      <c r="G15" s="8">
        <f>100*C15/C14</f>
        <v/>
      </c>
    </row>
    <row r="16">
      <c r="B16" t="inlineStr">
        <is>
          <t>Check: Continued after STEP 10 = Completed (must be 0)</t>
        </is>
      </c>
      <c r="C16" s="7">
        <f>E14-C15</f>
        <v/>
      </c>
    </row>
    <row r="17">
      <c r="B17" t="inlineStr">
        <is>
          <t>Status Abandoned</t>
        </is>
      </c>
      <c r="C17" s="7">
        <f>COUNTIF(Session!$G$2:$G$261,"Abandoned")</f>
        <v/>
      </c>
    </row>
    <row r="18">
      <c r="B18" t="inlineStr">
        <is>
          <t>Status Errors</t>
        </is>
      </c>
      <c r="C18" s="7">
        <f>COUNTIF(Session!$G$2:$G$261,"Errors")</f>
        <v/>
      </c>
    </row>
    <row r="19">
      <c r="B19" t="inlineStr">
        <is>
          <t>Sessions that opened a link</t>
        </is>
      </c>
      <c r="C19" s="7">
        <f>COUNTA(Session!$A$2:$A$261)</f>
        <v/>
      </c>
    </row>
    <row r="20">
      <c r="A20" s="9" t="inlineStr">
        <is>
          <t>Completion by order (differential attrition): all sessions</t>
        </is>
      </c>
    </row>
    <row r="21">
      <c r="A21" s="2" t="inlineStr">
        <is>
          <t>Order</t>
        </is>
      </c>
      <c r="B21" s="2" t="inlineStr">
        <is>
          <t>Opened</t>
        </is>
      </c>
      <c r="C21" s="2" t="inlineStr">
        <is>
          <t>Reached STEP 9</t>
        </is>
      </c>
      <c r="D21" s="2" t="inlineStr">
        <is>
          <t>Completed</t>
        </is>
      </c>
      <c r="E21" s="2" t="inlineStr">
        <is>
          <t>Not completed</t>
        </is>
      </c>
      <c r="F21" s="2" t="inlineStr">
        <is>
          <t>Percent completed</t>
        </is>
      </c>
      <c r="H21" s="2" t="inlineStr">
        <is>
          <t>Expected: completed</t>
        </is>
      </c>
      <c r="I21" s="2" t="inlineStr">
        <is>
          <t>Expected: not completed</t>
        </is>
      </c>
      <c r="K21" s="10" t="inlineStr">
        <is>
          <t>Statistic</t>
        </is>
      </c>
      <c r="L21" s="10" t="inlineStr">
        <is>
          <t>Value</t>
        </is>
      </c>
      <c r="M21" s="10" t="inlineStr">
        <is>
          <t>Formula shown</t>
        </is>
      </c>
      <c r="N21" s="10" t="inlineStr">
        <is>
          <t>Note</t>
        </is>
      </c>
    </row>
    <row r="22">
      <c r="A22" t="inlineStr">
        <is>
          <t>Narrative first</t>
        </is>
      </c>
      <c r="B22" s="7">
        <f>COUNTIF(Session!$M$2:$M$261,A22)</f>
        <v/>
      </c>
      <c r="C22" s="7">
        <f>COUNTIFS(Session!$M$2:$M$261,A22,Session!$K$2:$K$261,"&gt;=9")</f>
        <v/>
      </c>
      <c r="D22" s="7">
        <f>COUNTIFS(Session!$M$2:$M$261,A22,Session!$L$2:$L$261,1)</f>
        <v/>
      </c>
      <c r="E22" s="7">
        <f>B22-D22</f>
        <v/>
      </c>
      <c r="F22" s="8">
        <f>100*D22/B22</f>
        <v/>
      </c>
      <c r="H22" s="11">
        <f>B22*$D$24/$B$24</f>
        <v/>
      </c>
      <c r="I22" s="11">
        <f>B22*$E$24/$B$24</f>
        <v/>
      </c>
      <c r="K22" s="12" t="inlineStr">
        <is>
          <t>Chi square test of independence: order x completed (all sessions)</t>
        </is>
      </c>
    </row>
    <row r="23">
      <c r="A23" t="inlineStr">
        <is>
          <t>Visual first</t>
        </is>
      </c>
      <c r="B23" s="7">
        <f>COUNTIF(Session!$M$2:$M$261,A23)</f>
        <v/>
      </c>
      <c r="C23" s="7">
        <f>COUNTIFS(Session!$M$2:$M$261,A23,Session!$K$2:$K$261,"&gt;=9")</f>
        <v/>
      </c>
      <c r="D23" s="7">
        <f>COUNTIFS(Session!$M$2:$M$261,A23,Session!$L$2:$L$261,1)</f>
        <v/>
      </c>
      <c r="E23" s="7">
        <f>B23-D23</f>
        <v/>
      </c>
      <c r="F23" s="8">
        <f>100*D23/B23</f>
        <v/>
      </c>
      <c r="H23" s="11">
        <f>B23*$D$24/$B$24</f>
        <v/>
      </c>
      <c r="I23" s="11">
        <f>B23*$E$24/$B$24</f>
        <v/>
      </c>
      <c r="K23" t="inlineStr">
        <is>
          <t>Chi square (Pearson, no continuity correction)</t>
        </is>
      </c>
      <c r="L23" s="13">
        <f>SUMPRODUCT((D22:E23-H22:I23)^2/H22:I23)</f>
        <v/>
      </c>
      <c r="M23" s="14" t="inlineStr">
        <is>
          <t>=SUMPRODUCT((D22:E23-H22:I23)^2/H22:I23)</t>
        </is>
      </c>
      <c r="N23" s="6" t="inlineStr">
        <is>
          <t>sum of (observed - expected)^2 / expected</t>
        </is>
      </c>
    </row>
    <row r="24">
      <c r="A24" s="9" t="inlineStr">
        <is>
          <t>Total</t>
        </is>
      </c>
      <c r="B24" s="7">
        <f>SUM(B22:B23)</f>
        <v/>
      </c>
      <c r="C24" s="7">
        <f>SUM(C22:C23)</f>
        <v/>
      </c>
      <c r="D24" s="7">
        <f>SUM(D22:D23)</f>
        <v/>
      </c>
      <c r="E24" s="7">
        <f>SUM(E22:E23)</f>
        <v/>
      </c>
      <c r="K24" t="inlineStr">
        <is>
          <t>df</t>
        </is>
      </c>
      <c r="L24" s="7">
        <f>1</f>
        <v/>
      </c>
      <c r="M24" s="14" t="inlineStr">
        <is>
          <t>=1</t>
        </is>
      </c>
      <c r="N24" s="6" t="inlineStr">
        <is>
          <t>(rows - 1) x (columns - 1)</t>
        </is>
      </c>
    </row>
    <row r="25">
      <c r="K25" t="inlineStr">
        <is>
          <t>p (CHISQ.DIST.RT)</t>
        </is>
      </c>
      <c r="L25" s="15">
        <f>_xlfn.CHISQ.DIST.RT(L23,L24)</f>
        <v/>
      </c>
      <c r="M25" s="14" t="inlineStr">
        <is>
          <t>=CHISQ.DIST.RT(L23,L24)</t>
        </is>
      </c>
      <c r="N25" s="6" t="inlineStr">
        <is>
          <t>right tail of the chi square distribution</t>
        </is>
      </c>
    </row>
    <row r="26">
      <c r="K26" t="inlineStr">
        <is>
          <t>p (CHISQ.TEST on observed and expected)</t>
        </is>
      </c>
      <c r="L26" s="15">
        <f>_xlfn.CHISQ.TEST(D22:E23,H22:I23)</f>
        <v/>
      </c>
      <c r="M26" s="14" t="inlineStr">
        <is>
          <t>=CHISQ.TEST(D22:E23,H22:I23)</t>
        </is>
      </c>
      <c r="N26" s="6" t="inlineStr">
        <is>
          <t>must match the cell above</t>
        </is>
      </c>
    </row>
    <row r="27">
      <c r="K27" t="inlineStr">
        <is>
          <t>phi (effect size)</t>
        </is>
      </c>
      <c r="L27" s="13">
        <f>SQRT(L23/B24)</f>
        <v/>
      </c>
      <c r="M27" s="14" t="inlineStr">
        <is>
          <t>=SQRT(L23/B24)</t>
        </is>
      </c>
      <c r="N27" s="6" t="inlineStr">
        <is>
          <t>sqrt(chi square / N); .1 small, .3 medium</t>
        </is>
      </c>
    </row>
    <row r="28">
      <c r="K28" t="inlineStr">
        <is>
          <t>Percent completed, Narrative first minus Visual first</t>
        </is>
      </c>
      <c r="L28" s="8">
        <f>F22-F23</f>
        <v/>
      </c>
      <c r="M28" s="14" t="inlineStr">
        <is>
          <t>=F22-F23</t>
        </is>
      </c>
      <c r="N28" s="6" t="inlineStr">
        <is>
          <t>percentage points</t>
        </is>
      </c>
    </row>
    <row r="29">
      <c r="K29" t="inlineStr">
        <is>
          <t>Smallest expected count</t>
        </is>
      </c>
      <c r="L29" s="11">
        <f>MIN(H22:I23)</f>
        <v/>
      </c>
      <c r="M29" s="14" t="inlineStr">
        <is>
          <t>=MIN(H22:I23)</t>
        </is>
      </c>
      <c r="N29" s="6" t="inlineStr">
        <is>
          <t>5 or more: the chi square approximation is fine</t>
        </is>
      </c>
    </row>
    <row r="35">
      <c r="A35" s="9" t="inlineStr">
        <is>
          <t>Completion by order among the sessions that reached STEP 9 (the videos started)</t>
        </is>
      </c>
    </row>
    <row r="36">
      <c r="A36" s="2" t="inlineStr">
        <is>
          <t>Order</t>
        </is>
      </c>
      <c r="B36" s="2" t="inlineStr">
        <is>
          <t>Reached STEP 9</t>
        </is>
      </c>
      <c r="C36" s="2" t="inlineStr">
        <is>
          <t>Completed</t>
        </is>
      </c>
      <c r="D36" s="2" t="inlineStr">
        <is>
          <t>Not completed</t>
        </is>
      </c>
      <c r="E36" s="2" t="inlineStr">
        <is>
          <t>Percent completed</t>
        </is>
      </c>
      <c r="H36" s="2" t="inlineStr">
        <is>
          <t>Expected: completed</t>
        </is>
      </c>
      <c r="I36" s="2" t="inlineStr">
        <is>
          <t>Expected: not completed</t>
        </is>
      </c>
      <c r="K36" s="10" t="inlineStr">
        <is>
          <t>Statistic</t>
        </is>
      </c>
      <c r="L36" s="10" t="inlineStr">
        <is>
          <t>Value</t>
        </is>
      </c>
      <c r="M36" s="10" t="inlineStr">
        <is>
          <t>Formula shown</t>
        </is>
      </c>
      <c r="N36" s="10" t="inlineStr">
        <is>
          <t>Note</t>
        </is>
      </c>
    </row>
    <row r="37">
      <c r="A37" t="inlineStr">
        <is>
          <t>Narrative first</t>
        </is>
      </c>
      <c r="B37" s="7">
        <f>C22</f>
        <v/>
      </c>
      <c r="C37" s="7">
        <f>D22</f>
        <v/>
      </c>
      <c r="D37" s="7">
        <f>B37-C37</f>
        <v/>
      </c>
      <c r="E37" s="8">
        <f>100*C37/B37</f>
        <v/>
      </c>
      <c r="H37" s="11">
        <f>B37*$C$39/$B$39</f>
        <v/>
      </c>
      <c r="I37" s="11">
        <f>B37*$D$39/$B$39</f>
        <v/>
      </c>
      <c r="K37" s="12" t="inlineStr">
        <is>
          <t>Chi square test: order x completed, sessions that reached STEP 9</t>
        </is>
      </c>
    </row>
    <row r="38">
      <c r="A38" t="inlineStr">
        <is>
          <t>Visual first</t>
        </is>
      </c>
      <c r="B38" s="7">
        <f>C23</f>
        <v/>
      </c>
      <c r="C38" s="7">
        <f>D23</f>
        <v/>
      </c>
      <c r="D38" s="7">
        <f>B38-C38</f>
        <v/>
      </c>
      <c r="E38" s="8">
        <f>100*C38/B38</f>
        <v/>
      </c>
      <c r="H38" s="11">
        <f>B38*$C$39/$B$39</f>
        <v/>
      </c>
      <c r="I38" s="11">
        <f>B38*$D$39/$B$39</f>
        <v/>
      </c>
      <c r="K38" t="inlineStr">
        <is>
          <t>Chi square (Pearson, no continuity correction)</t>
        </is>
      </c>
      <c r="L38" s="13">
        <f>SUMPRODUCT((C37:D38-H37:I38)^2/H37:I38)</f>
        <v/>
      </c>
      <c r="M38" s="14" t="inlineStr">
        <is>
          <t>=SUMPRODUCT((C37:D38-H37:I38)^2/H37:I38)</t>
        </is>
      </c>
    </row>
    <row r="39">
      <c r="A39" s="9" t="inlineStr">
        <is>
          <t>Total</t>
        </is>
      </c>
      <c r="B39" s="7">
        <f>SUM(B37:B38)</f>
        <v/>
      </c>
      <c r="C39" s="7">
        <f>SUM(C37:C38)</f>
        <v/>
      </c>
      <c r="D39" s="7">
        <f>SUM(D37:D38)</f>
        <v/>
      </c>
      <c r="K39" t="inlineStr">
        <is>
          <t>p (CHISQ.DIST.RT)</t>
        </is>
      </c>
      <c r="L39" s="15">
        <f>_xlfn.CHISQ.DIST.RT(L38,1)</f>
        <v/>
      </c>
      <c r="M39" s="14" t="inlineStr">
        <is>
          <t>=CHISQ.DIST.RT(L38,1)</t>
        </is>
      </c>
    </row>
    <row r="40">
      <c r="K40" t="inlineStr">
        <is>
          <t>Smallest expected count</t>
        </is>
      </c>
      <c r="L40" s="11">
        <f>MIN(H37:I38)</f>
        <v/>
      </c>
      <c r="M40" s="14" t="inlineStr">
        <is>
          <t>=MIN(H37:I38)</t>
        </is>
      </c>
      <c r="N40" s="6" t="inlineStr">
        <is>
          <t>below 5: report the Fisher exact test from R</t>
        </is>
      </c>
    </row>
    <row r="41">
      <c r="K41" t="inlineStr">
        <is>
          <t>Percent completed, Narrative first minus Visual first</t>
        </is>
      </c>
      <c r="L41" s="8">
        <f>E37-E38</f>
        <v/>
      </c>
      <c r="M41" s="14" t="inlineStr">
        <is>
          <t>=E37-E38</t>
        </is>
      </c>
      <c r="N41" s="6" t="inlineStr">
        <is>
          <t>percentage points</t>
        </is>
      </c>
    </row>
    <row r="51">
      <c r="A51" s="9" t="inlineStr">
        <is>
          <t>Completion by device (modeled column)</t>
        </is>
      </c>
    </row>
    <row r="52">
      <c r="A52" s="2" t="inlineStr">
        <is>
          <t>Device type (modeled)</t>
        </is>
      </c>
      <c r="B52" s="2" t="inlineStr">
        <is>
          <t>Opened</t>
        </is>
      </c>
      <c r="C52" s="2" t="inlineStr">
        <is>
          <t>Completed</t>
        </is>
      </c>
      <c r="D52" s="2" t="inlineStr">
        <is>
          <t>Percent completed</t>
        </is>
      </c>
    </row>
    <row r="53">
      <c r="A53" t="inlineStr">
        <is>
          <t>Laptop</t>
        </is>
      </c>
      <c r="B53" s="7">
        <f>COUNTIF(Session!$I$2:$I$261,A53)</f>
        <v/>
      </c>
      <c r="C53" s="7">
        <f>COUNTIFS(Session!$I$2:$I$261,A53,Session!$L$2:$L$261,1)</f>
        <v/>
      </c>
      <c r="D53" s="8">
        <f>IF(B53=0,"",100*C53/B53)</f>
        <v/>
      </c>
    </row>
    <row r="54">
      <c r="A54" t="inlineStr">
        <is>
          <t>Desktop</t>
        </is>
      </c>
      <c r="B54" s="7">
        <f>COUNTIF(Session!$I$2:$I$261,A54)</f>
        <v/>
      </c>
      <c r="C54" s="7">
        <f>COUNTIFS(Session!$I$2:$I$261,A54,Session!$L$2:$L$261,1)</f>
        <v/>
      </c>
      <c r="D54" s="8">
        <f>IF(B54=0,"",100*C54/B54)</f>
        <v/>
      </c>
    </row>
    <row r="55">
      <c r="A55" t="inlineStr">
        <is>
          <t>Phone</t>
        </is>
      </c>
      <c r="B55" s="7">
        <f>COUNTIF(Session!$I$2:$I$261,A55)</f>
        <v/>
      </c>
      <c r="C55" s="7">
        <f>COUNTIFS(Session!$I$2:$I$261,A55,Session!$L$2:$L$261,1)</f>
        <v/>
      </c>
      <c r="D55" s="8">
        <f>IF(B55=0,"",100*C55/B55)</f>
        <v/>
      </c>
    </row>
    <row r="56">
      <c r="A56" t="inlineStr">
        <is>
          <t>Tablet</t>
        </is>
      </c>
      <c r="B56" s="7">
        <f>COUNTIF(Session!$I$2:$I$261,A56)</f>
        <v/>
      </c>
      <c r="C56" s="7">
        <f>COUNTIFS(Session!$I$2:$I$261,A56,Session!$L$2:$L$261,1)</f>
        <v/>
      </c>
      <c r="D56" s="8">
        <f>IF(B56=0,"",100*C56/B56)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20" customWidth="1" min="13" max="13"/>
    <col width="10" customWidth="1" min="14" max="14"/>
    <col width="10" customWidth="1" min="15" max="15"/>
    <col width="10" customWidth="1" min="16" max="16"/>
    <col width="3" customWidth="1" min="17" max="17"/>
    <col width="50" customWidth="1" min="18" max="18"/>
    <col width="13" customWidth="1" min="19" max="19"/>
    <col width="60" customWidth="1" min="20" max="20"/>
    <col width="44" customWidth="1" min="21" max="21"/>
  </cols>
  <sheetData>
    <row r="1">
      <c r="A1" s="5" t="inlineStr">
        <is>
          <t>The exclusion rule, one row per completed respondent (Status Processed). SIMULATED data. Yellow cells hold the thresholds.</t>
        </is>
      </c>
    </row>
    <row r="2">
      <c r="A2" s="9" t="inlineStr">
        <is>
          <t>Accuracy limit (degrees)</t>
        </is>
      </c>
      <c r="B2" s="16" t="n">
        <v>4</v>
      </c>
      <c r="C2" s="9" t="inlineStr">
        <is>
          <t>Sensitivity limit (degrees)</t>
        </is>
      </c>
      <c r="D2" s="16" t="n">
        <v>3</v>
      </c>
      <c r="E2" s="9" t="inlineStr">
        <is>
          <t>Eye tracking quality minimum (%)</t>
        </is>
      </c>
      <c r="F2" s="16" t="n">
        <v>90</v>
      </c>
      <c r="G2" s="9" t="inlineStr">
        <is>
          <t>Face quality minimum (%)</t>
        </is>
      </c>
      <c r="H2" s="16" t="n">
        <v>80</v>
      </c>
    </row>
    <row r="4" ht="46" customHeight="1">
      <c r="A4" s="2" t="inlineStr">
        <is>
          <t>Respondent Name</t>
        </is>
      </c>
      <c r="B4" s="2" t="inlineStr">
        <is>
          <t>Order</t>
        </is>
      </c>
      <c r="C4" s="2" t="inlineStr">
        <is>
          <t>Pre-study accuracy</t>
        </is>
      </c>
      <c r="D4" s="2" t="inlineStr">
        <is>
          <t>Post-study accuracy</t>
        </is>
      </c>
      <c r="E4" s="2" t="inlineStr">
        <is>
          <t>Eye tracking quality, infographic</t>
        </is>
      </c>
      <c r="F4" s="2" t="inlineStr">
        <is>
          <t>Face quality, narrative</t>
        </is>
      </c>
      <c r="G4" s="2" t="inlineStr">
        <is>
          <t>Face quality, visual</t>
        </is>
      </c>
      <c r="H4" s="2" t="inlineStr">
        <is>
          <t>Fail: Pre-study accuracy</t>
        </is>
      </c>
      <c r="I4" s="2" t="inlineStr">
        <is>
          <t>Fail: Post-study accuracy</t>
        </is>
      </c>
      <c r="J4" s="2" t="inlineStr">
        <is>
          <t>Fail: eye tracking quality</t>
        </is>
      </c>
      <c r="K4" s="2" t="inlineStr">
        <is>
          <t>Fail: face quality</t>
        </is>
      </c>
      <c r="L4" s="2" t="inlineStr">
        <is>
          <t>Decision</t>
        </is>
      </c>
      <c r="M4" s="2" t="inlineStr">
        <is>
          <t>First reason</t>
        </is>
      </c>
      <c r="N4" s="2" t="inlineStr">
        <is>
          <t>Largest accuracy</t>
        </is>
      </c>
      <c r="O4" s="2" t="inlineStr">
        <is>
          <t>Decision at 3.0</t>
        </is>
      </c>
      <c r="P4" s="2" t="inlineStr">
        <is>
          <t>Drift (Post minus Pre)</t>
        </is>
      </c>
    </row>
    <row r="5">
      <c r="A5" t="inlineStr">
        <is>
          <t>RESP0001</t>
        </is>
      </c>
      <c r="B5">
        <f>INDEX(Session!$M$2:$M$261,MATCH($A5,Session!$A$2:$A$261,0))</f>
        <v/>
      </c>
      <c r="C5">
        <f>SUMIFS(Quality!$E$2:$E$1247,Quality!$A$2:$A$1247,$A5,Quality!$D$2:$D$1247,"Pre-study calibration")</f>
        <v/>
      </c>
      <c r="D5">
        <f>SUMIFS(Quality!$E$2:$E$1247,Quality!$A$2:$A$1247,$A5,Quality!$D$2:$D$1247,"Post-study calibration")</f>
        <v/>
      </c>
      <c r="E5">
        <f>SUMIFS(Quality!$F$2:$F$1247,Quality!$A$2:$A$1247,$A5,Quality!$D$2:$D$1247,"infographic")</f>
        <v/>
      </c>
      <c r="F5">
        <f>SUMIFS(Quality!$G$2:$G$1247,Quality!$A$2:$A$1247,$A5,Quality!$D$2:$D$1247,"foodwaste_narrative")</f>
        <v/>
      </c>
      <c r="G5">
        <f>SUMIFS(Quality!$G$2:$G$1247,Quality!$A$2:$A$1247,$A5,Quality!$D$2:$D$1247,"foodwaste_visual")</f>
        <v/>
      </c>
      <c r="H5">
        <f>IF(C5&gt;$B$2,1,0)</f>
        <v/>
      </c>
      <c r="I5">
        <f>IF(D5&gt;$B$2,1,0)</f>
        <v/>
      </c>
      <c r="J5">
        <f>IF(E5&lt;$F$2,1,0)</f>
        <v/>
      </c>
      <c r="K5">
        <f>IF(OR(F5&lt;$H$2,G5&lt;$H$2),1,0)</f>
        <v/>
      </c>
      <c r="L5">
        <f>IF(SUM(H5:K5)&gt;0,"Exclude","Keep")</f>
        <v/>
      </c>
      <c r="M5">
        <f>IF(H5=1,"Pre-study accuracy",IF(I5=1,"Post-study accuracy",IF(J5=1,"Eye tracking quality",IF(K5=1,"Face quality",""))))</f>
        <v/>
      </c>
      <c r="N5">
        <f>MAX(C5:D5)</f>
        <v/>
      </c>
      <c r="O5">
        <f>IF(AND(L5="Keep",N5&lt;=$D$2),"Keep","Exclude")</f>
        <v/>
      </c>
      <c r="P5">
        <f>D5-C5</f>
        <v/>
      </c>
      <c r="R5" s="10" t="inlineStr">
        <is>
          <t>Statistic</t>
        </is>
      </c>
      <c r="S5" s="10" t="inlineStr">
        <is>
          <t>Value</t>
        </is>
      </c>
      <c r="T5" s="10" t="inlineStr">
        <is>
          <t>Formula shown</t>
        </is>
      </c>
      <c r="U5" s="10" t="inlineStr">
        <is>
          <t>Note</t>
        </is>
      </c>
    </row>
    <row r="6">
      <c r="A6" t="inlineStr">
        <is>
          <t>RESP0002</t>
        </is>
      </c>
      <c r="B6">
        <f>INDEX(Session!$M$2:$M$261,MATCH($A6,Session!$A$2:$A$261,0))</f>
        <v/>
      </c>
      <c r="C6">
        <f>SUMIFS(Quality!$E$2:$E$1247,Quality!$A$2:$A$1247,$A6,Quality!$D$2:$D$1247,"Pre-study calibration")</f>
        <v/>
      </c>
      <c r="D6">
        <f>SUMIFS(Quality!$E$2:$E$1247,Quality!$A$2:$A$1247,$A6,Quality!$D$2:$D$1247,"Post-study calibration")</f>
        <v/>
      </c>
      <c r="E6">
        <f>SUMIFS(Quality!$F$2:$F$1247,Quality!$A$2:$A$1247,$A6,Quality!$D$2:$D$1247,"infographic")</f>
        <v/>
      </c>
      <c r="F6">
        <f>SUMIFS(Quality!$G$2:$G$1247,Quality!$A$2:$A$1247,$A6,Quality!$D$2:$D$1247,"foodwaste_narrative")</f>
        <v/>
      </c>
      <c r="G6">
        <f>SUMIFS(Quality!$G$2:$G$1247,Quality!$A$2:$A$1247,$A6,Quality!$D$2:$D$1247,"foodwaste_visual")</f>
        <v/>
      </c>
      <c r="H6">
        <f>IF(C6&gt;$B$2,1,0)</f>
        <v/>
      </c>
      <c r="I6">
        <f>IF(D6&gt;$B$2,1,0)</f>
        <v/>
      </c>
      <c r="J6">
        <f>IF(E6&lt;$F$2,1,0)</f>
        <v/>
      </c>
      <c r="K6">
        <f>IF(OR(F6&lt;$H$2,G6&lt;$H$2),1,0)</f>
        <v/>
      </c>
      <c r="L6">
        <f>IF(SUM(H6:K6)&gt;0,"Exclude","Keep")</f>
        <v/>
      </c>
      <c r="M6">
        <f>IF(H6=1,"Pre-study accuracy",IF(I6=1,"Post-study accuracy",IF(J6=1,"Eye tracking quality",IF(K6=1,"Face quality",""))))</f>
        <v/>
      </c>
      <c r="N6">
        <f>MAX(C6:D6)</f>
        <v/>
      </c>
      <c r="O6">
        <f>IF(AND(L6="Keep",N6&lt;=$D$2),"Keep","Exclude")</f>
        <v/>
      </c>
      <c r="P6">
        <f>D6-C6</f>
        <v/>
      </c>
      <c r="R6" s="12" t="inlineStr">
        <is>
          <t>Counts</t>
        </is>
      </c>
    </row>
    <row r="7">
      <c r="A7" t="inlineStr">
        <is>
          <t>RESP0003</t>
        </is>
      </c>
      <c r="B7">
        <f>INDEX(Session!$M$2:$M$261,MATCH($A7,Session!$A$2:$A$261,0))</f>
        <v/>
      </c>
      <c r="C7">
        <f>SUMIFS(Quality!$E$2:$E$1247,Quality!$A$2:$A$1247,$A7,Quality!$D$2:$D$1247,"Pre-study calibration")</f>
        <v/>
      </c>
      <c r="D7">
        <f>SUMIFS(Quality!$E$2:$E$1247,Quality!$A$2:$A$1247,$A7,Quality!$D$2:$D$1247,"Post-study calibration")</f>
        <v/>
      </c>
      <c r="E7">
        <f>SUMIFS(Quality!$F$2:$F$1247,Quality!$A$2:$A$1247,$A7,Quality!$D$2:$D$1247,"infographic")</f>
        <v/>
      </c>
      <c r="F7">
        <f>SUMIFS(Quality!$G$2:$G$1247,Quality!$A$2:$A$1247,$A7,Quality!$D$2:$D$1247,"foodwaste_narrative")</f>
        <v/>
      </c>
      <c r="G7">
        <f>SUMIFS(Quality!$G$2:$G$1247,Quality!$A$2:$A$1247,$A7,Quality!$D$2:$D$1247,"foodwaste_visual")</f>
        <v/>
      </c>
      <c r="H7">
        <f>IF(C7&gt;$B$2,1,0)</f>
        <v/>
      </c>
      <c r="I7">
        <f>IF(D7&gt;$B$2,1,0)</f>
        <v/>
      </c>
      <c r="J7">
        <f>IF(E7&lt;$F$2,1,0)</f>
        <v/>
      </c>
      <c r="K7">
        <f>IF(OR(F7&lt;$H$2,G7&lt;$H$2),1,0)</f>
        <v/>
      </c>
      <c r="L7">
        <f>IF(SUM(H7:K7)&gt;0,"Exclude","Keep")</f>
        <v/>
      </c>
      <c r="M7">
        <f>IF(H7=1,"Pre-study accuracy",IF(I7=1,"Post-study accuracy",IF(J7=1,"Eye tracking quality",IF(K7=1,"Face quality",""))))</f>
        <v/>
      </c>
      <c r="N7">
        <f>MAX(C7:D7)</f>
        <v/>
      </c>
      <c r="O7">
        <f>IF(AND(L7="Keep",N7&lt;=$D$2),"Keep","Exclude")</f>
        <v/>
      </c>
      <c r="P7">
        <f>D7-C7</f>
        <v/>
      </c>
      <c r="R7" t="inlineStr">
        <is>
          <t>Completed respondents screened</t>
        </is>
      </c>
      <c r="S7" s="7">
        <f>COUNTA(A5:A182)</f>
        <v/>
      </c>
      <c r="T7" s="14" t="inlineStr">
        <is>
          <t>=COUNTA(A5:A182)</t>
        </is>
      </c>
    </row>
    <row r="8">
      <c r="A8" t="inlineStr">
        <is>
          <t>RESP0004</t>
        </is>
      </c>
      <c r="B8">
        <f>INDEX(Session!$M$2:$M$261,MATCH($A8,Session!$A$2:$A$261,0))</f>
        <v/>
      </c>
      <c r="C8">
        <f>SUMIFS(Quality!$E$2:$E$1247,Quality!$A$2:$A$1247,$A8,Quality!$D$2:$D$1247,"Pre-study calibration")</f>
        <v/>
      </c>
      <c r="D8">
        <f>SUMIFS(Quality!$E$2:$E$1247,Quality!$A$2:$A$1247,$A8,Quality!$D$2:$D$1247,"Post-study calibration")</f>
        <v/>
      </c>
      <c r="E8">
        <f>SUMIFS(Quality!$F$2:$F$1247,Quality!$A$2:$A$1247,$A8,Quality!$D$2:$D$1247,"infographic")</f>
        <v/>
      </c>
      <c r="F8">
        <f>SUMIFS(Quality!$G$2:$G$1247,Quality!$A$2:$A$1247,$A8,Quality!$D$2:$D$1247,"foodwaste_narrative")</f>
        <v/>
      </c>
      <c r="G8">
        <f>SUMIFS(Quality!$G$2:$G$1247,Quality!$A$2:$A$1247,$A8,Quality!$D$2:$D$1247,"foodwaste_visual")</f>
        <v/>
      </c>
      <c r="H8">
        <f>IF(C8&gt;$B$2,1,0)</f>
        <v/>
      </c>
      <c r="I8">
        <f>IF(D8&gt;$B$2,1,0)</f>
        <v/>
      </c>
      <c r="J8">
        <f>IF(E8&lt;$F$2,1,0)</f>
        <v/>
      </c>
      <c r="K8">
        <f>IF(OR(F8&lt;$H$2,G8&lt;$H$2),1,0)</f>
        <v/>
      </c>
      <c r="L8">
        <f>IF(SUM(H8:K8)&gt;0,"Exclude","Keep")</f>
        <v/>
      </c>
      <c r="M8">
        <f>IF(H8=1,"Pre-study accuracy",IF(I8=1,"Post-study accuracy",IF(J8=1,"Eye tracking quality",IF(K8=1,"Face quality",""))))</f>
        <v/>
      </c>
      <c r="N8">
        <f>MAX(C8:D8)</f>
        <v/>
      </c>
      <c r="O8">
        <f>IF(AND(L8="Keep",N8&lt;=$D$2),"Keep","Exclude")</f>
        <v/>
      </c>
      <c r="P8">
        <f>D8-C8</f>
        <v/>
      </c>
      <c r="R8" t="inlineStr">
        <is>
          <t>Excluded</t>
        </is>
      </c>
      <c r="S8" s="7">
        <f>COUNTIF($L$5:$L$182,"Exclude")</f>
        <v/>
      </c>
      <c r="T8" s="14" t="inlineStr">
        <is>
          <t>=COUNTIF($L$5:$L$182,"Exclude")</t>
        </is>
      </c>
    </row>
    <row r="9">
      <c r="A9" t="inlineStr">
        <is>
          <t>RESP0005</t>
        </is>
      </c>
      <c r="B9">
        <f>INDEX(Session!$M$2:$M$261,MATCH($A9,Session!$A$2:$A$261,0))</f>
        <v/>
      </c>
      <c r="C9">
        <f>SUMIFS(Quality!$E$2:$E$1247,Quality!$A$2:$A$1247,$A9,Quality!$D$2:$D$1247,"Pre-study calibration")</f>
        <v/>
      </c>
      <c r="D9">
        <f>SUMIFS(Quality!$E$2:$E$1247,Quality!$A$2:$A$1247,$A9,Quality!$D$2:$D$1247,"Post-study calibration")</f>
        <v/>
      </c>
      <c r="E9">
        <f>SUMIFS(Quality!$F$2:$F$1247,Quality!$A$2:$A$1247,$A9,Quality!$D$2:$D$1247,"infographic")</f>
        <v/>
      </c>
      <c r="F9">
        <f>SUMIFS(Quality!$G$2:$G$1247,Quality!$A$2:$A$1247,$A9,Quality!$D$2:$D$1247,"foodwaste_narrative")</f>
        <v/>
      </c>
      <c r="G9">
        <f>SUMIFS(Quality!$G$2:$G$1247,Quality!$A$2:$A$1247,$A9,Quality!$D$2:$D$1247,"foodwaste_visual")</f>
        <v/>
      </c>
      <c r="H9">
        <f>IF(C9&gt;$B$2,1,0)</f>
        <v/>
      </c>
      <c r="I9">
        <f>IF(D9&gt;$B$2,1,0)</f>
        <v/>
      </c>
      <c r="J9">
        <f>IF(E9&lt;$F$2,1,0)</f>
        <v/>
      </c>
      <c r="K9">
        <f>IF(OR(F9&lt;$H$2,G9&lt;$H$2),1,0)</f>
        <v/>
      </c>
      <c r="L9">
        <f>IF(SUM(H9:K9)&gt;0,"Exclude","Keep")</f>
        <v/>
      </c>
      <c r="M9">
        <f>IF(H9=1,"Pre-study accuracy",IF(I9=1,"Post-study accuracy",IF(J9=1,"Eye tracking quality",IF(K9=1,"Face quality",""))))</f>
        <v/>
      </c>
      <c r="N9">
        <f>MAX(C9:D9)</f>
        <v/>
      </c>
      <c r="O9">
        <f>IF(AND(L9="Keep",N9&lt;=$D$2),"Keep","Exclude")</f>
        <v/>
      </c>
      <c r="P9">
        <f>D9-C9</f>
        <v/>
      </c>
      <c r="R9" t="inlineStr">
        <is>
          <t>Kept</t>
        </is>
      </c>
      <c r="S9" s="7">
        <f>COUNTIF($L$5:$L$182,"Keep")</f>
        <v/>
      </c>
      <c r="T9" s="14" t="inlineStr">
        <is>
          <t>=COUNTIF($L$5:$L$182,"Keep")</t>
        </is>
      </c>
    </row>
    <row r="10">
      <c r="A10" t="inlineStr">
        <is>
          <t>RESP0006</t>
        </is>
      </c>
      <c r="B10">
        <f>INDEX(Session!$M$2:$M$261,MATCH($A10,Session!$A$2:$A$261,0))</f>
        <v/>
      </c>
      <c r="C10">
        <f>SUMIFS(Quality!$E$2:$E$1247,Quality!$A$2:$A$1247,$A10,Quality!$D$2:$D$1247,"Pre-study calibration")</f>
        <v/>
      </c>
      <c r="D10">
        <f>SUMIFS(Quality!$E$2:$E$1247,Quality!$A$2:$A$1247,$A10,Quality!$D$2:$D$1247,"Post-study calibration")</f>
        <v/>
      </c>
      <c r="E10">
        <f>SUMIFS(Quality!$F$2:$F$1247,Quality!$A$2:$A$1247,$A10,Quality!$D$2:$D$1247,"infographic")</f>
        <v/>
      </c>
      <c r="F10">
        <f>SUMIFS(Quality!$G$2:$G$1247,Quality!$A$2:$A$1247,$A10,Quality!$D$2:$D$1247,"foodwaste_narrative")</f>
        <v/>
      </c>
      <c r="G10">
        <f>SUMIFS(Quality!$G$2:$G$1247,Quality!$A$2:$A$1247,$A10,Quality!$D$2:$D$1247,"foodwaste_visual")</f>
        <v/>
      </c>
      <c r="H10">
        <f>IF(C10&gt;$B$2,1,0)</f>
        <v/>
      </c>
      <c r="I10">
        <f>IF(D10&gt;$B$2,1,0)</f>
        <v/>
      </c>
      <c r="J10">
        <f>IF(E10&lt;$F$2,1,0)</f>
        <v/>
      </c>
      <c r="K10">
        <f>IF(OR(F10&lt;$H$2,G10&lt;$H$2),1,0)</f>
        <v/>
      </c>
      <c r="L10">
        <f>IF(SUM(H10:K10)&gt;0,"Exclude","Keep")</f>
        <v/>
      </c>
      <c r="M10">
        <f>IF(H10=1,"Pre-study accuracy",IF(I10=1,"Post-study accuracy",IF(J10=1,"Eye tracking quality",IF(K10=1,"Face quality",""))))</f>
        <v/>
      </c>
      <c r="N10">
        <f>MAX(C10:D10)</f>
        <v/>
      </c>
      <c r="O10">
        <f>IF(AND(L10="Keep",N10&lt;=$D$2),"Keep","Exclude")</f>
        <v/>
      </c>
      <c r="P10">
        <f>D10-C10</f>
        <v/>
      </c>
      <c r="R10" t="inlineStr">
        <is>
          <t>First reason: Pre-study accuracy</t>
        </is>
      </c>
      <c r="S10" s="7">
        <f>COUNTIF($M$5:$M$182,"Pre-study accuracy")</f>
        <v/>
      </c>
      <c r="T10" s="14" t="inlineStr">
        <is>
          <t>=COUNTIF($M$5:$M$182,"Pre-study accuracy")</t>
        </is>
      </c>
    </row>
    <row r="11">
      <c r="A11" t="inlineStr">
        <is>
          <t>RESP0007</t>
        </is>
      </c>
      <c r="B11">
        <f>INDEX(Session!$M$2:$M$261,MATCH($A11,Session!$A$2:$A$261,0))</f>
        <v/>
      </c>
      <c r="C11">
        <f>SUMIFS(Quality!$E$2:$E$1247,Quality!$A$2:$A$1247,$A11,Quality!$D$2:$D$1247,"Pre-study calibration")</f>
        <v/>
      </c>
      <c r="D11">
        <f>SUMIFS(Quality!$E$2:$E$1247,Quality!$A$2:$A$1247,$A11,Quality!$D$2:$D$1247,"Post-study calibration")</f>
        <v/>
      </c>
      <c r="E11">
        <f>SUMIFS(Quality!$F$2:$F$1247,Quality!$A$2:$A$1247,$A11,Quality!$D$2:$D$1247,"infographic")</f>
        <v/>
      </c>
      <c r="F11">
        <f>SUMIFS(Quality!$G$2:$G$1247,Quality!$A$2:$A$1247,$A11,Quality!$D$2:$D$1247,"foodwaste_narrative")</f>
        <v/>
      </c>
      <c r="G11">
        <f>SUMIFS(Quality!$G$2:$G$1247,Quality!$A$2:$A$1247,$A11,Quality!$D$2:$D$1247,"foodwaste_visual")</f>
        <v/>
      </c>
      <c r="H11">
        <f>IF(C11&gt;$B$2,1,0)</f>
        <v/>
      </c>
      <c r="I11">
        <f>IF(D11&gt;$B$2,1,0)</f>
        <v/>
      </c>
      <c r="J11">
        <f>IF(E11&lt;$F$2,1,0)</f>
        <v/>
      </c>
      <c r="K11">
        <f>IF(OR(F11&lt;$H$2,G11&lt;$H$2),1,0)</f>
        <v/>
      </c>
      <c r="L11">
        <f>IF(SUM(H11:K11)&gt;0,"Exclude","Keep")</f>
        <v/>
      </c>
      <c r="M11">
        <f>IF(H11=1,"Pre-study accuracy",IF(I11=1,"Post-study accuracy",IF(J11=1,"Eye tracking quality",IF(K11=1,"Face quality",""))))</f>
        <v/>
      </c>
      <c r="N11">
        <f>MAX(C11:D11)</f>
        <v/>
      </c>
      <c r="O11">
        <f>IF(AND(L11="Keep",N11&lt;=$D$2),"Keep","Exclude")</f>
        <v/>
      </c>
      <c r="P11">
        <f>D11-C11</f>
        <v/>
      </c>
      <c r="R11" t="inlineStr">
        <is>
          <t>First reason: Post-study accuracy</t>
        </is>
      </c>
      <c r="S11" s="7">
        <f>COUNTIF($M$5:$M$182,"Post-study accuracy")</f>
        <v/>
      </c>
      <c r="T11" s="14" t="inlineStr">
        <is>
          <t>=COUNTIF($M$5:$M$182,"Post-study accuracy")</t>
        </is>
      </c>
    </row>
    <row r="12">
      <c r="A12" t="inlineStr">
        <is>
          <t>RESP0009</t>
        </is>
      </c>
      <c r="B12">
        <f>INDEX(Session!$M$2:$M$261,MATCH($A12,Session!$A$2:$A$261,0))</f>
        <v/>
      </c>
      <c r="C12">
        <f>SUMIFS(Quality!$E$2:$E$1247,Quality!$A$2:$A$1247,$A12,Quality!$D$2:$D$1247,"Pre-study calibration")</f>
        <v/>
      </c>
      <c r="D12">
        <f>SUMIFS(Quality!$E$2:$E$1247,Quality!$A$2:$A$1247,$A12,Quality!$D$2:$D$1247,"Post-study calibration")</f>
        <v/>
      </c>
      <c r="E12">
        <f>SUMIFS(Quality!$F$2:$F$1247,Quality!$A$2:$A$1247,$A12,Quality!$D$2:$D$1247,"infographic")</f>
        <v/>
      </c>
      <c r="F12">
        <f>SUMIFS(Quality!$G$2:$G$1247,Quality!$A$2:$A$1247,$A12,Quality!$D$2:$D$1247,"foodwaste_narrative")</f>
        <v/>
      </c>
      <c r="G12">
        <f>SUMIFS(Quality!$G$2:$G$1247,Quality!$A$2:$A$1247,$A12,Quality!$D$2:$D$1247,"foodwaste_visual")</f>
        <v/>
      </c>
      <c r="H12">
        <f>IF(C12&gt;$B$2,1,0)</f>
        <v/>
      </c>
      <c r="I12">
        <f>IF(D12&gt;$B$2,1,0)</f>
        <v/>
      </c>
      <c r="J12">
        <f>IF(E12&lt;$F$2,1,0)</f>
        <v/>
      </c>
      <c r="K12">
        <f>IF(OR(F12&lt;$H$2,G12&lt;$H$2),1,0)</f>
        <v/>
      </c>
      <c r="L12">
        <f>IF(SUM(H12:K12)&gt;0,"Exclude","Keep")</f>
        <v/>
      </c>
      <c r="M12">
        <f>IF(H12=1,"Pre-study accuracy",IF(I12=1,"Post-study accuracy",IF(J12=1,"Eye tracking quality",IF(K12=1,"Face quality",""))))</f>
        <v/>
      </c>
      <c r="N12">
        <f>MAX(C12:D12)</f>
        <v/>
      </c>
      <c r="O12">
        <f>IF(AND(L12="Keep",N12&lt;=$D$2),"Keep","Exclude")</f>
        <v/>
      </c>
      <c r="P12">
        <f>D12-C12</f>
        <v/>
      </c>
      <c r="R12" t="inlineStr">
        <is>
          <t>First reason: Eye tracking quality</t>
        </is>
      </c>
      <c r="S12" s="7">
        <f>COUNTIF($M$5:$M$182,"Eye tracking quality")</f>
        <v/>
      </c>
      <c r="T12" s="14" t="inlineStr">
        <is>
          <t>=COUNTIF($M$5:$M$182,"Eye tracking quality")</t>
        </is>
      </c>
    </row>
    <row r="13">
      <c r="A13" t="inlineStr">
        <is>
          <t>RESP0010</t>
        </is>
      </c>
      <c r="B13">
        <f>INDEX(Session!$M$2:$M$261,MATCH($A13,Session!$A$2:$A$261,0))</f>
        <v/>
      </c>
      <c r="C13">
        <f>SUMIFS(Quality!$E$2:$E$1247,Quality!$A$2:$A$1247,$A13,Quality!$D$2:$D$1247,"Pre-study calibration")</f>
        <v/>
      </c>
      <c r="D13">
        <f>SUMIFS(Quality!$E$2:$E$1247,Quality!$A$2:$A$1247,$A13,Quality!$D$2:$D$1247,"Post-study calibration")</f>
        <v/>
      </c>
      <c r="E13">
        <f>SUMIFS(Quality!$F$2:$F$1247,Quality!$A$2:$A$1247,$A13,Quality!$D$2:$D$1247,"infographic")</f>
        <v/>
      </c>
      <c r="F13">
        <f>SUMIFS(Quality!$G$2:$G$1247,Quality!$A$2:$A$1247,$A13,Quality!$D$2:$D$1247,"foodwaste_narrative")</f>
        <v/>
      </c>
      <c r="G13">
        <f>SUMIFS(Quality!$G$2:$G$1247,Quality!$A$2:$A$1247,$A13,Quality!$D$2:$D$1247,"foodwaste_visual")</f>
        <v/>
      </c>
      <c r="H13">
        <f>IF(C13&gt;$B$2,1,0)</f>
        <v/>
      </c>
      <c r="I13">
        <f>IF(D13&gt;$B$2,1,0)</f>
        <v/>
      </c>
      <c r="J13">
        <f>IF(E13&lt;$F$2,1,0)</f>
        <v/>
      </c>
      <c r="K13">
        <f>IF(OR(F13&lt;$H$2,G13&lt;$H$2),1,0)</f>
        <v/>
      </c>
      <c r="L13">
        <f>IF(SUM(H13:K13)&gt;0,"Exclude","Keep")</f>
        <v/>
      </c>
      <c r="M13">
        <f>IF(H13=1,"Pre-study accuracy",IF(I13=1,"Post-study accuracy",IF(J13=1,"Eye tracking quality",IF(K13=1,"Face quality",""))))</f>
        <v/>
      </c>
      <c r="N13">
        <f>MAX(C13:D13)</f>
        <v/>
      </c>
      <c r="O13">
        <f>IF(AND(L13="Keep",N13&lt;=$D$2),"Keep","Exclude")</f>
        <v/>
      </c>
      <c r="P13">
        <f>D13-C13</f>
        <v/>
      </c>
      <c r="R13" t="inlineStr">
        <is>
          <t>First reason: Face quality</t>
        </is>
      </c>
      <c r="S13" s="7">
        <f>COUNTIF($M$5:$M$182,"Face quality")</f>
        <v/>
      </c>
      <c r="T13" s="14" t="inlineStr">
        <is>
          <t>=COUNTIF($M$5:$M$182,"Face quality")</t>
        </is>
      </c>
    </row>
    <row r="14">
      <c r="A14" t="inlineStr">
        <is>
          <t>RESP0012</t>
        </is>
      </c>
      <c r="B14">
        <f>INDEX(Session!$M$2:$M$261,MATCH($A14,Session!$A$2:$A$261,0))</f>
        <v/>
      </c>
      <c r="C14">
        <f>SUMIFS(Quality!$E$2:$E$1247,Quality!$A$2:$A$1247,$A14,Quality!$D$2:$D$1247,"Pre-study calibration")</f>
        <v/>
      </c>
      <c r="D14">
        <f>SUMIFS(Quality!$E$2:$E$1247,Quality!$A$2:$A$1247,$A14,Quality!$D$2:$D$1247,"Post-study calibration")</f>
        <v/>
      </c>
      <c r="E14">
        <f>SUMIFS(Quality!$F$2:$F$1247,Quality!$A$2:$A$1247,$A14,Quality!$D$2:$D$1247,"infographic")</f>
        <v/>
      </c>
      <c r="F14">
        <f>SUMIFS(Quality!$G$2:$G$1247,Quality!$A$2:$A$1247,$A14,Quality!$D$2:$D$1247,"foodwaste_narrative")</f>
        <v/>
      </c>
      <c r="G14">
        <f>SUMIFS(Quality!$G$2:$G$1247,Quality!$A$2:$A$1247,$A14,Quality!$D$2:$D$1247,"foodwaste_visual")</f>
        <v/>
      </c>
      <c r="H14">
        <f>IF(C14&gt;$B$2,1,0)</f>
        <v/>
      </c>
      <c r="I14">
        <f>IF(D14&gt;$B$2,1,0)</f>
        <v/>
      </c>
      <c r="J14">
        <f>IF(E14&lt;$F$2,1,0)</f>
        <v/>
      </c>
      <c r="K14">
        <f>IF(OR(F14&lt;$H$2,G14&lt;$H$2),1,0)</f>
        <v/>
      </c>
      <c r="L14">
        <f>IF(SUM(H14:K14)&gt;0,"Exclude","Keep")</f>
        <v/>
      </c>
      <c r="M14">
        <f>IF(H14=1,"Pre-study accuracy",IF(I14=1,"Post-study accuracy",IF(J14=1,"Eye tracking quality",IF(K14=1,"Face quality",""))))</f>
        <v/>
      </c>
      <c r="N14">
        <f>MAX(C14:D14)</f>
        <v/>
      </c>
      <c r="O14">
        <f>IF(AND(L14="Keep",N14&lt;=$D$2),"Keep","Exclude")</f>
        <v/>
      </c>
      <c r="P14">
        <f>D14-C14</f>
        <v/>
      </c>
      <c r="R14" t="inlineStr">
        <is>
          <t>Failed (any): Pre-study accuracy</t>
        </is>
      </c>
      <c r="S14" s="7">
        <f>SUM(H5:H182)</f>
        <v/>
      </c>
      <c r="T14" s="14" t="inlineStr">
        <is>
          <t>=SUM(H5:H182)</t>
        </is>
      </c>
    </row>
    <row r="15">
      <c r="A15" t="inlineStr">
        <is>
          <t>RESP0013</t>
        </is>
      </c>
      <c r="B15">
        <f>INDEX(Session!$M$2:$M$261,MATCH($A15,Session!$A$2:$A$261,0))</f>
        <v/>
      </c>
      <c r="C15">
        <f>SUMIFS(Quality!$E$2:$E$1247,Quality!$A$2:$A$1247,$A15,Quality!$D$2:$D$1247,"Pre-study calibration")</f>
        <v/>
      </c>
      <c r="D15">
        <f>SUMIFS(Quality!$E$2:$E$1247,Quality!$A$2:$A$1247,$A15,Quality!$D$2:$D$1247,"Post-study calibration")</f>
        <v/>
      </c>
      <c r="E15">
        <f>SUMIFS(Quality!$F$2:$F$1247,Quality!$A$2:$A$1247,$A15,Quality!$D$2:$D$1247,"infographic")</f>
        <v/>
      </c>
      <c r="F15">
        <f>SUMIFS(Quality!$G$2:$G$1247,Quality!$A$2:$A$1247,$A15,Quality!$D$2:$D$1247,"foodwaste_narrative")</f>
        <v/>
      </c>
      <c r="G15">
        <f>SUMIFS(Quality!$G$2:$G$1247,Quality!$A$2:$A$1247,$A15,Quality!$D$2:$D$1247,"foodwaste_visual")</f>
        <v/>
      </c>
      <c r="H15">
        <f>IF(C15&gt;$B$2,1,0)</f>
        <v/>
      </c>
      <c r="I15">
        <f>IF(D15&gt;$B$2,1,0)</f>
        <v/>
      </c>
      <c r="J15">
        <f>IF(E15&lt;$F$2,1,0)</f>
        <v/>
      </c>
      <c r="K15">
        <f>IF(OR(F15&lt;$H$2,G15&lt;$H$2),1,0)</f>
        <v/>
      </c>
      <c r="L15">
        <f>IF(SUM(H15:K15)&gt;0,"Exclude","Keep")</f>
        <v/>
      </c>
      <c r="M15">
        <f>IF(H15=1,"Pre-study accuracy",IF(I15=1,"Post-study accuracy",IF(J15=1,"Eye tracking quality",IF(K15=1,"Face quality",""))))</f>
        <v/>
      </c>
      <c r="N15">
        <f>MAX(C15:D15)</f>
        <v/>
      </c>
      <c r="O15">
        <f>IF(AND(L15="Keep",N15&lt;=$D$2),"Keep","Exclude")</f>
        <v/>
      </c>
      <c r="P15">
        <f>D15-C15</f>
        <v/>
      </c>
      <c r="R15" t="inlineStr">
        <is>
          <t>Failed (any): Post-study accuracy</t>
        </is>
      </c>
      <c r="S15" s="7">
        <f>SUM(I5:I182)</f>
        <v/>
      </c>
      <c r="T15" s="14" t="inlineStr">
        <is>
          <t>=SUM(I5:I182)</t>
        </is>
      </c>
    </row>
    <row r="16">
      <c r="A16" t="inlineStr">
        <is>
          <t>RESP0014</t>
        </is>
      </c>
      <c r="B16">
        <f>INDEX(Session!$M$2:$M$261,MATCH($A16,Session!$A$2:$A$261,0))</f>
        <v/>
      </c>
      <c r="C16">
        <f>SUMIFS(Quality!$E$2:$E$1247,Quality!$A$2:$A$1247,$A16,Quality!$D$2:$D$1247,"Pre-study calibration")</f>
        <v/>
      </c>
      <c r="D16">
        <f>SUMIFS(Quality!$E$2:$E$1247,Quality!$A$2:$A$1247,$A16,Quality!$D$2:$D$1247,"Post-study calibration")</f>
        <v/>
      </c>
      <c r="E16">
        <f>SUMIFS(Quality!$F$2:$F$1247,Quality!$A$2:$A$1247,$A16,Quality!$D$2:$D$1247,"infographic")</f>
        <v/>
      </c>
      <c r="F16">
        <f>SUMIFS(Quality!$G$2:$G$1247,Quality!$A$2:$A$1247,$A16,Quality!$D$2:$D$1247,"foodwaste_narrative")</f>
        <v/>
      </c>
      <c r="G16">
        <f>SUMIFS(Quality!$G$2:$G$1247,Quality!$A$2:$A$1247,$A16,Quality!$D$2:$D$1247,"foodwaste_visual")</f>
        <v/>
      </c>
      <c r="H16">
        <f>IF(C16&gt;$B$2,1,0)</f>
        <v/>
      </c>
      <c r="I16">
        <f>IF(D16&gt;$B$2,1,0)</f>
        <v/>
      </c>
      <c r="J16">
        <f>IF(E16&lt;$F$2,1,0)</f>
        <v/>
      </c>
      <c r="K16">
        <f>IF(OR(F16&lt;$H$2,G16&lt;$H$2),1,0)</f>
        <v/>
      </c>
      <c r="L16">
        <f>IF(SUM(H16:K16)&gt;0,"Exclude","Keep")</f>
        <v/>
      </c>
      <c r="M16">
        <f>IF(H16=1,"Pre-study accuracy",IF(I16=1,"Post-study accuracy",IF(J16=1,"Eye tracking quality",IF(K16=1,"Face quality",""))))</f>
        <v/>
      </c>
      <c r="N16">
        <f>MAX(C16:D16)</f>
        <v/>
      </c>
      <c r="O16">
        <f>IF(AND(L16="Keep",N16&lt;=$D$2),"Keep","Exclude")</f>
        <v/>
      </c>
      <c r="P16">
        <f>D16-C16</f>
        <v/>
      </c>
      <c r="R16" t="inlineStr">
        <is>
          <t>Failed (any): Eye tracking quality</t>
        </is>
      </c>
      <c r="S16" s="7">
        <f>SUM(J5:J182)</f>
        <v/>
      </c>
      <c r="T16" s="14" t="inlineStr">
        <is>
          <t>=SUM(J5:J182)</t>
        </is>
      </c>
    </row>
    <row r="17">
      <c r="A17" t="inlineStr">
        <is>
          <t>RESP0015</t>
        </is>
      </c>
      <c r="B17">
        <f>INDEX(Session!$M$2:$M$261,MATCH($A17,Session!$A$2:$A$261,0))</f>
        <v/>
      </c>
      <c r="C17">
        <f>SUMIFS(Quality!$E$2:$E$1247,Quality!$A$2:$A$1247,$A17,Quality!$D$2:$D$1247,"Pre-study calibration")</f>
        <v/>
      </c>
      <c r="D17">
        <f>SUMIFS(Quality!$E$2:$E$1247,Quality!$A$2:$A$1247,$A17,Quality!$D$2:$D$1247,"Post-study calibration")</f>
        <v/>
      </c>
      <c r="E17">
        <f>SUMIFS(Quality!$F$2:$F$1247,Quality!$A$2:$A$1247,$A17,Quality!$D$2:$D$1247,"infographic")</f>
        <v/>
      </c>
      <c r="F17">
        <f>SUMIFS(Quality!$G$2:$G$1247,Quality!$A$2:$A$1247,$A17,Quality!$D$2:$D$1247,"foodwaste_narrative")</f>
        <v/>
      </c>
      <c r="G17">
        <f>SUMIFS(Quality!$G$2:$G$1247,Quality!$A$2:$A$1247,$A17,Quality!$D$2:$D$1247,"foodwaste_visual")</f>
        <v/>
      </c>
      <c r="H17">
        <f>IF(C17&gt;$B$2,1,0)</f>
        <v/>
      </c>
      <c r="I17">
        <f>IF(D17&gt;$B$2,1,0)</f>
        <v/>
      </c>
      <c r="J17">
        <f>IF(E17&lt;$F$2,1,0)</f>
        <v/>
      </c>
      <c r="K17">
        <f>IF(OR(F17&lt;$H$2,G17&lt;$H$2),1,0)</f>
        <v/>
      </c>
      <c r="L17">
        <f>IF(SUM(H17:K17)&gt;0,"Exclude","Keep")</f>
        <v/>
      </c>
      <c r="M17">
        <f>IF(H17=1,"Pre-study accuracy",IF(I17=1,"Post-study accuracy",IF(J17=1,"Eye tracking quality",IF(K17=1,"Face quality",""))))</f>
        <v/>
      </c>
      <c r="N17">
        <f>MAX(C17:D17)</f>
        <v/>
      </c>
      <c r="O17">
        <f>IF(AND(L17="Keep",N17&lt;=$D$2),"Keep","Exclude")</f>
        <v/>
      </c>
      <c r="P17">
        <f>D17-C17</f>
        <v/>
      </c>
      <c r="R17" t="inlineStr">
        <is>
          <t>Failed (any): Face quality</t>
        </is>
      </c>
      <c r="S17" s="7">
        <f>SUM(K5:K182)</f>
        <v/>
      </c>
      <c r="T17" s="14" t="inlineStr">
        <is>
          <t>=SUM(K5:K182)</t>
        </is>
      </c>
    </row>
    <row r="18">
      <c r="A18" t="inlineStr">
        <is>
          <t>RESP0016</t>
        </is>
      </c>
      <c r="B18">
        <f>INDEX(Session!$M$2:$M$261,MATCH($A18,Session!$A$2:$A$261,0))</f>
        <v/>
      </c>
      <c r="C18">
        <f>SUMIFS(Quality!$E$2:$E$1247,Quality!$A$2:$A$1247,$A18,Quality!$D$2:$D$1247,"Pre-study calibration")</f>
        <v/>
      </c>
      <c r="D18">
        <f>SUMIFS(Quality!$E$2:$E$1247,Quality!$A$2:$A$1247,$A18,Quality!$D$2:$D$1247,"Post-study calibration")</f>
        <v/>
      </c>
      <c r="E18">
        <f>SUMIFS(Quality!$F$2:$F$1247,Quality!$A$2:$A$1247,$A18,Quality!$D$2:$D$1247,"infographic")</f>
        <v/>
      </c>
      <c r="F18">
        <f>SUMIFS(Quality!$G$2:$G$1247,Quality!$A$2:$A$1247,$A18,Quality!$D$2:$D$1247,"foodwaste_narrative")</f>
        <v/>
      </c>
      <c r="G18">
        <f>SUMIFS(Quality!$G$2:$G$1247,Quality!$A$2:$A$1247,$A18,Quality!$D$2:$D$1247,"foodwaste_visual")</f>
        <v/>
      </c>
      <c r="H18">
        <f>IF(C18&gt;$B$2,1,0)</f>
        <v/>
      </c>
      <c r="I18">
        <f>IF(D18&gt;$B$2,1,0)</f>
        <v/>
      </c>
      <c r="J18">
        <f>IF(E18&lt;$F$2,1,0)</f>
        <v/>
      </c>
      <c r="K18">
        <f>IF(OR(F18&lt;$H$2,G18&lt;$H$2),1,0)</f>
        <v/>
      </c>
      <c r="L18">
        <f>IF(SUM(H18:K18)&gt;0,"Exclude","Keep")</f>
        <v/>
      </c>
      <c r="M18">
        <f>IF(H18=1,"Pre-study accuracy",IF(I18=1,"Post-study accuracy",IF(J18=1,"Eye tracking quality",IF(K18=1,"Face quality",""))))</f>
        <v/>
      </c>
      <c r="N18">
        <f>MAX(C18:D18)</f>
        <v/>
      </c>
      <c r="O18">
        <f>IF(AND(L18="Keep",N18&lt;=$D$2),"Keep","Exclude")</f>
        <v/>
      </c>
      <c r="P18">
        <f>D18-C18</f>
        <v/>
      </c>
      <c r="R18" t="inlineStr">
        <is>
          <t>Failed more than one criterion</t>
        </is>
      </c>
      <c r="S18" s="7">
        <f>SUMPRODUCT(--((H5:H182+I5:I182+J5:J182+K5:K182)&gt;1))</f>
        <v/>
      </c>
      <c r="T18" s="14" t="inlineStr">
        <is>
          <t>=SUMPRODUCT(--((H5:H182+I5:I182+J5:J182+K5:K182)&gt;1))</t>
        </is>
      </c>
    </row>
    <row r="19">
      <c r="A19" t="inlineStr">
        <is>
          <t>RESP0019</t>
        </is>
      </c>
      <c r="B19">
        <f>INDEX(Session!$M$2:$M$261,MATCH($A19,Session!$A$2:$A$261,0))</f>
        <v/>
      </c>
      <c r="C19">
        <f>SUMIFS(Quality!$E$2:$E$1247,Quality!$A$2:$A$1247,$A19,Quality!$D$2:$D$1247,"Pre-study calibration")</f>
        <v/>
      </c>
      <c r="D19">
        <f>SUMIFS(Quality!$E$2:$E$1247,Quality!$A$2:$A$1247,$A19,Quality!$D$2:$D$1247,"Post-study calibration")</f>
        <v/>
      </c>
      <c r="E19">
        <f>SUMIFS(Quality!$F$2:$F$1247,Quality!$A$2:$A$1247,$A19,Quality!$D$2:$D$1247,"infographic")</f>
        <v/>
      </c>
      <c r="F19">
        <f>SUMIFS(Quality!$G$2:$G$1247,Quality!$A$2:$A$1247,$A19,Quality!$D$2:$D$1247,"foodwaste_narrative")</f>
        <v/>
      </c>
      <c r="G19">
        <f>SUMIFS(Quality!$G$2:$G$1247,Quality!$A$2:$A$1247,$A19,Quality!$D$2:$D$1247,"foodwaste_visual")</f>
        <v/>
      </c>
      <c r="H19">
        <f>IF(C19&gt;$B$2,1,0)</f>
        <v/>
      </c>
      <c r="I19">
        <f>IF(D19&gt;$B$2,1,0)</f>
        <v/>
      </c>
      <c r="J19">
        <f>IF(E19&lt;$F$2,1,0)</f>
        <v/>
      </c>
      <c r="K19">
        <f>IF(OR(F19&lt;$H$2,G19&lt;$H$2),1,0)</f>
        <v/>
      </c>
      <c r="L19">
        <f>IF(SUM(H19:K19)&gt;0,"Exclude","Keep")</f>
        <v/>
      </c>
      <c r="M19">
        <f>IF(H19=1,"Pre-study accuracy",IF(I19=1,"Post-study accuracy",IF(J19=1,"Eye tracking quality",IF(K19=1,"Face quality",""))))</f>
        <v/>
      </c>
      <c r="N19">
        <f>MAX(C19:D19)</f>
        <v/>
      </c>
      <c r="O19">
        <f>IF(AND(L19="Keep",N19&lt;=$D$2),"Keep","Exclude")</f>
        <v/>
      </c>
      <c r="P19">
        <f>D19-C19</f>
        <v/>
      </c>
      <c r="R19" t="inlineStr">
        <is>
          <t>Failed only at the Post-study calibration</t>
        </is>
      </c>
      <c r="S19" s="7">
        <f>COUNTIFS(H5:H182,0,I5:I182,1)</f>
        <v/>
      </c>
      <c r="T19" s="14" t="inlineStr">
        <is>
          <t>=COUNTIFS(H5:H182,0,I5:I182,1)</t>
        </is>
      </c>
      <c r="U19" s="6" t="inlineStr">
        <is>
          <t>fine at the start, drifted</t>
        </is>
      </c>
    </row>
    <row r="20">
      <c r="A20" t="inlineStr">
        <is>
          <t>RESP0020</t>
        </is>
      </c>
      <c r="B20">
        <f>INDEX(Session!$M$2:$M$261,MATCH($A20,Session!$A$2:$A$261,0))</f>
        <v/>
      </c>
      <c r="C20">
        <f>SUMIFS(Quality!$E$2:$E$1247,Quality!$A$2:$A$1247,$A20,Quality!$D$2:$D$1247,"Pre-study calibration")</f>
        <v/>
      </c>
      <c r="D20">
        <f>SUMIFS(Quality!$E$2:$E$1247,Quality!$A$2:$A$1247,$A20,Quality!$D$2:$D$1247,"Post-study calibration")</f>
        <v/>
      </c>
      <c r="E20">
        <f>SUMIFS(Quality!$F$2:$F$1247,Quality!$A$2:$A$1247,$A20,Quality!$D$2:$D$1247,"infographic")</f>
        <v/>
      </c>
      <c r="F20">
        <f>SUMIFS(Quality!$G$2:$G$1247,Quality!$A$2:$A$1247,$A20,Quality!$D$2:$D$1247,"foodwaste_narrative")</f>
        <v/>
      </c>
      <c r="G20">
        <f>SUMIFS(Quality!$G$2:$G$1247,Quality!$A$2:$A$1247,$A20,Quality!$D$2:$D$1247,"foodwaste_visual")</f>
        <v/>
      </c>
      <c r="H20">
        <f>IF(C20&gt;$B$2,1,0)</f>
        <v/>
      </c>
      <c r="I20">
        <f>IF(D20&gt;$B$2,1,0)</f>
        <v/>
      </c>
      <c r="J20">
        <f>IF(E20&lt;$F$2,1,0)</f>
        <v/>
      </c>
      <c r="K20">
        <f>IF(OR(F20&lt;$H$2,G20&lt;$H$2),1,0)</f>
        <v/>
      </c>
      <c r="L20">
        <f>IF(SUM(H20:K20)&gt;0,"Exclude","Keep")</f>
        <v/>
      </c>
      <c r="M20">
        <f>IF(H20=1,"Pre-study accuracy",IF(I20=1,"Post-study accuracy",IF(J20=1,"Eye tracking quality",IF(K20=1,"Face quality",""))))</f>
        <v/>
      </c>
      <c r="N20">
        <f>MAX(C20:D20)</f>
        <v/>
      </c>
      <c r="O20">
        <f>IF(AND(L20="Keep",N20&lt;=$D$2),"Keep","Exclude")</f>
        <v/>
      </c>
      <c r="P20">
        <f>D20-C20</f>
        <v/>
      </c>
      <c r="R20" t="inlineStr">
        <is>
          <t>Kept, Narrative first</t>
        </is>
      </c>
      <c r="S20" s="7">
        <f>COUNTIFS($B$5:$B$182,"Narrative first",$L$5:$L$182,"Keep")</f>
        <v/>
      </c>
      <c r="T20" s="14" t="inlineStr">
        <is>
          <t>=COUNTIFS($B$5:$B$182,"Narrative first",$L$5:$L$182,"Keep")</t>
        </is>
      </c>
    </row>
    <row r="21">
      <c r="A21" t="inlineStr">
        <is>
          <t>RESP0022</t>
        </is>
      </c>
      <c r="B21">
        <f>INDEX(Session!$M$2:$M$261,MATCH($A21,Session!$A$2:$A$261,0))</f>
        <v/>
      </c>
      <c r="C21">
        <f>SUMIFS(Quality!$E$2:$E$1247,Quality!$A$2:$A$1247,$A21,Quality!$D$2:$D$1247,"Pre-study calibration")</f>
        <v/>
      </c>
      <c r="D21">
        <f>SUMIFS(Quality!$E$2:$E$1247,Quality!$A$2:$A$1247,$A21,Quality!$D$2:$D$1247,"Post-study calibration")</f>
        <v/>
      </c>
      <c r="E21">
        <f>SUMIFS(Quality!$F$2:$F$1247,Quality!$A$2:$A$1247,$A21,Quality!$D$2:$D$1247,"infographic")</f>
        <v/>
      </c>
      <c r="F21">
        <f>SUMIFS(Quality!$G$2:$G$1247,Quality!$A$2:$A$1247,$A21,Quality!$D$2:$D$1247,"foodwaste_narrative")</f>
        <v/>
      </c>
      <c r="G21">
        <f>SUMIFS(Quality!$G$2:$G$1247,Quality!$A$2:$A$1247,$A21,Quality!$D$2:$D$1247,"foodwaste_visual")</f>
        <v/>
      </c>
      <c r="H21">
        <f>IF(C21&gt;$B$2,1,0)</f>
        <v/>
      </c>
      <c r="I21">
        <f>IF(D21&gt;$B$2,1,0)</f>
        <v/>
      </c>
      <c r="J21">
        <f>IF(E21&lt;$F$2,1,0)</f>
        <v/>
      </c>
      <c r="K21">
        <f>IF(OR(F21&lt;$H$2,G21&lt;$H$2),1,0)</f>
        <v/>
      </c>
      <c r="L21">
        <f>IF(SUM(H21:K21)&gt;0,"Exclude","Keep")</f>
        <v/>
      </c>
      <c r="M21">
        <f>IF(H21=1,"Pre-study accuracy",IF(I21=1,"Post-study accuracy",IF(J21=1,"Eye tracking quality",IF(K21=1,"Face quality",""))))</f>
        <v/>
      </c>
      <c r="N21">
        <f>MAX(C21:D21)</f>
        <v/>
      </c>
      <c r="O21">
        <f>IF(AND(L21="Keep",N21&lt;=$D$2),"Keep","Exclude")</f>
        <v/>
      </c>
      <c r="P21">
        <f>D21-C21</f>
        <v/>
      </c>
      <c r="R21" t="inlineStr">
        <is>
          <t>Kept, Visual first</t>
        </is>
      </c>
      <c r="S21" s="7">
        <f>COUNTIFS($B$5:$B$182,"Visual first",$L$5:$L$182,"Keep")</f>
        <v/>
      </c>
      <c r="T21" s="14" t="inlineStr">
        <is>
          <t>=COUNTIFS($B$5:$B$182,"Visual first",$L$5:$L$182,"Keep")</t>
        </is>
      </c>
    </row>
    <row r="22">
      <c r="A22" t="inlineStr">
        <is>
          <t>RESP0023</t>
        </is>
      </c>
      <c r="B22">
        <f>INDEX(Session!$M$2:$M$261,MATCH($A22,Session!$A$2:$A$261,0))</f>
        <v/>
      </c>
      <c r="C22">
        <f>SUMIFS(Quality!$E$2:$E$1247,Quality!$A$2:$A$1247,$A22,Quality!$D$2:$D$1247,"Pre-study calibration")</f>
        <v/>
      </c>
      <c r="D22">
        <f>SUMIFS(Quality!$E$2:$E$1247,Quality!$A$2:$A$1247,$A22,Quality!$D$2:$D$1247,"Post-study calibration")</f>
        <v/>
      </c>
      <c r="E22">
        <f>SUMIFS(Quality!$F$2:$F$1247,Quality!$A$2:$A$1247,$A22,Quality!$D$2:$D$1247,"infographic")</f>
        <v/>
      </c>
      <c r="F22">
        <f>SUMIFS(Quality!$G$2:$G$1247,Quality!$A$2:$A$1247,$A22,Quality!$D$2:$D$1247,"foodwaste_narrative")</f>
        <v/>
      </c>
      <c r="G22">
        <f>SUMIFS(Quality!$G$2:$G$1247,Quality!$A$2:$A$1247,$A22,Quality!$D$2:$D$1247,"foodwaste_visual")</f>
        <v/>
      </c>
      <c r="H22">
        <f>IF(C22&gt;$B$2,1,0)</f>
        <v/>
      </c>
      <c r="I22">
        <f>IF(D22&gt;$B$2,1,0)</f>
        <v/>
      </c>
      <c r="J22">
        <f>IF(E22&lt;$F$2,1,0)</f>
        <v/>
      </c>
      <c r="K22">
        <f>IF(OR(F22&lt;$H$2,G22&lt;$H$2),1,0)</f>
        <v/>
      </c>
      <c r="L22">
        <f>IF(SUM(H22:K22)&gt;0,"Exclude","Keep")</f>
        <v/>
      </c>
      <c r="M22">
        <f>IF(H22=1,"Pre-study accuracy",IF(I22=1,"Post-study accuracy",IF(J22=1,"Eye tracking quality",IF(K22=1,"Face quality",""))))</f>
        <v/>
      </c>
      <c r="N22">
        <f>MAX(C22:D22)</f>
        <v/>
      </c>
      <c r="O22">
        <f>IF(AND(L22="Keep",N22&lt;=$D$2),"Keep","Exclude")</f>
        <v/>
      </c>
      <c r="P22">
        <f>D22-C22</f>
        <v/>
      </c>
      <c r="R22" t="inlineStr">
        <is>
          <t>Kept at 3.0 degrees</t>
        </is>
      </c>
      <c r="S22" s="7">
        <f>COUNTIF($O$5:$O$182,"Keep")</f>
        <v/>
      </c>
      <c r="T22" s="14" t="inlineStr">
        <is>
          <t>=COUNTIF($O$5:$O$182,"Keep")</t>
        </is>
      </c>
    </row>
    <row r="23">
      <c r="A23" t="inlineStr">
        <is>
          <t>RESP0024</t>
        </is>
      </c>
      <c r="B23">
        <f>INDEX(Session!$M$2:$M$261,MATCH($A23,Session!$A$2:$A$261,0))</f>
        <v/>
      </c>
      <c r="C23">
        <f>SUMIFS(Quality!$E$2:$E$1247,Quality!$A$2:$A$1247,$A23,Quality!$D$2:$D$1247,"Pre-study calibration")</f>
        <v/>
      </c>
      <c r="D23">
        <f>SUMIFS(Quality!$E$2:$E$1247,Quality!$A$2:$A$1247,$A23,Quality!$D$2:$D$1247,"Post-study calibration")</f>
        <v/>
      </c>
      <c r="E23">
        <f>SUMIFS(Quality!$F$2:$F$1247,Quality!$A$2:$A$1247,$A23,Quality!$D$2:$D$1247,"infographic")</f>
        <v/>
      </c>
      <c r="F23">
        <f>SUMIFS(Quality!$G$2:$G$1247,Quality!$A$2:$A$1247,$A23,Quality!$D$2:$D$1247,"foodwaste_narrative")</f>
        <v/>
      </c>
      <c r="G23">
        <f>SUMIFS(Quality!$G$2:$G$1247,Quality!$A$2:$A$1247,$A23,Quality!$D$2:$D$1247,"foodwaste_visual")</f>
        <v/>
      </c>
      <c r="H23">
        <f>IF(C23&gt;$B$2,1,0)</f>
        <v/>
      </c>
      <c r="I23">
        <f>IF(D23&gt;$B$2,1,0)</f>
        <v/>
      </c>
      <c r="J23">
        <f>IF(E23&lt;$F$2,1,0)</f>
        <v/>
      </c>
      <c r="K23">
        <f>IF(OR(F23&lt;$H$2,G23&lt;$H$2),1,0)</f>
        <v/>
      </c>
      <c r="L23">
        <f>IF(SUM(H23:K23)&gt;0,"Exclude","Keep")</f>
        <v/>
      </c>
      <c r="M23">
        <f>IF(H23=1,"Pre-study accuracy",IF(I23=1,"Post-study accuracy",IF(J23=1,"Eye tracking quality",IF(K23=1,"Face quality",""))))</f>
        <v/>
      </c>
      <c r="N23">
        <f>MAX(C23:D23)</f>
        <v/>
      </c>
      <c r="O23">
        <f>IF(AND(L23="Keep",N23&lt;=$D$2),"Keep","Exclude")</f>
        <v/>
      </c>
      <c r="P23">
        <f>D23-C23</f>
        <v/>
      </c>
      <c r="R23" t="inlineStr">
        <is>
          <t>Further removed at 3.0 degrees</t>
        </is>
      </c>
      <c r="S23" s="7">
        <f>S9-S22</f>
        <v/>
      </c>
      <c r="T23" s="14" t="inlineStr">
        <is>
          <t>=S9-S22</t>
        </is>
      </c>
    </row>
    <row r="24">
      <c r="A24" t="inlineStr">
        <is>
          <t>RESP0025</t>
        </is>
      </c>
      <c r="B24">
        <f>INDEX(Session!$M$2:$M$261,MATCH($A24,Session!$A$2:$A$261,0))</f>
        <v/>
      </c>
      <c r="C24">
        <f>SUMIFS(Quality!$E$2:$E$1247,Quality!$A$2:$A$1247,$A24,Quality!$D$2:$D$1247,"Pre-study calibration")</f>
        <v/>
      </c>
      <c r="D24">
        <f>SUMIFS(Quality!$E$2:$E$1247,Quality!$A$2:$A$1247,$A24,Quality!$D$2:$D$1247,"Post-study calibration")</f>
        <v/>
      </c>
      <c r="E24">
        <f>SUMIFS(Quality!$F$2:$F$1247,Quality!$A$2:$A$1247,$A24,Quality!$D$2:$D$1247,"infographic")</f>
        <v/>
      </c>
      <c r="F24">
        <f>SUMIFS(Quality!$G$2:$G$1247,Quality!$A$2:$A$1247,$A24,Quality!$D$2:$D$1247,"foodwaste_narrative")</f>
        <v/>
      </c>
      <c r="G24">
        <f>SUMIFS(Quality!$G$2:$G$1247,Quality!$A$2:$A$1247,$A24,Quality!$D$2:$D$1247,"foodwaste_visual")</f>
        <v/>
      </c>
      <c r="H24">
        <f>IF(C24&gt;$B$2,1,0)</f>
        <v/>
      </c>
      <c r="I24">
        <f>IF(D24&gt;$B$2,1,0)</f>
        <v/>
      </c>
      <c r="J24">
        <f>IF(E24&lt;$F$2,1,0)</f>
        <v/>
      </c>
      <c r="K24">
        <f>IF(OR(F24&lt;$H$2,G24&lt;$H$2),1,0)</f>
        <v/>
      </c>
      <c r="L24">
        <f>IF(SUM(H24:K24)&gt;0,"Exclude","Keep")</f>
        <v/>
      </c>
      <c r="M24">
        <f>IF(H24=1,"Pre-study accuracy",IF(I24=1,"Post-study accuracy",IF(J24=1,"Eye tracking quality",IF(K24=1,"Face quality",""))))</f>
        <v/>
      </c>
      <c r="N24">
        <f>MAX(C24:D24)</f>
        <v/>
      </c>
      <c r="O24">
        <f>IF(AND(L24="Keep",N24&lt;=$D$2),"Keep","Exclude")</f>
        <v/>
      </c>
      <c r="P24">
        <f>D24-C24</f>
        <v/>
      </c>
    </row>
    <row r="25">
      <c r="A25" t="inlineStr">
        <is>
          <t>RESP0026</t>
        </is>
      </c>
      <c r="B25">
        <f>INDEX(Session!$M$2:$M$261,MATCH($A25,Session!$A$2:$A$261,0))</f>
        <v/>
      </c>
      <c r="C25">
        <f>SUMIFS(Quality!$E$2:$E$1247,Quality!$A$2:$A$1247,$A25,Quality!$D$2:$D$1247,"Pre-study calibration")</f>
        <v/>
      </c>
      <c r="D25">
        <f>SUMIFS(Quality!$E$2:$E$1247,Quality!$A$2:$A$1247,$A25,Quality!$D$2:$D$1247,"Post-study calibration")</f>
        <v/>
      </c>
      <c r="E25">
        <f>SUMIFS(Quality!$F$2:$F$1247,Quality!$A$2:$A$1247,$A25,Quality!$D$2:$D$1247,"infographic")</f>
        <v/>
      </c>
      <c r="F25">
        <f>SUMIFS(Quality!$G$2:$G$1247,Quality!$A$2:$A$1247,$A25,Quality!$D$2:$D$1247,"foodwaste_narrative")</f>
        <v/>
      </c>
      <c r="G25">
        <f>SUMIFS(Quality!$G$2:$G$1247,Quality!$A$2:$A$1247,$A25,Quality!$D$2:$D$1247,"foodwaste_visual")</f>
        <v/>
      </c>
      <c r="H25">
        <f>IF(C25&gt;$B$2,1,0)</f>
        <v/>
      </c>
      <c r="I25">
        <f>IF(D25&gt;$B$2,1,0)</f>
        <v/>
      </c>
      <c r="J25">
        <f>IF(E25&lt;$F$2,1,0)</f>
        <v/>
      </c>
      <c r="K25">
        <f>IF(OR(F25&lt;$H$2,G25&lt;$H$2),1,0)</f>
        <v/>
      </c>
      <c r="L25">
        <f>IF(SUM(H25:K25)&gt;0,"Exclude","Keep")</f>
        <v/>
      </c>
      <c r="M25">
        <f>IF(H25=1,"Pre-study accuracy",IF(I25=1,"Post-study accuracy",IF(J25=1,"Eye tracking quality",IF(K25=1,"Face quality",""))))</f>
        <v/>
      </c>
      <c r="N25">
        <f>MAX(C25:D25)</f>
        <v/>
      </c>
      <c r="O25">
        <f>IF(AND(L25="Keep",N25&lt;=$D$2),"Keep","Exclude")</f>
        <v/>
      </c>
      <c r="P25">
        <f>D25-C25</f>
        <v/>
      </c>
    </row>
    <row r="26">
      <c r="A26" t="inlineStr">
        <is>
          <t>RESP0028</t>
        </is>
      </c>
      <c r="B26">
        <f>INDEX(Session!$M$2:$M$261,MATCH($A26,Session!$A$2:$A$261,0))</f>
        <v/>
      </c>
      <c r="C26">
        <f>SUMIFS(Quality!$E$2:$E$1247,Quality!$A$2:$A$1247,$A26,Quality!$D$2:$D$1247,"Pre-study calibration")</f>
        <v/>
      </c>
      <c r="D26">
        <f>SUMIFS(Quality!$E$2:$E$1247,Quality!$A$2:$A$1247,$A26,Quality!$D$2:$D$1247,"Post-study calibration")</f>
        <v/>
      </c>
      <c r="E26">
        <f>SUMIFS(Quality!$F$2:$F$1247,Quality!$A$2:$A$1247,$A26,Quality!$D$2:$D$1247,"infographic")</f>
        <v/>
      </c>
      <c r="F26">
        <f>SUMIFS(Quality!$G$2:$G$1247,Quality!$A$2:$A$1247,$A26,Quality!$D$2:$D$1247,"foodwaste_narrative")</f>
        <v/>
      </c>
      <c r="G26">
        <f>SUMIFS(Quality!$G$2:$G$1247,Quality!$A$2:$A$1247,$A26,Quality!$D$2:$D$1247,"foodwaste_visual")</f>
        <v/>
      </c>
      <c r="H26">
        <f>IF(C26&gt;$B$2,1,0)</f>
        <v/>
      </c>
      <c r="I26">
        <f>IF(D26&gt;$B$2,1,0)</f>
        <v/>
      </c>
      <c r="J26">
        <f>IF(E26&lt;$F$2,1,0)</f>
        <v/>
      </c>
      <c r="K26">
        <f>IF(OR(F26&lt;$H$2,G26&lt;$H$2),1,0)</f>
        <v/>
      </c>
      <c r="L26">
        <f>IF(SUM(H26:K26)&gt;0,"Exclude","Keep")</f>
        <v/>
      </c>
      <c r="M26">
        <f>IF(H26=1,"Pre-study accuracy",IF(I26=1,"Post-study accuracy",IF(J26=1,"Eye tracking quality",IF(K26=1,"Face quality",""))))</f>
        <v/>
      </c>
      <c r="N26">
        <f>MAX(C26:D26)</f>
        <v/>
      </c>
      <c r="O26">
        <f>IF(AND(L26="Keep",N26&lt;=$D$2),"Keep","Exclude")</f>
        <v/>
      </c>
      <c r="P26">
        <f>D26-C26</f>
        <v/>
      </c>
      <c r="R26" s="10" t="inlineStr">
        <is>
          <t>Statistic</t>
        </is>
      </c>
      <c r="S26" s="10" t="inlineStr">
        <is>
          <t>Value</t>
        </is>
      </c>
      <c r="T26" s="10" t="inlineStr">
        <is>
          <t>Formula shown</t>
        </is>
      </c>
      <c r="U26" s="10" t="inlineStr">
        <is>
          <t>Note</t>
        </is>
      </c>
    </row>
    <row r="27">
      <c r="A27" t="inlineStr">
        <is>
          <t>RESP0029</t>
        </is>
      </c>
      <c r="B27">
        <f>INDEX(Session!$M$2:$M$261,MATCH($A27,Session!$A$2:$A$261,0))</f>
        <v/>
      </c>
      <c r="C27">
        <f>SUMIFS(Quality!$E$2:$E$1247,Quality!$A$2:$A$1247,$A27,Quality!$D$2:$D$1247,"Pre-study calibration")</f>
        <v/>
      </c>
      <c r="D27">
        <f>SUMIFS(Quality!$E$2:$E$1247,Quality!$A$2:$A$1247,$A27,Quality!$D$2:$D$1247,"Post-study calibration")</f>
        <v/>
      </c>
      <c r="E27">
        <f>SUMIFS(Quality!$F$2:$F$1247,Quality!$A$2:$A$1247,$A27,Quality!$D$2:$D$1247,"infographic")</f>
        <v/>
      </c>
      <c r="F27">
        <f>SUMIFS(Quality!$G$2:$G$1247,Quality!$A$2:$A$1247,$A27,Quality!$D$2:$D$1247,"foodwaste_narrative")</f>
        <v/>
      </c>
      <c r="G27">
        <f>SUMIFS(Quality!$G$2:$G$1247,Quality!$A$2:$A$1247,$A27,Quality!$D$2:$D$1247,"foodwaste_visual")</f>
        <v/>
      </c>
      <c r="H27">
        <f>IF(C27&gt;$B$2,1,0)</f>
        <v/>
      </c>
      <c r="I27">
        <f>IF(D27&gt;$B$2,1,0)</f>
        <v/>
      </c>
      <c r="J27">
        <f>IF(E27&lt;$F$2,1,0)</f>
        <v/>
      </c>
      <c r="K27">
        <f>IF(OR(F27&lt;$H$2,G27&lt;$H$2),1,0)</f>
        <v/>
      </c>
      <c r="L27">
        <f>IF(SUM(H27:K27)&gt;0,"Exclude","Keep")</f>
        <v/>
      </c>
      <c r="M27">
        <f>IF(H27=1,"Pre-study accuracy",IF(I27=1,"Post-study accuracy",IF(J27=1,"Eye tracking quality",IF(K27=1,"Face quality",""))))</f>
        <v/>
      </c>
      <c r="N27">
        <f>MAX(C27:D27)</f>
        <v/>
      </c>
      <c r="O27">
        <f>IF(AND(L27="Keep",N27&lt;=$D$2),"Keep","Exclude")</f>
        <v/>
      </c>
      <c r="P27">
        <f>D27-C27</f>
        <v/>
      </c>
      <c r="R27" s="12" t="inlineStr">
        <is>
          <t>Calibration drift: Pre-study versus Post-study accuracy (all completed respondents)</t>
        </is>
      </c>
    </row>
    <row r="28">
      <c r="A28" t="inlineStr">
        <is>
          <t>RESP0031</t>
        </is>
      </c>
      <c r="B28">
        <f>INDEX(Session!$M$2:$M$261,MATCH($A28,Session!$A$2:$A$261,0))</f>
        <v/>
      </c>
      <c r="C28">
        <f>SUMIFS(Quality!$E$2:$E$1247,Quality!$A$2:$A$1247,$A28,Quality!$D$2:$D$1247,"Pre-study calibration")</f>
        <v/>
      </c>
      <c r="D28">
        <f>SUMIFS(Quality!$E$2:$E$1247,Quality!$A$2:$A$1247,$A28,Quality!$D$2:$D$1247,"Post-study calibration")</f>
        <v/>
      </c>
      <c r="E28">
        <f>SUMIFS(Quality!$F$2:$F$1247,Quality!$A$2:$A$1247,$A28,Quality!$D$2:$D$1247,"infographic")</f>
        <v/>
      </c>
      <c r="F28">
        <f>SUMIFS(Quality!$G$2:$G$1247,Quality!$A$2:$A$1247,$A28,Quality!$D$2:$D$1247,"foodwaste_narrative")</f>
        <v/>
      </c>
      <c r="G28">
        <f>SUMIFS(Quality!$G$2:$G$1247,Quality!$A$2:$A$1247,$A28,Quality!$D$2:$D$1247,"foodwaste_visual")</f>
        <v/>
      </c>
      <c r="H28">
        <f>IF(C28&gt;$B$2,1,0)</f>
        <v/>
      </c>
      <c r="I28">
        <f>IF(D28&gt;$B$2,1,0)</f>
        <v/>
      </c>
      <c r="J28">
        <f>IF(E28&lt;$F$2,1,0)</f>
        <v/>
      </c>
      <c r="K28">
        <f>IF(OR(F28&lt;$H$2,G28&lt;$H$2),1,0)</f>
        <v/>
      </c>
      <c r="L28">
        <f>IF(SUM(H28:K28)&gt;0,"Exclude","Keep")</f>
        <v/>
      </c>
      <c r="M28">
        <f>IF(H28=1,"Pre-study accuracy",IF(I28=1,"Post-study accuracy",IF(J28=1,"Eye tracking quality",IF(K28=1,"Face quality",""))))</f>
        <v/>
      </c>
      <c r="N28">
        <f>MAX(C28:D28)</f>
        <v/>
      </c>
      <c r="O28">
        <f>IF(AND(L28="Keep",N28&lt;=$D$2),"Keep","Exclude")</f>
        <v/>
      </c>
      <c r="P28">
        <f>D28-C28</f>
        <v/>
      </c>
      <c r="R28" t="inlineStr">
        <is>
          <t>Pre-study mean (degrees)</t>
        </is>
      </c>
      <c r="S28" s="13">
        <f>AVERAGE(C5:C182)</f>
        <v/>
      </c>
      <c r="T28" s="14" t="inlineStr">
        <is>
          <t>=AVERAGE(C5:C182)</t>
        </is>
      </c>
      <c r="U28" s="6" t="inlineStr">
        <is>
          <t>AVERAGE of the first column</t>
        </is>
      </c>
    </row>
    <row r="29">
      <c r="A29" t="inlineStr">
        <is>
          <t>RESP0032</t>
        </is>
      </c>
      <c r="B29">
        <f>INDEX(Session!$M$2:$M$261,MATCH($A29,Session!$A$2:$A$261,0))</f>
        <v/>
      </c>
      <c r="C29">
        <f>SUMIFS(Quality!$E$2:$E$1247,Quality!$A$2:$A$1247,$A29,Quality!$D$2:$D$1247,"Pre-study calibration")</f>
        <v/>
      </c>
      <c r="D29">
        <f>SUMIFS(Quality!$E$2:$E$1247,Quality!$A$2:$A$1247,$A29,Quality!$D$2:$D$1247,"Post-study calibration")</f>
        <v/>
      </c>
      <c r="E29">
        <f>SUMIFS(Quality!$F$2:$F$1247,Quality!$A$2:$A$1247,$A29,Quality!$D$2:$D$1247,"infographic")</f>
        <v/>
      </c>
      <c r="F29">
        <f>SUMIFS(Quality!$G$2:$G$1247,Quality!$A$2:$A$1247,$A29,Quality!$D$2:$D$1247,"foodwaste_narrative")</f>
        <v/>
      </c>
      <c r="G29">
        <f>SUMIFS(Quality!$G$2:$G$1247,Quality!$A$2:$A$1247,$A29,Quality!$D$2:$D$1247,"foodwaste_visual")</f>
        <v/>
      </c>
      <c r="H29">
        <f>IF(C29&gt;$B$2,1,0)</f>
        <v/>
      </c>
      <c r="I29">
        <f>IF(D29&gt;$B$2,1,0)</f>
        <v/>
      </c>
      <c r="J29">
        <f>IF(E29&lt;$F$2,1,0)</f>
        <v/>
      </c>
      <c r="K29">
        <f>IF(OR(F29&lt;$H$2,G29&lt;$H$2),1,0)</f>
        <v/>
      </c>
      <c r="L29">
        <f>IF(SUM(H29:K29)&gt;0,"Exclude","Keep")</f>
        <v/>
      </c>
      <c r="M29">
        <f>IF(H29=1,"Pre-study accuracy",IF(I29=1,"Post-study accuracy",IF(J29=1,"Eye tracking quality",IF(K29=1,"Face quality",""))))</f>
        <v/>
      </c>
      <c r="N29">
        <f>MAX(C29:D29)</f>
        <v/>
      </c>
      <c r="O29">
        <f>IF(AND(L29="Keep",N29&lt;=$D$2),"Keep","Exclude")</f>
        <v/>
      </c>
      <c r="P29">
        <f>D29-C29</f>
        <v/>
      </c>
      <c r="R29" t="inlineStr">
        <is>
          <t>Pre-study SD</t>
        </is>
      </c>
      <c r="S29" s="13">
        <f>_xlfn.STDEV.S(C5:C182)</f>
        <v/>
      </c>
      <c r="T29" s="14" t="inlineStr">
        <is>
          <t>=STDEV.S(C5:C182)</t>
        </is>
      </c>
      <c r="U29" s="6" t="inlineStr">
        <is>
          <t>STDEV.S = sample standard deviation</t>
        </is>
      </c>
    </row>
    <row r="30">
      <c r="A30" t="inlineStr">
        <is>
          <t>RESP0035</t>
        </is>
      </c>
      <c r="B30">
        <f>INDEX(Session!$M$2:$M$261,MATCH($A30,Session!$A$2:$A$261,0))</f>
        <v/>
      </c>
      <c r="C30">
        <f>SUMIFS(Quality!$E$2:$E$1247,Quality!$A$2:$A$1247,$A30,Quality!$D$2:$D$1247,"Pre-study calibration")</f>
        <v/>
      </c>
      <c r="D30">
        <f>SUMIFS(Quality!$E$2:$E$1247,Quality!$A$2:$A$1247,$A30,Quality!$D$2:$D$1247,"Post-study calibration")</f>
        <v/>
      </c>
      <c r="E30">
        <f>SUMIFS(Quality!$F$2:$F$1247,Quality!$A$2:$A$1247,$A30,Quality!$D$2:$D$1247,"infographic")</f>
        <v/>
      </c>
      <c r="F30">
        <f>SUMIFS(Quality!$G$2:$G$1247,Quality!$A$2:$A$1247,$A30,Quality!$D$2:$D$1247,"foodwaste_narrative")</f>
        <v/>
      </c>
      <c r="G30">
        <f>SUMIFS(Quality!$G$2:$G$1247,Quality!$A$2:$A$1247,$A30,Quality!$D$2:$D$1247,"foodwaste_visual")</f>
        <v/>
      </c>
      <c r="H30">
        <f>IF(C30&gt;$B$2,1,0)</f>
        <v/>
      </c>
      <c r="I30">
        <f>IF(D30&gt;$B$2,1,0)</f>
        <v/>
      </c>
      <c r="J30">
        <f>IF(E30&lt;$F$2,1,0)</f>
        <v/>
      </c>
      <c r="K30">
        <f>IF(OR(F30&lt;$H$2,G30&lt;$H$2),1,0)</f>
        <v/>
      </c>
      <c r="L30">
        <f>IF(SUM(H30:K30)&gt;0,"Exclude","Keep")</f>
        <v/>
      </c>
      <c r="M30">
        <f>IF(H30=1,"Pre-study accuracy",IF(I30=1,"Post-study accuracy",IF(J30=1,"Eye tracking quality",IF(K30=1,"Face quality",""))))</f>
        <v/>
      </c>
      <c r="N30">
        <f>MAX(C30:D30)</f>
        <v/>
      </c>
      <c r="O30">
        <f>IF(AND(L30="Keep",N30&lt;=$D$2),"Keep","Exclude")</f>
        <v/>
      </c>
      <c r="P30">
        <f>D30-C30</f>
        <v/>
      </c>
      <c r="R30" t="inlineStr">
        <is>
          <t>Post-study mean (degrees)</t>
        </is>
      </c>
      <c r="S30" s="13">
        <f>AVERAGE(D5:D182)</f>
        <v/>
      </c>
      <c r="T30" s="14" t="inlineStr">
        <is>
          <t>=AVERAGE(D5:D182)</t>
        </is>
      </c>
    </row>
    <row r="31">
      <c r="A31" t="inlineStr">
        <is>
          <t>RESP0036</t>
        </is>
      </c>
      <c r="B31">
        <f>INDEX(Session!$M$2:$M$261,MATCH($A31,Session!$A$2:$A$261,0))</f>
        <v/>
      </c>
      <c r="C31">
        <f>SUMIFS(Quality!$E$2:$E$1247,Quality!$A$2:$A$1247,$A31,Quality!$D$2:$D$1247,"Pre-study calibration")</f>
        <v/>
      </c>
      <c r="D31">
        <f>SUMIFS(Quality!$E$2:$E$1247,Quality!$A$2:$A$1247,$A31,Quality!$D$2:$D$1247,"Post-study calibration")</f>
        <v/>
      </c>
      <c r="E31">
        <f>SUMIFS(Quality!$F$2:$F$1247,Quality!$A$2:$A$1247,$A31,Quality!$D$2:$D$1247,"infographic")</f>
        <v/>
      </c>
      <c r="F31">
        <f>SUMIFS(Quality!$G$2:$G$1247,Quality!$A$2:$A$1247,$A31,Quality!$D$2:$D$1247,"foodwaste_narrative")</f>
        <v/>
      </c>
      <c r="G31">
        <f>SUMIFS(Quality!$G$2:$G$1247,Quality!$A$2:$A$1247,$A31,Quality!$D$2:$D$1247,"foodwaste_visual")</f>
        <v/>
      </c>
      <c r="H31">
        <f>IF(C31&gt;$B$2,1,0)</f>
        <v/>
      </c>
      <c r="I31">
        <f>IF(D31&gt;$B$2,1,0)</f>
        <v/>
      </c>
      <c r="J31">
        <f>IF(E31&lt;$F$2,1,0)</f>
        <v/>
      </c>
      <c r="K31">
        <f>IF(OR(F31&lt;$H$2,G31&lt;$H$2),1,0)</f>
        <v/>
      </c>
      <c r="L31">
        <f>IF(SUM(H31:K31)&gt;0,"Exclude","Keep")</f>
        <v/>
      </c>
      <c r="M31">
        <f>IF(H31=1,"Pre-study accuracy",IF(I31=1,"Post-study accuracy",IF(J31=1,"Eye tracking quality",IF(K31=1,"Face quality",""))))</f>
        <v/>
      </c>
      <c r="N31">
        <f>MAX(C31:D31)</f>
        <v/>
      </c>
      <c r="O31">
        <f>IF(AND(L31="Keep",N31&lt;=$D$2),"Keep","Exclude")</f>
        <v/>
      </c>
      <c r="P31">
        <f>D31-C31</f>
        <v/>
      </c>
      <c r="R31" t="inlineStr">
        <is>
          <t>Post-study SD</t>
        </is>
      </c>
      <c r="S31" s="13">
        <f>_xlfn.STDEV.S(D5:D182)</f>
        <v/>
      </c>
      <c r="T31" s="14" t="inlineStr">
        <is>
          <t>=STDEV.S(D5:D182)</t>
        </is>
      </c>
    </row>
    <row r="32">
      <c r="A32" t="inlineStr">
        <is>
          <t>RESP0037</t>
        </is>
      </c>
      <c r="B32">
        <f>INDEX(Session!$M$2:$M$261,MATCH($A32,Session!$A$2:$A$261,0))</f>
        <v/>
      </c>
      <c r="C32">
        <f>SUMIFS(Quality!$E$2:$E$1247,Quality!$A$2:$A$1247,$A32,Quality!$D$2:$D$1247,"Pre-study calibration")</f>
        <v/>
      </c>
      <c r="D32">
        <f>SUMIFS(Quality!$E$2:$E$1247,Quality!$A$2:$A$1247,$A32,Quality!$D$2:$D$1247,"Post-study calibration")</f>
        <v/>
      </c>
      <c r="E32">
        <f>SUMIFS(Quality!$F$2:$F$1247,Quality!$A$2:$A$1247,$A32,Quality!$D$2:$D$1247,"infographic")</f>
        <v/>
      </c>
      <c r="F32">
        <f>SUMIFS(Quality!$G$2:$G$1247,Quality!$A$2:$A$1247,$A32,Quality!$D$2:$D$1247,"foodwaste_narrative")</f>
        <v/>
      </c>
      <c r="G32">
        <f>SUMIFS(Quality!$G$2:$G$1247,Quality!$A$2:$A$1247,$A32,Quality!$D$2:$D$1247,"foodwaste_visual")</f>
        <v/>
      </c>
      <c r="H32">
        <f>IF(C32&gt;$B$2,1,0)</f>
        <v/>
      </c>
      <c r="I32">
        <f>IF(D32&gt;$B$2,1,0)</f>
        <v/>
      </c>
      <c r="J32">
        <f>IF(E32&lt;$F$2,1,0)</f>
        <v/>
      </c>
      <c r="K32">
        <f>IF(OR(F32&lt;$H$2,G32&lt;$H$2),1,0)</f>
        <v/>
      </c>
      <c r="L32">
        <f>IF(SUM(H32:K32)&gt;0,"Exclude","Keep")</f>
        <v/>
      </c>
      <c r="M32">
        <f>IF(H32=1,"Pre-study accuracy",IF(I32=1,"Post-study accuracy",IF(J32=1,"Eye tracking quality",IF(K32=1,"Face quality",""))))</f>
        <v/>
      </c>
      <c r="N32">
        <f>MAX(C32:D32)</f>
        <v/>
      </c>
      <c r="O32">
        <f>IF(AND(L32="Keep",N32&lt;=$D$2),"Keep","Exclude")</f>
        <v/>
      </c>
      <c r="P32">
        <f>D32-C32</f>
        <v/>
      </c>
      <c r="R32" t="inlineStr">
        <is>
          <t>n (respondents)</t>
        </is>
      </c>
      <c r="S32" s="7">
        <f>COUNT(P5:P182)</f>
        <v/>
      </c>
      <c r="T32" s="14" t="inlineStr">
        <is>
          <t>=COUNT(P5:P182)</t>
        </is>
      </c>
    </row>
    <row r="33">
      <c r="A33" t="inlineStr">
        <is>
          <t>RESP0038</t>
        </is>
      </c>
      <c r="B33">
        <f>INDEX(Session!$M$2:$M$261,MATCH($A33,Session!$A$2:$A$261,0))</f>
        <v/>
      </c>
      <c r="C33">
        <f>SUMIFS(Quality!$E$2:$E$1247,Quality!$A$2:$A$1247,$A33,Quality!$D$2:$D$1247,"Pre-study calibration")</f>
        <v/>
      </c>
      <c r="D33">
        <f>SUMIFS(Quality!$E$2:$E$1247,Quality!$A$2:$A$1247,$A33,Quality!$D$2:$D$1247,"Post-study calibration")</f>
        <v/>
      </c>
      <c r="E33">
        <f>SUMIFS(Quality!$F$2:$F$1247,Quality!$A$2:$A$1247,$A33,Quality!$D$2:$D$1247,"infographic")</f>
        <v/>
      </c>
      <c r="F33">
        <f>SUMIFS(Quality!$G$2:$G$1247,Quality!$A$2:$A$1247,$A33,Quality!$D$2:$D$1247,"foodwaste_narrative")</f>
        <v/>
      </c>
      <c r="G33">
        <f>SUMIFS(Quality!$G$2:$G$1247,Quality!$A$2:$A$1247,$A33,Quality!$D$2:$D$1247,"foodwaste_visual")</f>
        <v/>
      </c>
      <c r="H33">
        <f>IF(C33&gt;$B$2,1,0)</f>
        <v/>
      </c>
      <c r="I33">
        <f>IF(D33&gt;$B$2,1,0)</f>
        <v/>
      </c>
      <c r="J33">
        <f>IF(E33&lt;$F$2,1,0)</f>
        <v/>
      </c>
      <c r="K33">
        <f>IF(OR(F33&lt;$H$2,G33&lt;$H$2),1,0)</f>
        <v/>
      </c>
      <c r="L33">
        <f>IF(SUM(H33:K33)&gt;0,"Exclude","Keep")</f>
        <v/>
      </c>
      <c r="M33">
        <f>IF(H33=1,"Pre-study accuracy",IF(I33=1,"Post-study accuracy",IF(J33=1,"Eye tracking quality",IF(K33=1,"Face quality",""))))</f>
        <v/>
      </c>
      <c r="N33">
        <f>MAX(C33:D33)</f>
        <v/>
      </c>
      <c r="O33">
        <f>IF(AND(L33="Keep",N33&lt;=$D$2),"Keep","Exclude")</f>
        <v/>
      </c>
      <c r="P33">
        <f>D33-C33</f>
        <v/>
      </c>
      <c r="R33" t="inlineStr">
        <is>
          <t>Mean difference, Post-study minus Pre-study</t>
        </is>
      </c>
      <c r="S33" s="13">
        <f>AVERAGE(P5:P182)</f>
        <v/>
      </c>
      <c r="T33" s="14" t="inlineStr">
        <is>
          <t>=AVERAGE(P5:P182)</t>
        </is>
      </c>
    </row>
    <row r="34">
      <c r="A34" t="inlineStr">
        <is>
          <t>RESP0039</t>
        </is>
      </c>
      <c r="B34">
        <f>INDEX(Session!$M$2:$M$261,MATCH($A34,Session!$A$2:$A$261,0))</f>
        <v/>
      </c>
      <c r="C34">
        <f>SUMIFS(Quality!$E$2:$E$1247,Quality!$A$2:$A$1247,$A34,Quality!$D$2:$D$1247,"Pre-study calibration")</f>
        <v/>
      </c>
      <c r="D34">
        <f>SUMIFS(Quality!$E$2:$E$1247,Quality!$A$2:$A$1247,$A34,Quality!$D$2:$D$1247,"Post-study calibration")</f>
        <v/>
      </c>
      <c r="E34">
        <f>SUMIFS(Quality!$F$2:$F$1247,Quality!$A$2:$A$1247,$A34,Quality!$D$2:$D$1247,"infographic")</f>
        <v/>
      </c>
      <c r="F34">
        <f>SUMIFS(Quality!$G$2:$G$1247,Quality!$A$2:$A$1247,$A34,Quality!$D$2:$D$1247,"foodwaste_narrative")</f>
        <v/>
      </c>
      <c r="G34">
        <f>SUMIFS(Quality!$G$2:$G$1247,Quality!$A$2:$A$1247,$A34,Quality!$D$2:$D$1247,"foodwaste_visual")</f>
        <v/>
      </c>
      <c r="H34">
        <f>IF(C34&gt;$B$2,1,0)</f>
        <v/>
      </c>
      <c r="I34">
        <f>IF(D34&gt;$B$2,1,0)</f>
        <v/>
      </c>
      <c r="J34">
        <f>IF(E34&lt;$F$2,1,0)</f>
        <v/>
      </c>
      <c r="K34">
        <f>IF(OR(F34&lt;$H$2,G34&lt;$H$2),1,0)</f>
        <v/>
      </c>
      <c r="L34">
        <f>IF(SUM(H34:K34)&gt;0,"Exclude","Keep")</f>
        <v/>
      </c>
      <c r="M34">
        <f>IF(H34=1,"Pre-study accuracy",IF(I34=1,"Post-study accuracy",IF(J34=1,"Eye tracking quality",IF(K34=1,"Face quality",""))))</f>
        <v/>
      </c>
      <c r="N34">
        <f>MAX(C34:D34)</f>
        <v/>
      </c>
      <c r="O34">
        <f>IF(AND(L34="Keep",N34&lt;=$D$2),"Keep","Exclude")</f>
        <v/>
      </c>
      <c r="P34">
        <f>D34-C34</f>
        <v/>
      </c>
      <c r="R34" t="inlineStr">
        <is>
          <t>SD of the differences</t>
        </is>
      </c>
      <c r="S34" s="13">
        <f>_xlfn.STDEV.S(P5:P182)</f>
        <v/>
      </c>
      <c r="T34" s="14" t="inlineStr">
        <is>
          <t>=STDEV.S(P5:P182)</t>
        </is>
      </c>
      <c r="U34" s="6" t="inlineStr">
        <is>
          <t>the SD that matters in a paired design</t>
        </is>
      </c>
    </row>
    <row r="35">
      <c r="A35" t="inlineStr">
        <is>
          <t>RESP0040</t>
        </is>
      </c>
      <c r="B35">
        <f>INDEX(Session!$M$2:$M$261,MATCH($A35,Session!$A$2:$A$261,0))</f>
        <v/>
      </c>
      <c r="C35">
        <f>SUMIFS(Quality!$E$2:$E$1247,Quality!$A$2:$A$1247,$A35,Quality!$D$2:$D$1247,"Pre-study calibration")</f>
        <v/>
      </c>
      <c r="D35">
        <f>SUMIFS(Quality!$E$2:$E$1247,Quality!$A$2:$A$1247,$A35,Quality!$D$2:$D$1247,"Post-study calibration")</f>
        <v/>
      </c>
      <c r="E35">
        <f>SUMIFS(Quality!$F$2:$F$1247,Quality!$A$2:$A$1247,$A35,Quality!$D$2:$D$1247,"infographic")</f>
        <v/>
      </c>
      <c r="F35">
        <f>SUMIFS(Quality!$G$2:$G$1247,Quality!$A$2:$A$1247,$A35,Quality!$D$2:$D$1247,"foodwaste_narrative")</f>
        <v/>
      </c>
      <c r="G35">
        <f>SUMIFS(Quality!$G$2:$G$1247,Quality!$A$2:$A$1247,$A35,Quality!$D$2:$D$1247,"foodwaste_visual")</f>
        <v/>
      </c>
      <c r="H35">
        <f>IF(C35&gt;$B$2,1,0)</f>
        <v/>
      </c>
      <c r="I35">
        <f>IF(D35&gt;$B$2,1,0)</f>
        <v/>
      </c>
      <c r="J35">
        <f>IF(E35&lt;$F$2,1,0)</f>
        <v/>
      </c>
      <c r="K35">
        <f>IF(OR(F35&lt;$H$2,G35&lt;$H$2),1,0)</f>
        <v/>
      </c>
      <c r="L35">
        <f>IF(SUM(H35:K35)&gt;0,"Exclude","Keep")</f>
        <v/>
      </c>
      <c r="M35">
        <f>IF(H35=1,"Pre-study accuracy",IF(I35=1,"Post-study accuracy",IF(J35=1,"Eye tracking quality",IF(K35=1,"Face quality",""))))</f>
        <v/>
      </c>
      <c r="N35">
        <f>MAX(C35:D35)</f>
        <v/>
      </c>
      <c r="O35">
        <f>IF(AND(L35="Keep",N35&lt;=$D$2),"Keep","Exclude")</f>
        <v/>
      </c>
      <c r="P35">
        <f>D35-C35</f>
        <v/>
      </c>
      <c r="R35" t="inlineStr">
        <is>
          <t>SE of the mean difference</t>
        </is>
      </c>
      <c r="S35" s="13">
        <f>S34/SQRT(S32)</f>
        <v/>
      </c>
      <c r="T35" s="14" t="inlineStr">
        <is>
          <t>=S34/SQRT(S32)</t>
        </is>
      </c>
      <c r="U35" s="6" t="inlineStr">
        <is>
          <t>SD of the differences / sqrt(n)</t>
        </is>
      </c>
    </row>
    <row r="36">
      <c r="A36" t="inlineStr">
        <is>
          <t>RESP0041</t>
        </is>
      </c>
      <c r="B36">
        <f>INDEX(Session!$M$2:$M$261,MATCH($A36,Session!$A$2:$A$261,0))</f>
        <v/>
      </c>
      <c r="C36">
        <f>SUMIFS(Quality!$E$2:$E$1247,Quality!$A$2:$A$1247,$A36,Quality!$D$2:$D$1247,"Pre-study calibration")</f>
        <v/>
      </c>
      <c r="D36">
        <f>SUMIFS(Quality!$E$2:$E$1247,Quality!$A$2:$A$1247,$A36,Quality!$D$2:$D$1247,"Post-study calibration")</f>
        <v/>
      </c>
      <c r="E36">
        <f>SUMIFS(Quality!$F$2:$F$1247,Quality!$A$2:$A$1247,$A36,Quality!$D$2:$D$1247,"infographic")</f>
        <v/>
      </c>
      <c r="F36">
        <f>SUMIFS(Quality!$G$2:$G$1247,Quality!$A$2:$A$1247,$A36,Quality!$D$2:$D$1247,"foodwaste_narrative")</f>
        <v/>
      </c>
      <c r="G36">
        <f>SUMIFS(Quality!$G$2:$G$1247,Quality!$A$2:$A$1247,$A36,Quality!$D$2:$D$1247,"foodwaste_visual")</f>
        <v/>
      </c>
      <c r="H36">
        <f>IF(C36&gt;$B$2,1,0)</f>
        <v/>
      </c>
      <c r="I36">
        <f>IF(D36&gt;$B$2,1,0)</f>
        <v/>
      </c>
      <c r="J36">
        <f>IF(E36&lt;$F$2,1,0)</f>
        <v/>
      </c>
      <c r="K36">
        <f>IF(OR(F36&lt;$H$2,G36&lt;$H$2),1,0)</f>
        <v/>
      </c>
      <c r="L36">
        <f>IF(SUM(H36:K36)&gt;0,"Exclude","Keep")</f>
        <v/>
      </c>
      <c r="M36">
        <f>IF(H36=1,"Pre-study accuracy",IF(I36=1,"Post-study accuracy",IF(J36=1,"Eye tracking quality",IF(K36=1,"Face quality",""))))</f>
        <v/>
      </c>
      <c r="N36">
        <f>MAX(C36:D36)</f>
        <v/>
      </c>
      <c r="O36">
        <f>IF(AND(L36="Keep",N36&lt;=$D$2),"Keep","Exclude")</f>
        <v/>
      </c>
      <c r="P36">
        <f>D36-C36</f>
        <v/>
      </c>
      <c r="R36" t="inlineStr">
        <is>
          <t>t</t>
        </is>
      </c>
      <c r="S36" s="13">
        <f>S33/S35</f>
        <v/>
      </c>
      <c r="T36" s="14" t="inlineStr">
        <is>
          <t>=S33/S35</t>
        </is>
      </c>
      <c r="U36" s="6" t="inlineStr">
        <is>
          <t>t = mean difference / SE</t>
        </is>
      </c>
    </row>
    <row r="37">
      <c r="A37" t="inlineStr">
        <is>
          <t>RESP0043</t>
        </is>
      </c>
      <c r="B37">
        <f>INDEX(Session!$M$2:$M$261,MATCH($A37,Session!$A$2:$A$261,0))</f>
        <v/>
      </c>
      <c r="C37">
        <f>SUMIFS(Quality!$E$2:$E$1247,Quality!$A$2:$A$1247,$A37,Quality!$D$2:$D$1247,"Pre-study calibration")</f>
        <v/>
      </c>
      <c r="D37">
        <f>SUMIFS(Quality!$E$2:$E$1247,Quality!$A$2:$A$1247,$A37,Quality!$D$2:$D$1247,"Post-study calibration")</f>
        <v/>
      </c>
      <c r="E37">
        <f>SUMIFS(Quality!$F$2:$F$1247,Quality!$A$2:$A$1247,$A37,Quality!$D$2:$D$1247,"infographic")</f>
        <v/>
      </c>
      <c r="F37">
        <f>SUMIFS(Quality!$G$2:$G$1247,Quality!$A$2:$A$1247,$A37,Quality!$D$2:$D$1247,"foodwaste_narrative")</f>
        <v/>
      </c>
      <c r="G37">
        <f>SUMIFS(Quality!$G$2:$G$1247,Quality!$A$2:$A$1247,$A37,Quality!$D$2:$D$1247,"foodwaste_visual")</f>
        <v/>
      </c>
      <c r="H37">
        <f>IF(C37&gt;$B$2,1,0)</f>
        <v/>
      </c>
      <c r="I37">
        <f>IF(D37&gt;$B$2,1,0)</f>
        <v/>
      </c>
      <c r="J37">
        <f>IF(E37&lt;$F$2,1,0)</f>
        <v/>
      </c>
      <c r="K37">
        <f>IF(OR(F37&lt;$H$2,G37&lt;$H$2),1,0)</f>
        <v/>
      </c>
      <c r="L37">
        <f>IF(SUM(H37:K37)&gt;0,"Exclude","Keep")</f>
        <v/>
      </c>
      <c r="M37">
        <f>IF(H37=1,"Pre-study accuracy",IF(I37=1,"Post-study accuracy",IF(J37=1,"Eye tracking quality",IF(K37=1,"Face quality",""))))</f>
        <v/>
      </c>
      <c r="N37">
        <f>MAX(C37:D37)</f>
        <v/>
      </c>
      <c r="O37">
        <f>IF(AND(L37="Keep",N37&lt;=$D$2),"Keep","Exclude")</f>
        <v/>
      </c>
      <c r="P37">
        <f>D37-C37</f>
        <v/>
      </c>
      <c r="R37" t="inlineStr">
        <is>
          <t>df</t>
        </is>
      </c>
      <c r="S37" s="7">
        <f>S32-1</f>
        <v/>
      </c>
      <c r="T37" s="14" t="inlineStr">
        <is>
          <t>=S32-1</t>
        </is>
      </c>
      <c r="U37" s="6" t="inlineStr">
        <is>
          <t>n minus 1</t>
        </is>
      </c>
    </row>
    <row r="38">
      <c r="A38" t="inlineStr">
        <is>
          <t>RESP0044</t>
        </is>
      </c>
      <c r="B38">
        <f>INDEX(Session!$M$2:$M$261,MATCH($A38,Session!$A$2:$A$261,0))</f>
        <v/>
      </c>
      <c r="C38">
        <f>SUMIFS(Quality!$E$2:$E$1247,Quality!$A$2:$A$1247,$A38,Quality!$D$2:$D$1247,"Pre-study calibration")</f>
        <v/>
      </c>
      <c r="D38">
        <f>SUMIFS(Quality!$E$2:$E$1247,Quality!$A$2:$A$1247,$A38,Quality!$D$2:$D$1247,"Post-study calibration")</f>
        <v/>
      </c>
      <c r="E38">
        <f>SUMIFS(Quality!$F$2:$F$1247,Quality!$A$2:$A$1247,$A38,Quality!$D$2:$D$1247,"infographic")</f>
        <v/>
      </c>
      <c r="F38">
        <f>SUMIFS(Quality!$G$2:$G$1247,Quality!$A$2:$A$1247,$A38,Quality!$D$2:$D$1247,"foodwaste_narrative")</f>
        <v/>
      </c>
      <c r="G38">
        <f>SUMIFS(Quality!$G$2:$G$1247,Quality!$A$2:$A$1247,$A38,Quality!$D$2:$D$1247,"foodwaste_visual")</f>
        <v/>
      </c>
      <c r="H38">
        <f>IF(C38&gt;$B$2,1,0)</f>
        <v/>
      </c>
      <c r="I38">
        <f>IF(D38&gt;$B$2,1,0)</f>
        <v/>
      </c>
      <c r="J38">
        <f>IF(E38&lt;$F$2,1,0)</f>
        <v/>
      </c>
      <c r="K38">
        <f>IF(OR(F38&lt;$H$2,G38&lt;$H$2),1,0)</f>
        <v/>
      </c>
      <c r="L38">
        <f>IF(SUM(H38:K38)&gt;0,"Exclude","Keep")</f>
        <v/>
      </c>
      <c r="M38">
        <f>IF(H38=1,"Pre-study accuracy",IF(I38=1,"Post-study accuracy",IF(J38=1,"Eye tracking quality",IF(K38=1,"Face quality",""))))</f>
        <v/>
      </c>
      <c r="N38">
        <f>MAX(C38:D38)</f>
        <v/>
      </c>
      <c r="O38">
        <f>IF(AND(L38="Keep",N38&lt;=$D$2),"Keep","Exclude")</f>
        <v/>
      </c>
      <c r="P38">
        <f>D38-C38</f>
        <v/>
      </c>
      <c r="R38" t="inlineStr">
        <is>
          <t>p, two tailed (T.TEST type 1)</t>
        </is>
      </c>
      <c r="S38" s="17">
        <f>_xlfn.T.TEST(C5:C182,D5:D182,2,1)</f>
        <v/>
      </c>
      <c r="T38" s="14" t="inlineStr">
        <is>
          <t>=T.TEST(C5:C182,D5:D182,2,1)</t>
        </is>
      </c>
      <c r="U38" s="6" t="inlineStr">
        <is>
          <t>tails = 2, type = 1 means paired</t>
        </is>
      </c>
    </row>
    <row r="39">
      <c r="A39" t="inlineStr">
        <is>
          <t>RESP0046</t>
        </is>
      </c>
      <c r="B39">
        <f>INDEX(Session!$M$2:$M$261,MATCH($A39,Session!$A$2:$A$261,0))</f>
        <v/>
      </c>
      <c r="C39">
        <f>SUMIFS(Quality!$E$2:$E$1247,Quality!$A$2:$A$1247,$A39,Quality!$D$2:$D$1247,"Pre-study calibration")</f>
        <v/>
      </c>
      <c r="D39">
        <f>SUMIFS(Quality!$E$2:$E$1247,Quality!$A$2:$A$1247,$A39,Quality!$D$2:$D$1247,"Post-study calibration")</f>
        <v/>
      </c>
      <c r="E39">
        <f>SUMIFS(Quality!$F$2:$F$1247,Quality!$A$2:$A$1247,$A39,Quality!$D$2:$D$1247,"infographic")</f>
        <v/>
      </c>
      <c r="F39">
        <f>SUMIFS(Quality!$G$2:$G$1247,Quality!$A$2:$A$1247,$A39,Quality!$D$2:$D$1247,"foodwaste_narrative")</f>
        <v/>
      </c>
      <c r="G39">
        <f>SUMIFS(Quality!$G$2:$G$1247,Quality!$A$2:$A$1247,$A39,Quality!$D$2:$D$1247,"foodwaste_visual")</f>
        <v/>
      </c>
      <c r="H39">
        <f>IF(C39&gt;$B$2,1,0)</f>
        <v/>
      </c>
      <c r="I39">
        <f>IF(D39&gt;$B$2,1,0)</f>
        <v/>
      </c>
      <c r="J39">
        <f>IF(E39&lt;$F$2,1,0)</f>
        <v/>
      </c>
      <c r="K39">
        <f>IF(OR(F39&lt;$H$2,G39&lt;$H$2),1,0)</f>
        <v/>
      </c>
      <c r="L39">
        <f>IF(SUM(H39:K39)&gt;0,"Exclude","Keep")</f>
        <v/>
      </c>
      <c r="M39">
        <f>IF(H39=1,"Pre-study accuracy",IF(I39=1,"Post-study accuracy",IF(J39=1,"Eye tracking quality",IF(K39=1,"Face quality",""))))</f>
        <v/>
      </c>
      <c r="N39">
        <f>MAX(C39:D39)</f>
        <v/>
      </c>
      <c r="O39">
        <f>IF(AND(L39="Keep",N39&lt;=$D$2),"Keep","Exclude")</f>
        <v/>
      </c>
      <c r="P39">
        <f>D39-C39</f>
        <v/>
      </c>
      <c r="R39" t="inlineStr">
        <is>
          <t>p from the hand computed t</t>
        </is>
      </c>
      <c r="S39" s="17">
        <f>_xlfn.T.DIST.2T(ABS(S36),S37)</f>
        <v/>
      </c>
      <c r="T39" s="14" t="inlineStr">
        <is>
          <t>=T.DIST.2T(ABS(S36),S37)</t>
        </is>
      </c>
      <c r="U39" s="6" t="inlineStr">
        <is>
          <t>must match the T.TEST cell</t>
        </is>
      </c>
    </row>
    <row r="40">
      <c r="A40" t="inlineStr">
        <is>
          <t>RESP0047</t>
        </is>
      </c>
      <c r="B40">
        <f>INDEX(Session!$M$2:$M$261,MATCH($A40,Session!$A$2:$A$261,0))</f>
        <v/>
      </c>
      <c r="C40">
        <f>SUMIFS(Quality!$E$2:$E$1247,Quality!$A$2:$A$1247,$A40,Quality!$D$2:$D$1247,"Pre-study calibration")</f>
        <v/>
      </c>
      <c r="D40">
        <f>SUMIFS(Quality!$E$2:$E$1247,Quality!$A$2:$A$1247,$A40,Quality!$D$2:$D$1247,"Post-study calibration")</f>
        <v/>
      </c>
      <c r="E40">
        <f>SUMIFS(Quality!$F$2:$F$1247,Quality!$A$2:$A$1247,$A40,Quality!$D$2:$D$1247,"infographic")</f>
        <v/>
      </c>
      <c r="F40">
        <f>SUMIFS(Quality!$G$2:$G$1247,Quality!$A$2:$A$1247,$A40,Quality!$D$2:$D$1247,"foodwaste_narrative")</f>
        <v/>
      </c>
      <c r="G40">
        <f>SUMIFS(Quality!$G$2:$G$1247,Quality!$A$2:$A$1247,$A40,Quality!$D$2:$D$1247,"foodwaste_visual")</f>
        <v/>
      </c>
      <c r="H40">
        <f>IF(C40&gt;$B$2,1,0)</f>
        <v/>
      </c>
      <c r="I40">
        <f>IF(D40&gt;$B$2,1,0)</f>
        <v/>
      </c>
      <c r="J40">
        <f>IF(E40&lt;$F$2,1,0)</f>
        <v/>
      </c>
      <c r="K40">
        <f>IF(OR(F40&lt;$H$2,G40&lt;$H$2),1,0)</f>
        <v/>
      </c>
      <c r="L40">
        <f>IF(SUM(H40:K40)&gt;0,"Exclude","Keep")</f>
        <v/>
      </c>
      <c r="M40">
        <f>IF(H40=1,"Pre-study accuracy",IF(I40=1,"Post-study accuracy",IF(J40=1,"Eye tracking quality",IF(K40=1,"Face quality",""))))</f>
        <v/>
      </c>
      <c r="N40">
        <f>MAX(C40:D40)</f>
        <v/>
      </c>
      <c r="O40">
        <f>IF(AND(L40="Keep",N40&lt;=$D$2),"Keep","Exclude")</f>
        <v/>
      </c>
      <c r="P40">
        <f>D40-C40</f>
        <v/>
      </c>
      <c r="R40" t="inlineStr">
        <is>
          <t>Critical t (95%)</t>
        </is>
      </c>
      <c r="S40" s="13">
        <f>_xlfn.T.INV.2T(0.05,S37)</f>
        <v/>
      </c>
      <c r="T40" s="14" t="inlineStr">
        <is>
          <t>=T.INV.2T(0.05,S37)</t>
        </is>
      </c>
      <c r="U40" s="6" t="inlineStr">
        <is>
          <t>two tailed, alpha = .05</t>
        </is>
      </c>
    </row>
    <row r="41">
      <c r="A41" t="inlineStr">
        <is>
          <t>RESP0048</t>
        </is>
      </c>
      <c r="B41">
        <f>INDEX(Session!$M$2:$M$261,MATCH($A41,Session!$A$2:$A$261,0))</f>
        <v/>
      </c>
      <c r="C41">
        <f>SUMIFS(Quality!$E$2:$E$1247,Quality!$A$2:$A$1247,$A41,Quality!$D$2:$D$1247,"Pre-study calibration")</f>
        <v/>
      </c>
      <c r="D41">
        <f>SUMIFS(Quality!$E$2:$E$1247,Quality!$A$2:$A$1247,$A41,Quality!$D$2:$D$1247,"Post-study calibration")</f>
        <v/>
      </c>
      <c r="E41">
        <f>SUMIFS(Quality!$F$2:$F$1247,Quality!$A$2:$A$1247,$A41,Quality!$D$2:$D$1247,"infographic")</f>
        <v/>
      </c>
      <c r="F41">
        <f>SUMIFS(Quality!$G$2:$G$1247,Quality!$A$2:$A$1247,$A41,Quality!$D$2:$D$1247,"foodwaste_narrative")</f>
        <v/>
      </c>
      <c r="G41">
        <f>SUMIFS(Quality!$G$2:$G$1247,Quality!$A$2:$A$1247,$A41,Quality!$D$2:$D$1247,"foodwaste_visual")</f>
        <v/>
      </c>
      <c r="H41">
        <f>IF(C41&gt;$B$2,1,0)</f>
        <v/>
      </c>
      <c r="I41">
        <f>IF(D41&gt;$B$2,1,0)</f>
        <v/>
      </c>
      <c r="J41">
        <f>IF(E41&lt;$F$2,1,0)</f>
        <v/>
      </c>
      <c r="K41">
        <f>IF(OR(F41&lt;$H$2,G41&lt;$H$2),1,0)</f>
        <v/>
      </c>
      <c r="L41">
        <f>IF(SUM(H41:K41)&gt;0,"Exclude","Keep")</f>
        <v/>
      </c>
      <c r="M41">
        <f>IF(H41=1,"Pre-study accuracy",IF(I41=1,"Post-study accuracy",IF(J41=1,"Eye tracking quality",IF(K41=1,"Face quality",""))))</f>
        <v/>
      </c>
      <c r="N41">
        <f>MAX(C41:D41)</f>
        <v/>
      </c>
      <c r="O41">
        <f>IF(AND(L41="Keep",N41&lt;=$D$2),"Keep","Exclude")</f>
        <v/>
      </c>
      <c r="P41">
        <f>D41-C41</f>
        <v/>
      </c>
      <c r="R41" t="inlineStr">
        <is>
          <t>Mean difference 95% CI lower</t>
        </is>
      </c>
      <c r="S41" s="13">
        <f>S33-S40*S35</f>
        <v/>
      </c>
      <c r="T41" s="14" t="inlineStr">
        <is>
          <t>=S33-S40*S35</t>
        </is>
      </c>
    </row>
    <row r="42">
      <c r="A42" t="inlineStr">
        <is>
          <t>RESP0049</t>
        </is>
      </c>
      <c r="B42">
        <f>INDEX(Session!$M$2:$M$261,MATCH($A42,Session!$A$2:$A$261,0))</f>
        <v/>
      </c>
      <c r="C42">
        <f>SUMIFS(Quality!$E$2:$E$1247,Quality!$A$2:$A$1247,$A42,Quality!$D$2:$D$1247,"Pre-study calibration")</f>
        <v/>
      </c>
      <c r="D42">
        <f>SUMIFS(Quality!$E$2:$E$1247,Quality!$A$2:$A$1247,$A42,Quality!$D$2:$D$1247,"Post-study calibration")</f>
        <v/>
      </c>
      <c r="E42">
        <f>SUMIFS(Quality!$F$2:$F$1247,Quality!$A$2:$A$1247,$A42,Quality!$D$2:$D$1247,"infographic")</f>
        <v/>
      </c>
      <c r="F42">
        <f>SUMIFS(Quality!$G$2:$G$1247,Quality!$A$2:$A$1247,$A42,Quality!$D$2:$D$1247,"foodwaste_narrative")</f>
        <v/>
      </c>
      <c r="G42">
        <f>SUMIFS(Quality!$G$2:$G$1247,Quality!$A$2:$A$1247,$A42,Quality!$D$2:$D$1247,"foodwaste_visual")</f>
        <v/>
      </c>
      <c r="H42">
        <f>IF(C42&gt;$B$2,1,0)</f>
        <v/>
      </c>
      <c r="I42">
        <f>IF(D42&gt;$B$2,1,0)</f>
        <v/>
      </c>
      <c r="J42">
        <f>IF(E42&lt;$F$2,1,0)</f>
        <v/>
      </c>
      <c r="K42">
        <f>IF(OR(F42&lt;$H$2,G42&lt;$H$2),1,0)</f>
        <v/>
      </c>
      <c r="L42">
        <f>IF(SUM(H42:K42)&gt;0,"Exclude","Keep")</f>
        <v/>
      </c>
      <c r="M42">
        <f>IF(H42=1,"Pre-study accuracy",IF(I42=1,"Post-study accuracy",IF(J42=1,"Eye tracking quality",IF(K42=1,"Face quality",""))))</f>
        <v/>
      </c>
      <c r="N42">
        <f>MAX(C42:D42)</f>
        <v/>
      </c>
      <c r="O42">
        <f>IF(AND(L42="Keep",N42&lt;=$D$2),"Keep","Exclude")</f>
        <v/>
      </c>
      <c r="P42">
        <f>D42-C42</f>
        <v/>
      </c>
      <c r="R42" t="inlineStr">
        <is>
          <t>Mean difference 95% CI upper</t>
        </is>
      </c>
      <c r="S42" s="13">
        <f>S33+S40*S35</f>
        <v/>
      </c>
      <c r="T42" s="14" t="inlineStr">
        <is>
          <t>=S33+S40*S35</t>
        </is>
      </c>
    </row>
    <row r="43">
      <c r="A43" t="inlineStr">
        <is>
          <t>RESP0050</t>
        </is>
      </c>
      <c r="B43">
        <f>INDEX(Session!$M$2:$M$261,MATCH($A43,Session!$A$2:$A$261,0))</f>
        <v/>
      </c>
      <c r="C43">
        <f>SUMIFS(Quality!$E$2:$E$1247,Quality!$A$2:$A$1247,$A43,Quality!$D$2:$D$1247,"Pre-study calibration")</f>
        <v/>
      </c>
      <c r="D43">
        <f>SUMIFS(Quality!$E$2:$E$1247,Quality!$A$2:$A$1247,$A43,Quality!$D$2:$D$1247,"Post-study calibration")</f>
        <v/>
      </c>
      <c r="E43">
        <f>SUMIFS(Quality!$F$2:$F$1247,Quality!$A$2:$A$1247,$A43,Quality!$D$2:$D$1247,"infographic")</f>
        <v/>
      </c>
      <c r="F43">
        <f>SUMIFS(Quality!$G$2:$G$1247,Quality!$A$2:$A$1247,$A43,Quality!$D$2:$D$1247,"foodwaste_narrative")</f>
        <v/>
      </c>
      <c r="G43">
        <f>SUMIFS(Quality!$G$2:$G$1247,Quality!$A$2:$A$1247,$A43,Quality!$D$2:$D$1247,"foodwaste_visual")</f>
        <v/>
      </c>
      <c r="H43">
        <f>IF(C43&gt;$B$2,1,0)</f>
        <v/>
      </c>
      <c r="I43">
        <f>IF(D43&gt;$B$2,1,0)</f>
        <v/>
      </c>
      <c r="J43">
        <f>IF(E43&lt;$F$2,1,0)</f>
        <v/>
      </c>
      <c r="K43">
        <f>IF(OR(F43&lt;$H$2,G43&lt;$H$2),1,0)</f>
        <v/>
      </c>
      <c r="L43">
        <f>IF(SUM(H43:K43)&gt;0,"Exclude","Keep")</f>
        <v/>
      </c>
      <c r="M43">
        <f>IF(H43=1,"Pre-study accuracy",IF(I43=1,"Post-study accuracy",IF(J43=1,"Eye tracking quality",IF(K43=1,"Face quality",""))))</f>
        <v/>
      </c>
      <c r="N43">
        <f>MAX(C43:D43)</f>
        <v/>
      </c>
      <c r="O43">
        <f>IF(AND(L43="Keep",N43&lt;=$D$2),"Keep","Exclude")</f>
        <v/>
      </c>
      <c r="P43">
        <f>D43-C43</f>
        <v/>
      </c>
      <c r="R43" t="inlineStr">
        <is>
          <t>Cohen's d_z</t>
        </is>
      </c>
      <c r="S43" s="13">
        <f>S33/S34</f>
        <v/>
      </c>
      <c r="T43" s="14" t="inlineStr">
        <is>
          <t>=S33/S34</t>
        </is>
      </c>
      <c r="U43" s="6" t="inlineStr">
        <is>
          <t>d_z = mean difference / SD of the differences</t>
        </is>
      </c>
    </row>
    <row r="44">
      <c r="A44" t="inlineStr">
        <is>
          <t>RESP0052</t>
        </is>
      </c>
      <c r="B44">
        <f>INDEX(Session!$M$2:$M$261,MATCH($A44,Session!$A$2:$A$261,0))</f>
        <v/>
      </c>
      <c r="C44">
        <f>SUMIFS(Quality!$E$2:$E$1247,Quality!$A$2:$A$1247,$A44,Quality!$D$2:$D$1247,"Pre-study calibration")</f>
        <v/>
      </c>
      <c r="D44">
        <f>SUMIFS(Quality!$E$2:$E$1247,Quality!$A$2:$A$1247,$A44,Quality!$D$2:$D$1247,"Post-study calibration")</f>
        <v/>
      </c>
      <c r="E44">
        <f>SUMIFS(Quality!$F$2:$F$1247,Quality!$A$2:$A$1247,$A44,Quality!$D$2:$D$1247,"infographic")</f>
        <v/>
      </c>
      <c r="F44">
        <f>SUMIFS(Quality!$G$2:$G$1247,Quality!$A$2:$A$1247,$A44,Quality!$D$2:$D$1247,"foodwaste_narrative")</f>
        <v/>
      </c>
      <c r="G44">
        <f>SUMIFS(Quality!$G$2:$G$1247,Quality!$A$2:$A$1247,$A44,Quality!$D$2:$D$1247,"foodwaste_visual")</f>
        <v/>
      </c>
      <c r="H44">
        <f>IF(C44&gt;$B$2,1,0)</f>
        <v/>
      </c>
      <c r="I44">
        <f>IF(D44&gt;$B$2,1,0)</f>
        <v/>
      </c>
      <c r="J44">
        <f>IF(E44&lt;$F$2,1,0)</f>
        <v/>
      </c>
      <c r="K44">
        <f>IF(OR(F44&lt;$H$2,G44&lt;$H$2),1,0)</f>
        <v/>
      </c>
      <c r="L44">
        <f>IF(SUM(H44:K44)&gt;0,"Exclude","Keep")</f>
        <v/>
      </c>
      <c r="M44">
        <f>IF(H44=1,"Pre-study accuracy",IF(I44=1,"Post-study accuracy",IF(J44=1,"Eye tracking quality",IF(K44=1,"Face quality",""))))</f>
        <v/>
      </c>
      <c r="N44">
        <f>MAX(C44:D44)</f>
        <v/>
      </c>
      <c r="O44">
        <f>IF(AND(L44="Keep",N44&lt;=$D$2),"Keep","Exclude")</f>
        <v/>
      </c>
      <c r="P44">
        <f>D44-C44</f>
        <v/>
      </c>
      <c r="R44" t="inlineStr">
        <is>
          <t>SE of d_z (approximation)</t>
        </is>
      </c>
      <c r="S44" s="13">
        <f>SQRT(1/S32+S43^2/(2*S32))</f>
        <v/>
      </c>
      <c r="T44" s="14" t="inlineStr">
        <is>
          <t>=SQRT(1/S32+S43^2/(2*S32))</t>
        </is>
      </c>
      <c r="U44" s="6" t="inlineStr">
        <is>
          <t>sqrt(1/n + d_z^2 / (2 n))</t>
        </is>
      </c>
    </row>
    <row r="45">
      <c r="A45" t="inlineStr">
        <is>
          <t>RESP0053</t>
        </is>
      </c>
      <c r="B45">
        <f>INDEX(Session!$M$2:$M$261,MATCH($A45,Session!$A$2:$A$261,0))</f>
        <v/>
      </c>
      <c r="C45">
        <f>SUMIFS(Quality!$E$2:$E$1247,Quality!$A$2:$A$1247,$A45,Quality!$D$2:$D$1247,"Pre-study calibration")</f>
        <v/>
      </c>
      <c r="D45">
        <f>SUMIFS(Quality!$E$2:$E$1247,Quality!$A$2:$A$1247,$A45,Quality!$D$2:$D$1247,"Post-study calibration")</f>
        <v/>
      </c>
      <c r="E45">
        <f>SUMIFS(Quality!$F$2:$F$1247,Quality!$A$2:$A$1247,$A45,Quality!$D$2:$D$1247,"infographic")</f>
        <v/>
      </c>
      <c r="F45">
        <f>SUMIFS(Quality!$G$2:$G$1247,Quality!$A$2:$A$1247,$A45,Quality!$D$2:$D$1247,"foodwaste_narrative")</f>
        <v/>
      </c>
      <c r="G45">
        <f>SUMIFS(Quality!$G$2:$G$1247,Quality!$A$2:$A$1247,$A45,Quality!$D$2:$D$1247,"foodwaste_visual")</f>
        <v/>
      </c>
      <c r="H45">
        <f>IF(C45&gt;$B$2,1,0)</f>
        <v/>
      </c>
      <c r="I45">
        <f>IF(D45&gt;$B$2,1,0)</f>
        <v/>
      </c>
      <c r="J45">
        <f>IF(E45&lt;$F$2,1,0)</f>
        <v/>
      </c>
      <c r="K45">
        <f>IF(OR(F45&lt;$H$2,G45&lt;$H$2),1,0)</f>
        <v/>
      </c>
      <c r="L45">
        <f>IF(SUM(H45:K45)&gt;0,"Exclude","Keep")</f>
        <v/>
      </c>
      <c r="M45">
        <f>IF(H45=1,"Pre-study accuracy",IF(I45=1,"Post-study accuracy",IF(J45=1,"Eye tracking quality",IF(K45=1,"Face quality",""))))</f>
        <v/>
      </c>
      <c r="N45">
        <f>MAX(C45:D45)</f>
        <v/>
      </c>
      <c r="O45">
        <f>IF(AND(L45="Keep",N45&lt;=$D$2),"Keep","Exclude")</f>
        <v/>
      </c>
      <c r="P45">
        <f>D45-C45</f>
        <v/>
      </c>
      <c r="R45" t="inlineStr">
        <is>
          <t>d_z 95% CI lower (approximation)</t>
        </is>
      </c>
      <c r="S45" s="13">
        <f>S43-1.96*S44</f>
        <v/>
      </c>
      <c r="T45" s="14" t="inlineStr">
        <is>
          <t>=S43-1.96*S44</t>
        </is>
      </c>
      <c r="U45" s="6" t="inlineStr">
        <is>
          <t>R also gives the exact noncentral t interval</t>
        </is>
      </c>
    </row>
    <row r="46">
      <c r="A46" t="inlineStr">
        <is>
          <t>RESP0055</t>
        </is>
      </c>
      <c r="B46">
        <f>INDEX(Session!$M$2:$M$261,MATCH($A46,Session!$A$2:$A$261,0))</f>
        <v/>
      </c>
      <c r="C46">
        <f>SUMIFS(Quality!$E$2:$E$1247,Quality!$A$2:$A$1247,$A46,Quality!$D$2:$D$1247,"Pre-study calibration")</f>
        <v/>
      </c>
      <c r="D46">
        <f>SUMIFS(Quality!$E$2:$E$1247,Quality!$A$2:$A$1247,$A46,Quality!$D$2:$D$1247,"Post-study calibration")</f>
        <v/>
      </c>
      <c r="E46">
        <f>SUMIFS(Quality!$F$2:$F$1247,Quality!$A$2:$A$1247,$A46,Quality!$D$2:$D$1247,"infographic")</f>
        <v/>
      </c>
      <c r="F46">
        <f>SUMIFS(Quality!$G$2:$G$1247,Quality!$A$2:$A$1247,$A46,Quality!$D$2:$D$1247,"foodwaste_narrative")</f>
        <v/>
      </c>
      <c r="G46">
        <f>SUMIFS(Quality!$G$2:$G$1247,Quality!$A$2:$A$1247,$A46,Quality!$D$2:$D$1247,"foodwaste_visual")</f>
        <v/>
      </c>
      <c r="H46">
        <f>IF(C46&gt;$B$2,1,0)</f>
        <v/>
      </c>
      <c r="I46">
        <f>IF(D46&gt;$B$2,1,0)</f>
        <v/>
      </c>
      <c r="J46">
        <f>IF(E46&lt;$F$2,1,0)</f>
        <v/>
      </c>
      <c r="K46">
        <f>IF(OR(F46&lt;$H$2,G46&lt;$H$2),1,0)</f>
        <v/>
      </c>
      <c r="L46">
        <f>IF(SUM(H46:K46)&gt;0,"Exclude","Keep")</f>
        <v/>
      </c>
      <c r="M46">
        <f>IF(H46=1,"Pre-study accuracy",IF(I46=1,"Post-study accuracy",IF(J46=1,"Eye tracking quality",IF(K46=1,"Face quality",""))))</f>
        <v/>
      </c>
      <c r="N46">
        <f>MAX(C46:D46)</f>
        <v/>
      </c>
      <c r="O46">
        <f>IF(AND(L46="Keep",N46&lt;=$D$2),"Keep","Exclude")</f>
        <v/>
      </c>
      <c r="P46">
        <f>D46-C46</f>
        <v/>
      </c>
      <c r="R46" t="inlineStr">
        <is>
          <t>d_z 95% CI upper (approximation)</t>
        </is>
      </c>
      <c r="S46" s="13">
        <f>S43+1.96*S44</f>
        <v/>
      </c>
      <c r="T46" s="14" t="inlineStr">
        <is>
          <t>=S43+1.96*S44</t>
        </is>
      </c>
    </row>
    <row r="47">
      <c r="A47" t="inlineStr">
        <is>
          <t>RESP0056</t>
        </is>
      </c>
      <c r="B47">
        <f>INDEX(Session!$M$2:$M$261,MATCH($A47,Session!$A$2:$A$261,0))</f>
        <v/>
      </c>
      <c r="C47">
        <f>SUMIFS(Quality!$E$2:$E$1247,Quality!$A$2:$A$1247,$A47,Quality!$D$2:$D$1247,"Pre-study calibration")</f>
        <v/>
      </c>
      <c r="D47">
        <f>SUMIFS(Quality!$E$2:$E$1247,Quality!$A$2:$A$1247,$A47,Quality!$D$2:$D$1247,"Post-study calibration")</f>
        <v/>
      </c>
      <c r="E47">
        <f>SUMIFS(Quality!$F$2:$F$1247,Quality!$A$2:$A$1247,$A47,Quality!$D$2:$D$1247,"infographic")</f>
        <v/>
      </c>
      <c r="F47">
        <f>SUMIFS(Quality!$G$2:$G$1247,Quality!$A$2:$A$1247,$A47,Quality!$D$2:$D$1247,"foodwaste_narrative")</f>
        <v/>
      </c>
      <c r="G47">
        <f>SUMIFS(Quality!$G$2:$G$1247,Quality!$A$2:$A$1247,$A47,Quality!$D$2:$D$1247,"foodwaste_visual")</f>
        <v/>
      </c>
      <c r="H47">
        <f>IF(C47&gt;$B$2,1,0)</f>
        <v/>
      </c>
      <c r="I47">
        <f>IF(D47&gt;$B$2,1,0)</f>
        <v/>
      </c>
      <c r="J47">
        <f>IF(E47&lt;$F$2,1,0)</f>
        <v/>
      </c>
      <c r="K47">
        <f>IF(OR(F47&lt;$H$2,G47&lt;$H$2),1,0)</f>
        <v/>
      </c>
      <c r="L47">
        <f>IF(SUM(H47:K47)&gt;0,"Exclude","Keep")</f>
        <v/>
      </c>
      <c r="M47">
        <f>IF(H47=1,"Pre-study accuracy",IF(I47=1,"Post-study accuracy",IF(J47=1,"Eye tracking quality",IF(K47=1,"Face quality",""))))</f>
        <v/>
      </c>
      <c r="N47">
        <f>MAX(C47:D47)</f>
        <v/>
      </c>
      <c r="O47">
        <f>IF(AND(L47="Keep",N47&lt;=$D$2),"Keep","Exclude")</f>
        <v/>
      </c>
      <c r="P47">
        <f>D47-C47</f>
        <v/>
      </c>
      <c r="R47" t="inlineStr">
        <is>
          <t>Correlation of the two columns</t>
        </is>
      </c>
      <c r="S47" s="13">
        <f>CORREL(C5:C182,D5:D182)</f>
        <v/>
      </c>
      <c r="T47" s="14" t="inlineStr">
        <is>
          <t>=CORREL(C5:C182,D5:D182)</t>
        </is>
      </c>
      <c r="U47" s="6" t="inlineStr">
        <is>
          <t>how stable a respondent is from one column to the other</t>
        </is>
      </c>
    </row>
    <row r="48">
      <c r="A48" t="inlineStr">
        <is>
          <t>RESP0058</t>
        </is>
      </c>
      <c r="B48">
        <f>INDEX(Session!$M$2:$M$261,MATCH($A48,Session!$A$2:$A$261,0))</f>
        <v/>
      </c>
      <c r="C48">
        <f>SUMIFS(Quality!$E$2:$E$1247,Quality!$A$2:$A$1247,$A48,Quality!$D$2:$D$1247,"Pre-study calibration")</f>
        <v/>
      </c>
      <c r="D48">
        <f>SUMIFS(Quality!$E$2:$E$1247,Quality!$A$2:$A$1247,$A48,Quality!$D$2:$D$1247,"Post-study calibration")</f>
        <v/>
      </c>
      <c r="E48">
        <f>SUMIFS(Quality!$F$2:$F$1247,Quality!$A$2:$A$1247,$A48,Quality!$D$2:$D$1247,"infographic")</f>
        <v/>
      </c>
      <c r="F48">
        <f>SUMIFS(Quality!$G$2:$G$1247,Quality!$A$2:$A$1247,$A48,Quality!$D$2:$D$1247,"foodwaste_narrative")</f>
        <v/>
      </c>
      <c r="G48">
        <f>SUMIFS(Quality!$G$2:$G$1247,Quality!$A$2:$A$1247,$A48,Quality!$D$2:$D$1247,"foodwaste_visual")</f>
        <v/>
      </c>
      <c r="H48">
        <f>IF(C48&gt;$B$2,1,0)</f>
        <v/>
      </c>
      <c r="I48">
        <f>IF(D48&gt;$B$2,1,0)</f>
        <v/>
      </c>
      <c r="J48">
        <f>IF(E48&lt;$F$2,1,0)</f>
        <v/>
      </c>
      <c r="K48">
        <f>IF(OR(F48&lt;$H$2,G48&lt;$H$2),1,0)</f>
        <v/>
      </c>
      <c r="L48">
        <f>IF(SUM(H48:K48)&gt;0,"Exclude","Keep")</f>
        <v/>
      </c>
      <c r="M48">
        <f>IF(H48=1,"Pre-study accuracy",IF(I48=1,"Post-study accuracy",IF(J48=1,"Eye tracking quality",IF(K48=1,"Face quality",""))))</f>
        <v/>
      </c>
      <c r="N48">
        <f>MAX(C48:D48)</f>
        <v/>
      </c>
      <c r="O48">
        <f>IF(AND(L48="Keep",N48&lt;=$D$2),"Keep","Exclude")</f>
        <v/>
      </c>
      <c r="P48">
        <f>D48-C48</f>
        <v/>
      </c>
      <c r="R48" t="inlineStr">
        <is>
          <t>Respondents with a positive difference</t>
        </is>
      </c>
      <c r="S48" s="7">
        <f>COUNTIF(P5:P182,"&gt;0")</f>
        <v/>
      </c>
      <c r="T48" s="14" t="inlineStr">
        <is>
          <t>=COUNTIF(P5:P182,"&gt;0")</t>
        </is>
      </c>
    </row>
    <row r="49">
      <c r="A49" t="inlineStr">
        <is>
          <t>RESP0059</t>
        </is>
      </c>
      <c r="B49">
        <f>INDEX(Session!$M$2:$M$261,MATCH($A49,Session!$A$2:$A$261,0))</f>
        <v/>
      </c>
      <c r="C49">
        <f>SUMIFS(Quality!$E$2:$E$1247,Quality!$A$2:$A$1247,$A49,Quality!$D$2:$D$1247,"Pre-study calibration")</f>
        <v/>
      </c>
      <c r="D49">
        <f>SUMIFS(Quality!$E$2:$E$1247,Quality!$A$2:$A$1247,$A49,Quality!$D$2:$D$1247,"Post-study calibration")</f>
        <v/>
      </c>
      <c r="E49">
        <f>SUMIFS(Quality!$F$2:$F$1247,Quality!$A$2:$A$1247,$A49,Quality!$D$2:$D$1247,"infographic")</f>
        <v/>
      </c>
      <c r="F49">
        <f>SUMIFS(Quality!$G$2:$G$1247,Quality!$A$2:$A$1247,$A49,Quality!$D$2:$D$1247,"foodwaste_narrative")</f>
        <v/>
      </c>
      <c r="G49">
        <f>SUMIFS(Quality!$G$2:$G$1247,Quality!$A$2:$A$1247,$A49,Quality!$D$2:$D$1247,"foodwaste_visual")</f>
        <v/>
      </c>
      <c r="H49">
        <f>IF(C49&gt;$B$2,1,0)</f>
        <v/>
      </c>
      <c r="I49">
        <f>IF(D49&gt;$B$2,1,0)</f>
        <v/>
      </c>
      <c r="J49">
        <f>IF(E49&lt;$F$2,1,0)</f>
        <v/>
      </c>
      <c r="K49">
        <f>IF(OR(F49&lt;$H$2,G49&lt;$H$2),1,0)</f>
        <v/>
      </c>
      <c r="L49">
        <f>IF(SUM(H49:K49)&gt;0,"Exclude","Keep")</f>
        <v/>
      </c>
      <c r="M49">
        <f>IF(H49=1,"Pre-study accuracy",IF(I49=1,"Post-study accuracy",IF(J49=1,"Eye tracking quality",IF(K49=1,"Face quality",""))))</f>
        <v/>
      </c>
      <c r="N49">
        <f>MAX(C49:D49)</f>
        <v/>
      </c>
      <c r="O49">
        <f>IF(AND(L49="Keep",N49&lt;=$D$2),"Keep","Exclude")</f>
        <v/>
      </c>
      <c r="P49">
        <f>D49-C49</f>
        <v/>
      </c>
    </row>
    <row r="50">
      <c r="A50" t="inlineStr">
        <is>
          <t>RESP0061</t>
        </is>
      </c>
      <c r="B50">
        <f>INDEX(Session!$M$2:$M$261,MATCH($A50,Session!$A$2:$A$261,0))</f>
        <v/>
      </c>
      <c r="C50">
        <f>SUMIFS(Quality!$E$2:$E$1247,Quality!$A$2:$A$1247,$A50,Quality!$D$2:$D$1247,"Pre-study calibration")</f>
        <v/>
      </c>
      <c r="D50">
        <f>SUMIFS(Quality!$E$2:$E$1247,Quality!$A$2:$A$1247,$A50,Quality!$D$2:$D$1247,"Post-study calibration")</f>
        <v/>
      </c>
      <c r="E50">
        <f>SUMIFS(Quality!$F$2:$F$1247,Quality!$A$2:$A$1247,$A50,Quality!$D$2:$D$1247,"infographic")</f>
        <v/>
      </c>
      <c r="F50">
        <f>SUMIFS(Quality!$G$2:$G$1247,Quality!$A$2:$A$1247,$A50,Quality!$D$2:$D$1247,"foodwaste_narrative")</f>
        <v/>
      </c>
      <c r="G50">
        <f>SUMIFS(Quality!$G$2:$G$1247,Quality!$A$2:$A$1247,$A50,Quality!$D$2:$D$1247,"foodwaste_visual")</f>
        <v/>
      </c>
      <c r="H50">
        <f>IF(C50&gt;$B$2,1,0)</f>
        <v/>
      </c>
      <c r="I50">
        <f>IF(D50&gt;$B$2,1,0)</f>
        <v/>
      </c>
      <c r="J50">
        <f>IF(E50&lt;$F$2,1,0)</f>
        <v/>
      </c>
      <c r="K50">
        <f>IF(OR(F50&lt;$H$2,G50&lt;$H$2),1,0)</f>
        <v/>
      </c>
      <c r="L50">
        <f>IF(SUM(H50:K50)&gt;0,"Exclude","Keep")</f>
        <v/>
      </c>
      <c r="M50">
        <f>IF(H50=1,"Pre-study accuracy",IF(I50=1,"Post-study accuracy",IF(J50=1,"Eye tracking quality",IF(K50=1,"Face quality",""))))</f>
        <v/>
      </c>
      <c r="N50">
        <f>MAX(C50:D50)</f>
        <v/>
      </c>
      <c r="O50">
        <f>IF(AND(L50="Keep",N50&lt;=$D$2),"Keep","Exclude")</f>
        <v/>
      </c>
      <c r="P50">
        <f>D50-C50</f>
        <v/>
      </c>
      <c r="R50" t="inlineStr">
        <is>
          <t>Respondents with a worse Post-study accuracy</t>
        </is>
      </c>
      <c r="S50" s="7">
        <f>COUNTIF(P5:P182,"&gt;0")</f>
        <v/>
      </c>
      <c r="T50" s="14" t="inlineStr">
        <is>
          <t>=COUNTIF(P5:P182,"&gt;0")</t>
        </is>
      </c>
    </row>
    <row r="51">
      <c r="A51" t="inlineStr">
        <is>
          <t>RESP0062</t>
        </is>
      </c>
      <c r="B51">
        <f>INDEX(Session!$M$2:$M$261,MATCH($A51,Session!$A$2:$A$261,0))</f>
        <v/>
      </c>
      <c r="C51">
        <f>SUMIFS(Quality!$E$2:$E$1247,Quality!$A$2:$A$1247,$A51,Quality!$D$2:$D$1247,"Pre-study calibration")</f>
        <v/>
      </c>
      <c r="D51">
        <f>SUMIFS(Quality!$E$2:$E$1247,Quality!$A$2:$A$1247,$A51,Quality!$D$2:$D$1247,"Post-study calibration")</f>
        <v/>
      </c>
      <c r="E51">
        <f>SUMIFS(Quality!$F$2:$F$1247,Quality!$A$2:$A$1247,$A51,Quality!$D$2:$D$1247,"infographic")</f>
        <v/>
      </c>
      <c r="F51">
        <f>SUMIFS(Quality!$G$2:$G$1247,Quality!$A$2:$A$1247,$A51,Quality!$D$2:$D$1247,"foodwaste_narrative")</f>
        <v/>
      </c>
      <c r="G51">
        <f>SUMIFS(Quality!$G$2:$G$1247,Quality!$A$2:$A$1247,$A51,Quality!$D$2:$D$1247,"foodwaste_visual")</f>
        <v/>
      </c>
      <c r="H51">
        <f>IF(C51&gt;$B$2,1,0)</f>
        <v/>
      </c>
      <c r="I51">
        <f>IF(D51&gt;$B$2,1,0)</f>
        <v/>
      </c>
      <c r="J51">
        <f>IF(E51&lt;$F$2,1,0)</f>
        <v/>
      </c>
      <c r="K51">
        <f>IF(OR(F51&lt;$H$2,G51&lt;$H$2),1,0)</f>
        <v/>
      </c>
      <c r="L51">
        <f>IF(SUM(H51:K51)&gt;0,"Exclude","Keep")</f>
        <v/>
      </c>
      <c r="M51">
        <f>IF(H51=1,"Pre-study accuracy",IF(I51=1,"Post-study accuracy",IF(J51=1,"Eye tracking quality",IF(K51=1,"Face quality",""))))</f>
        <v/>
      </c>
      <c r="N51">
        <f>MAX(C51:D51)</f>
        <v/>
      </c>
      <c r="O51">
        <f>IF(AND(L51="Keep",N51&lt;=$D$2),"Keep","Exclude")</f>
        <v/>
      </c>
      <c r="P51">
        <f>D51-C51</f>
        <v/>
      </c>
    </row>
    <row r="52">
      <c r="A52" t="inlineStr">
        <is>
          <t>RESP0063</t>
        </is>
      </c>
      <c r="B52">
        <f>INDEX(Session!$M$2:$M$261,MATCH($A52,Session!$A$2:$A$261,0))</f>
        <v/>
      </c>
      <c r="C52">
        <f>SUMIFS(Quality!$E$2:$E$1247,Quality!$A$2:$A$1247,$A52,Quality!$D$2:$D$1247,"Pre-study calibration")</f>
        <v/>
      </c>
      <c r="D52">
        <f>SUMIFS(Quality!$E$2:$E$1247,Quality!$A$2:$A$1247,$A52,Quality!$D$2:$D$1247,"Post-study calibration")</f>
        <v/>
      </c>
      <c r="E52">
        <f>SUMIFS(Quality!$F$2:$F$1247,Quality!$A$2:$A$1247,$A52,Quality!$D$2:$D$1247,"infographic")</f>
        <v/>
      </c>
      <c r="F52">
        <f>SUMIFS(Quality!$G$2:$G$1247,Quality!$A$2:$A$1247,$A52,Quality!$D$2:$D$1247,"foodwaste_narrative")</f>
        <v/>
      </c>
      <c r="G52">
        <f>SUMIFS(Quality!$G$2:$G$1247,Quality!$A$2:$A$1247,$A52,Quality!$D$2:$D$1247,"foodwaste_visual")</f>
        <v/>
      </c>
      <c r="H52">
        <f>IF(C52&gt;$B$2,1,0)</f>
        <v/>
      </c>
      <c r="I52">
        <f>IF(D52&gt;$B$2,1,0)</f>
        <v/>
      </c>
      <c r="J52">
        <f>IF(E52&lt;$F$2,1,0)</f>
        <v/>
      </c>
      <c r="K52">
        <f>IF(OR(F52&lt;$H$2,G52&lt;$H$2),1,0)</f>
        <v/>
      </c>
      <c r="L52">
        <f>IF(SUM(H52:K52)&gt;0,"Exclude","Keep")</f>
        <v/>
      </c>
      <c r="M52">
        <f>IF(H52=1,"Pre-study accuracy",IF(I52=1,"Post-study accuracy",IF(J52=1,"Eye tracking quality",IF(K52=1,"Face quality",""))))</f>
        <v/>
      </c>
      <c r="N52">
        <f>MAX(C52:D52)</f>
        <v/>
      </c>
      <c r="O52">
        <f>IF(AND(L52="Keep",N52&lt;=$D$2),"Keep","Exclude")</f>
        <v/>
      </c>
      <c r="P52">
        <f>D52-C52</f>
        <v/>
      </c>
    </row>
    <row r="53">
      <c r="A53" t="inlineStr">
        <is>
          <t>RESP0064</t>
        </is>
      </c>
      <c r="B53">
        <f>INDEX(Session!$M$2:$M$261,MATCH($A53,Session!$A$2:$A$261,0))</f>
        <v/>
      </c>
      <c r="C53">
        <f>SUMIFS(Quality!$E$2:$E$1247,Quality!$A$2:$A$1247,$A53,Quality!$D$2:$D$1247,"Pre-study calibration")</f>
        <v/>
      </c>
      <c r="D53">
        <f>SUMIFS(Quality!$E$2:$E$1247,Quality!$A$2:$A$1247,$A53,Quality!$D$2:$D$1247,"Post-study calibration")</f>
        <v/>
      </c>
      <c r="E53">
        <f>SUMIFS(Quality!$F$2:$F$1247,Quality!$A$2:$A$1247,$A53,Quality!$D$2:$D$1247,"infographic")</f>
        <v/>
      </c>
      <c r="F53">
        <f>SUMIFS(Quality!$G$2:$G$1247,Quality!$A$2:$A$1247,$A53,Quality!$D$2:$D$1247,"foodwaste_narrative")</f>
        <v/>
      </c>
      <c r="G53">
        <f>SUMIFS(Quality!$G$2:$G$1247,Quality!$A$2:$A$1247,$A53,Quality!$D$2:$D$1247,"foodwaste_visual")</f>
        <v/>
      </c>
      <c r="H53">
        <f>IF(C53&gt;$B$2,1,0)</f>
        <v/>
      </c>
      <c r="I53">
        <f>IF(D53&gt;$B$2,1,0)</f>
        <v/>
      </c>
      <c r="J53">
        <f>IF(E53&lt;$F$2,1,0)</f>
        <v/>
      </c>
      <c r="K53">
        <f>IF(OR(F53&lt;$H$2,G53&lt;$H$2),1,0)</f>
        <v/>
      </c>
      <c r="L53">
        <f>IF(SUM(H53:K53)&gt;0,"Exclude","Keep")</f>
        <v/>
      </c>
      <c r="M53">
        <f>IF(H53=1,"Pre-study accuracy",IF(I53=1,"Post-study accuracy",IF(J53=1,"Eye tracking quality",IF(K53=1,"Face quality",""))))</f>
        <v/>
      </c>
      <c r="N53">
        <f>MAX(C53:D53)</f>
        <v/>
      </c>
      <c r="O53">
        <f>IF(AND(L53="Keep",N53&lt;=$D$2),"Keep","Exclude")</f>
        <v/>
      </c>
      <c r="P53">
        <f>D53-C53</f>
        <v/>
      </c>
    </row>
    <row r="54">
      <c r="A54" t="inlineStr">
        <is>
          <t>RESP0065</t>
        </is>
      </c>
      <c r="B54">
        <f>INDEX(Session!$M$2:$M$261,MATCH($A54,Session!$A$2:$A$261,0))</f>
        <v/>
      </c>
      <c r="C54">
        <f>SUMIFS(Quality!$E$2:$E$1247,Quality!$A$2:$A$1247,$A54,Quality!$D$2:$D$1247,"Pre-study calibration")</f>
        <v/>
      </c>
      <c r="D54">
        <f>SUMIFS(Quality!$E$2:$E$1247,Quality!$A$2:$A$1247,$A54,Quality!$D$2:$D$1247,"Post-study calibration")</f>
        <v/>
      </c>
      <c r="E54">
        <f>SUMIFS(Quality!$F$2:$F$1247,Quality!$A$2:$A$1247,$A54,Quality!$D$2:$D$1247,"infographic")</f>
        <v/>
      </c>
      <c r="F54">
        <f>SUMIFS(Quality!$G$2:$G$1247,Quality!$A$2:$A$1247,$A54,Quality!$D$2:$D$1247,"foodwaste_narrative")</f>
        <v/>
      </c>
      <c r="G54">
        <f>SUMIFS(Quality!$G$2:$G$1247,Quality!$A$2:$A$1247,$A54,Quality!$D$2:$D$1247,"foodwaste_visual")</f>
        <v/>
      </c>
      <c r="H54">
        <f>IF(C54&gt;$B$2,1,0)</f>
        <v/>
      </c>
      <c r="I54">
        <f>IF(D54&gt;$B$2,1,0)</f>
        <v/>
      </c>
      <c r="J54">
        <f>IF(E54&lt;$F$2,1,0)</f>
        <v/>
      </c>
      <c r="K54">
        <f>IF(OR(F54&lt;$H$2,G54&lt;$H$2),1,0)</f>
        <v/>
      </c>
      <c r="L54">
        <f>IF(SUM(H54:K54)&gt;0,"Exclude","Keep")</f>
        <v/>
      </c>
      <c r="M54">
        <f>IF(H54=1,"Pre-study accuracy",IF(I54=1,"Post-study accuracy",IF(J54=1,"Eye tracking quality",IF(K54=1,"Face quality",""))))</f>
        <v/>
      </c>
      <c r="N54">
        <f>MAX(C54:D54)</f>
        <v/>
      </c>
      <c r="O54">
        <f>IF(AND(L54="Keep",N54&lt;=$D$2),"Keep","Exclude")</f>
        <v/>
      </c>
      <c r="P54">
        <f>D54-C54</f>
        <v/>
      </c>
    </row>
    <row r="55">
      <c r="A55" t="inlineStr">
        <is>
          <t>RESP0066</t>
        </is>
      </c>
      <c r="B55">
        <f>INDEX(Session!$M$2:$M$261,MATCH($A55,Session!$A$2:$A$261,0))</f>
        <v/>
      </c>
      <c r="C55">
        <f>SUMIFS(Quality!$E$2:$E$1247,Quality!$A$2:$A$1247,$A55,Quality!$D$2:$D$1247,"Pre-study calibration")</f>
        <v/>
      </c>
      <c r="D55">
        <f>SUMIFS(Quality!$E$2:$E$1247,Quality!$A$2:$A$1247,$A55,Quality!$D$2:$D$1247,"Post-study calibration")</f>
        <v/>
      </c>
      <c r="E55">
        <f>SUMIFS(Quality!$F$2:$F$1247,Quality!$A$2:$A$1247,$A55,Quality!$D$2:$D$1247,"infographic")</f>
        <v/>
      </c>
      <c r="F55">
        <f>SUMIFS(Quality!$G$2:$G$1247,Quality!$A$2:$A$1247,$A55,Quality!$D$2:$D$1247,"foodwaste_narrative")</f>
        <v/>
      </c>
      <c r="G55">
        <f>SUMIFS(Quality!$G$2:$G$1247,Quality!$A$2:$A$1247,$A55,Quality!$D$2:$D$1247,"foodwaste_visual")</f>
        <v/>
      </c>
      <c r="H55">
        <f>IF(C55&gt;$B$2,1,0)</f>
        <v/>
      </c>
      <c r="I55">
        <f>IF(D55&gt;$B$2,1,0)</f>
        <v/>
      </c>
      <c r="J55">
        <f>IF(E55&lt;$F$2,1,0)</f>
        <v/>
      </c>
      <c r="K55">
        <f>IF(OR(F55&lt;$H$2,G55&lt;$H$2),1,0)</f>
        <v/>
      </c>
      <c r="L55">
        <f>IF(SUM(H55:K55)&gt;0,"Exclude","Keep")</f>
        <v/>
      </c>
      <c r="M55">
        <f>IF(H55=1,"Pre-study accuracy",IF(I55=1,"Post-study accuracy",IF(J55=1,"Eye tracking quality",IF(K55=1,"Face quality",""))))</f>
        <v/>
      </c>
      <c r="N55">
        <f>MAX(C55:D55)</f>
        <v/>
      </c>
      <c r="O55">
        <f>IF(AND(L55="Keep",N55&lt;=$D$2),"Keep","Exclude")</f>
        <v/>
      </c>
      <c r="P55">
        <f>D55-C55</f>
        <v/>
      </c>
    </row>
    <row r="56">
      <c r="A56" t="inlineStr">
        <is>
          <t>RESP0067</t>
        </is>
      </c>
      <c r="B56">
        <f>INDEX(Session!$M$2:$M$261,MATCH($A56,Session!$A$2:$A$261,0))</f>
        <v/>
      </c>
      <c r="C56">
        <f>SUMIFS(Quality!$E$2:$E$1247,Quality!$A$2:$A$1247,$A56,Quality!$D$2:$D$1247,"Pre-study calibration")</f>
        <v/>
      </c>
      <c r="D56">
        <f>SUMIFS(Quality!$E$2:$E$1247,Quality!$A$2:$A$1247,$A56,Quality!$D$2:$D$1247,"Post-study calibration")</f>
        <v/>
      </c>
      <c r="E56">
        <f>SUMIFS(Quality!$F$2:$F$1247,Quality!$A$2:$A$1247,$A56,Quality!$D$2:$D$1247,"infographic")</f>
        <v/>
      </c>
      <c r="F56">
        <f>SUMIFS(Quality!$G$2:$G$1247,Quality!$A$2:$A$1247,$A56,Quality!$D$2:$D$1247,"foodwaste_narrative")</f>
        <v/>
      </c>
      <c r="G56">
        <f>SUMIFS(Quality!$G$2:$G$1247,Quality!$A$2:$A$1247,$A56,Quality!$D$2:$D$1247,"foodwaste_visual")</f>
        <v/>
      </c>
      <c r="H56">
        <f>IF(C56&gt;$B$2,1,0)</f>
        <v/>
      </c>
      <c r="I56">
        <f>IF(D56&gt;$B$2,1,0)</f>
        <v/>
      </c>
      <c r="J56">
        <f>IF(E56&lt;$F$2,1,0)</f>
        <v/>
      </c>
      <c r="K56">
        <f>IF(OR(F56&lt;$H$2,G56&lt;$H$2),1,0)</f>
        <v/>
      </c>
      <c r="L56">
        <f>IF(SUM(H56:K56)&gt;0,"Exclude","Keep")</f>
        <v/>
      </c>
      <c r="M56">
        <f>IF(H56=1,"Pre-study accuracy",IF(I56=1,"Post-study accuracy",IF(J56=1,"Eye tracking quality",IF(K56=1,"Face quality",""))))</f>
        <v/>
      </c>
      <c r="N56">
        <f>MAX(C56:D56)</f>
        <v/>
      </c>
      <c r="O56">
        <f>IF(AND(L56="Keep",N56&lt;=$D$2),"Keep","Exclude")</f>
        <v/>
      </c>
      <c r="P56">
        <f>D56-C56</f>
        <v/>
      </c>
    </row>
    <row r="57">
      <c r="A57" t="inlineStr">
        <is>
          <t>RESP0069</t>
        </is>
      </c>
      <c r="B57">
        <f>INDEX(Session!$M$2:$M$261,MATCH($A57,Session!$A$2:$A$261,0))</f>
        <v/>
      </c>
      <c r="C57">
        <f>SUMIFS(Quality!$E$2:$E$1247,Quality!$A$2:$A$1247,$A57,Quality!$D$2:$D$1247,"Pre-study calibration")</f>
        <v/>
      </c>
      <c r="D57">
        <f>SUMIFS(Quality!$E$2:$E$1247,Quality!$A$2:$A$1247,$A57,Quality!$D$2:$D$1247,"Post-study calibration")</f>
        <v/>
      </c>
      <c r="E57">
        <f>SUMIFS(Quality!$F$2:$F$1247,Quality!$A$2:$A$1247,$A57,Quality!$D$2:$D$1247,"infographic")</f>
        <v/>
      </c>
      <c r="F57">
        <f>SUMIFS(Quality!$G$2:$G$1247,Quality!$A$2:$A$1247,$A57,Quality!$D$2:$D$1247,"foodwaste_narrative")</f>
        <v/>
      </c>
      <c r="G57">
        <f>SUMIFS(Quality!$G$2:$G$1247,Quality!$A$2:$A$1247,$A57,Quality!$D$2:$D$1247,"foodwaste_visual")</f>
        <v/>
      </c>
      <c r="H57">
        <f>IF(C57&gt;$B$2,1,0)</f>
        <v/>
      </c>
      <c r="I57">
        <f>IF(D57&gt;$B$2,1,0)</f>
        <v/>
      </c>
      <c r="J57">
        <f>IF(E57&lt;$F$2,1,0)</f>
        <v/>
      </c>
      <c r="K57">
        <f>IF(OR(F57&lt;$H$2,G57&lt;$H$2),1,0)</f>
        <v/>
      </c>
      <c r="L57">
        <f>IF(SUM(H57:K57)&gt;0,"Exclude","Keep")</f>
        <v/>
      </c>
      <c r="M57">
        <f>IF(H57=1,"Pre-study accuracy",IF(I57=1,"Post-study accuracy",IF(J57=1,"Eye tracking quality",IF(K57=1,"Face quality",""))))</f>
        <v/>
      </c>
      <c r="N57">
        <f>MAX(C57:D57)</f>
        <v/>
      </c>
      <c r="O57">
        <f>IF(AND(L57="Keep",N57&lt;=$D$2),"Keep","Exclude")</f>
        <v/>
      </c>
      <c r="P57">
        <f>D57-C57</f>
        <v/>
      </c>
    </row>
    <row r="58">
      <c r="A58" t="inlineStr">
        <is>
          <t>RESP0071</t>
        </is>
      </c>
      <c r="B58">
        <f>INDEX(Session!$M$2:$M$261,MATCH($A58,Session!$A$2:$A$261,0))</f>
        <v/>
      </c>
      <c r="C58">
        <f>SUMIFS(Quality!$E$2:$E$1247,Quality!$A$2:$A$1247,$A58,Quality!$D$2:$D$1247,"Pre-study calibration")</f>
        <v/>
      </c>
      <c r="D58">
        <f>SUMIFS(Quality!$E$2:$E$1247,Quality!$A$2:$A$1247,$A58,Quality!$D$2:$D$1247,"Post-study calibration")</f>
        <v/>
      </c>
      <c r="E58">
        <f>SUMIFS(Quality!$F$2:$F$1247,Quality!$A$2:$A$1247,$A58,Quality!$D$2:$D$1247,"infographic")</f>
        <v/>
      </c>
      <c r="F58">
        <f>SUMIFS(Quality!$G$2:$G$1247,Quality!$A$2:$A$1247,$A58,Quality!$D$2:$D$1247,"foodwaste_narrative")</f>
        <v/>
      </c>
      <c r="G58">
        <f>SUMIFS(Quality!$G$2:$G$1247,Quality!$A$2:$A$1247,$A58,Quality!$D$2:$D$1247,"foodwaste_visual")</f>
        <v/>
      </c>
      <c r="H58">
        <f>IF(C58&gt;$B$2,1,0)</f>
        <v/>
      </c>
      <c r="I58">
        <f>IF(D58&gt;$B$2,1,0)</f>
        <v/>
      </c>
      <c r="J58">
        <f>IF(E58&lt;$F$2,1,0)</f>
        <v/>
      </c>
      <c r="K58">
        <f>IF(OR(F58&lt;$H$2,G58&lt;$H$2),1,0)</f>
        <v/>
      </c>
      <c r="L58">
        <f>IF(SUM(H58:K58)&gt;0,"Exclude","Keep")</f>
        <v/>
      </c>
      <c r="M58">
        <f>IF(H58=1,"Pre-study accuracy",IF(I58=1,"Post-study accuracy",IF(J58=1,"Eye tracking quality",IF(K58=1,"Face quality",""))))</f>
        <v/>
      </c>
      <c r="N58">
        <f>MAX(C58:D58)</f>
        <v/>
      </c>
      <c r="O58">
        <f>IF(AND(L58="Keep",N58&lt;=$D$2),"Keep","Exclude")</f>
        <v/>
      </c>
      <c r="P58">
        <f>D58-C58</f>
        <v/>
      </c>
    </row>
    <row r="59">
      <c r="A59" t="inlineStr">
        <is>
          <t>RESP0072</t>
        </is>
      </c>
      <c r="B59">
        <f>INDEX(Session!$M$2:$M$261,MATCH($A59,Session!$A$2:$A$261,0))</f>
        <v/>
      </c>
      <c r="C59">
        <f>SUMIFS(Quality!$E$2:$E$1247,Quality!$A$2:$A$1247,$A59,Quality!$D$2:$D$1247,"Pre-study calibration")</f>
        <v/>
      </c>
      <c r="D59">
        <f>SUMIFS(Quality!$E$2:$E$1247,Quality!$A$2:$A$1247,$A59,Quality!$D$2:$D$1247,"Post-study calibration")</f>
        <v/>
      </c>
      <c r="E59">
        <f>SUMIFS(Quality!$F$2:$F$1247,Quality!$A$2:$A$1247,$A59,Quality!$D$2:$D$1247,"infographic")</f>
        <v/>
      </c>
      <c r="F59">
        <f>SUMIFS(Quality!$G$2:$G$1247,Quality!$A$2:$A$1247,$A59,Quality!$D$2:$D$1247,"foodwaste_narrative")</f>
        <v/>
      </c>
      <c r="G59">
        <f>SUMIFS(Quality!$G$2:$G$1247,Quality!$A$2:$A$1247,$A59,Quality!$D$2:$D$1247,"foodwaste_visual")</f>
        <v/>
      </c>
      <c r="H59">
        <f>IF(C59&gt;$B$2,1,0)</f>
        <v/>
      </c>
      <c r="I59">
        <f>IF(D59&gt;$B$2,1,0)</f>
        <v/>
      </c>
      <c r="J59">
        <f>IF(E59&lt;$F$2,1,0)</f>
        <v/>
      </c>
      <c r="K59">
        <f>IF(OR(F59&lt;$H$2,G59&lt;$H$2),1,0)</f>
        <v/>
      </c>
      <c r="L59">
        <f>IF(SUM(H59:K59)&gt;0,"Exclude","Keep")</f>
        <v/>
      </c>
      <c r="M59">
        <f>IF(H59=1,"Pre-study accuracy",IF(I59=1,"Post-study accuracy",IF(J59=1,"Eye tracking quality",IF(K59=1,"Face quality",""))))</f>
        <v/>
      </c>
      <c r="N59">
        <f>MAX(C59:D59)</f>
        <v/>
      </c>
      <c r="O59">
        <f>IF(AND(L59="Keep",N59&lt;=$D$2),"Keep","Exclude")</f>
        <v/>
      </c>
      <c r="P59">
        <f>D59-C59</f>
        <v/>
      </c>
    </row>
    <row r="60">
      <c r="A60" t="inlineStr">
        <is>
          <t>RESP0073</t>
        </is>
      </c>
      <c r="B60">
        <f>INDEX(Session!$M$2:$M$261,MATCH($A60,Session!$A$2:$A$261,0))</f>
        <v/>
      </c>
      <c r="C60">
        <f>SUMIFS(Quality!$E$2:$E$1247,Quality!$A$2:$A$1247,$A60,Quality!$D$2:$D$1247,"Pre-study calibration")</f>
        <v/>
      </c>
      <c r="D60">
        <f>SUMIFS(Quality!$E$2:$E$1247,Quality!$A$2:$A$1247,$A60,Quality!$D$2:$D$1247,"Post-study calibration")</f>
        <v/>
      </c>
      <c r="E60">
        <f>SUMIFS(Quality!$F$2:$F$1247,Quality!$A$2:$A$1247,$A60,Quality!$D$2:$D$1247,"infographic")</f>
        <v/>
      </c>
      <c r="F60">
        <f>SUMIFS(Quality!$G$2:$G$1247,Quality!$A$2:$A$1247,$A60,Quality!$D$2:$D$1247,"foodwaste_narrative")</f>
        <v/>
      </c>
      <c r="G60">
        <f>SUMIFS(Quality!$G$2:$G$1247,Quality!$A$2:$A$1247,$A60,Quality!$D$2:$D$1247,"foodwaste_visual")</f>
        <v/>
      </c>
      <c r="H60">
        <f>IF(C60&gt;$B$2,1,0)</f>
        <v/>
      </c>
      <c r="I60">
        <f>IF(D60&gt;$B$2,1,0)</f>
        <v/>
      </c>
      <c r="J60">
        <f>IF(E60&lt;$F$2,1,0)</f>
        <v/>
      </c>
      <c r="K60">
        <f>IF(OR(F60&lt;$H$2,G60&lt;$H$2),1,0)</f>
        <v/>
      </c>
      <c r="L60">
        <f>IF(SUM(H60:K60)&gt;0,"Exclude","Keep")</f>
        <v/>
      </c>
      <c r="M60">
        <f>IF(H60=1,"Pre-study accuracy",IF(I60=1,"Post-study accuracy",IF(J60=1,"Eye tracking quality",IF(K60=1,"Face quality",""))))</f>
        <v/>
      </c>
      <c r="N60">
        <f>MAX(C60:D60)</f>
        <v/>
      </c>
      <c r="O60">
        <f>IF(AND(L60="Keep",N60&lt;=$D$2),"Keep","Exclude")</f>
        <v/>
      </c>
      <c r="P60">
        <f>D60-C60</f>
        <v/>
      </c>
    </row>
    <row r="61">
      <c r="A61" t="inlineStr">
        <is>
          <t>RESP0074</t>
        </is>
      </c>
      <c r="B61">
        <f>INDEX(Session!$M$2:$M$261,MATCH($A61,Session!$A$2:$A$261,0))</f>
        <v/>
      </c>
      <c r="C61">
        <f>SUMIFS(Quality!$E$2:$E$1247,Quality!$A$2:$A$1247,$A61,Quality!$D$2:$D$1247,"Pre-study calibration")</f>
        <v/>
      </c>
      <c r="D61">
        <f>SUMIFS(Quality!$E$2:$E$1247,Quality!$A$2:$A$1247,$A61,Quality!$D$2:$D$1247,"Post-study calibration")</f>
        <v/>
      </c>
      <c r="E61">
        <f>SUMIFS(Quality!$F$2:$F$1247,Quality!$A$2:$A$1247,$A61,Quality!$D$2:$D$1247,"infographic")</f>
        <v/>
      </c>
      <c r="F61">
        <f>SUMIFS(Quality!$G$2:$G$1247,Quality!$A$2:$A$1247,$A61,Quality!$D$2:$D$1247,"foodwaste_narrative")</f>
        <v/>
      </c>
      <c r="G61">
        <f>SUMIFS(Quality!$G$2:$G$1247,Quality!$A$2:$A$1247,$A61,Quality!$D$2:$D$1247,"foodwaste_visual")</f>
        <v/>
      </c>
      <c r="H61">
        <f>IF(C61&gt;$B$2,1,0)</f>
        <v/>
      </c>
      <c r="I61">
        <f>IF(D61&gt;$B$2,1,0)</f>
        <v/>
      </c>
      <c r="J61">
        <f>IF(E61&lt;$F$2,1,0)</f>
        <v/>
      </c>
      <c r="K61">
        <f>IF(OR(F61&lt;$H$2,G61&lt;$H$2),1,0)</f>
        <v/>
      </c>
      <c r="L61">
        <f>IF(SUM(H61:K61)&gt;0,"Exclude","Keep")</f>
        <v/>
      </c>
      <c r="M61">
        <f>IF(H61=1,"Pre-study accuracy",IF(I61=1,"Post-study accuracy",IF(J61=1,"Eye tracking quality",IF(K61=1,"Face quality",""))))</f>
        <v/>
      </c>
      <c r="N61">
        <f>MAX(C61:D61)</f>
        <v/>
      </c>
      <c r="O61">
        <f>IF(AND(L61="Keep",N61&lt;=$D$2),"Keep","Exclude")</f>
        <v/>
      </c>
      <c r="P61">
        <f>D61-C61</f>
        <v/>
      </c>
    </row>
    <row r="62">
      <c r="A62" t="inlineStr">
        <is>
          <t>RESP0075</t>
        </is>
      </c>
      <c r="B62">
        <f>INDEX(Session!$M$2:$M$261,MATCH($A62,Session!$A$2:$A$261,0))</f>
        <v/>
      </c>
      <c r="C62">
        <f>SUMIFS(Quality!$E$2:$E$1247,Quality!$A$2:$A$1247,$A62,Quality!$D$2:$D$1247,"Pre-study calibration")</f>
        <v/>
      </c>
      <c r="D62">
        <f>SUMIFS(Quality!$E$2:$E$1247,Quality!$A$2:$A$1247,$A62,Quality!$D$2:$D$1247,"Post-study calibration")</f>
        <v/>
      </c>
      <c r="E62">
        <f>SUMIFS(Quality!$F$2:$F$1247,Quality!$A$2:$A$1247,$A62,Quality!$D$2:$D$1247,"infographic")</f>
        <v/>
      </c>
      <c r="F62">
        <f>SUMIFS(Quality!$G$2:$G$1247,Quality!$A$2:$A$1247,$A62,Quality!$D$2:$D$1247,"foodwaste_narrative")</f>
        <v/>
      </c>
      <c r="G62">
        <f>SUMIFS(Quality!$G$2:$G$1247,Quality!$A$2:$A$1247,$A62,Quality!$D$2:$D$1247,"foodwaste_visual")</f>
        <v/>
      </c>
      <c r="H62">
        <f>IF(C62&gt;$B$2,1,0)</f>
        <v/>
      </c>
      <c r="I62">
        <f>IF(D62&gt;$B$2,1,0)</f>
        <v/>
      </c>
      <c r="J62">
        <f>IF(E62&lt;$F$2,1,0)</f>
        <v/>
      </c>
      <c r="K62">
        <f>IF(OR(F62&lt;$H$2,G62&lt;$H$2),1,0)</f>
        <v/>
      </c>
      <c r="L62">
        <f>IF(SUM(H62:K62)&gt;0,"Exclude","Keep")</f>
        <v/>
      </c>
      <c r="M62">
        <f>IF(H62=1,"Pre-study accuracy",IF(I62=1,"Post-study accuracy",IF(J62=1,"Eye tracking quality",IF(K62=1,"Face quality",""))))</f>
        <v/>
      </c>
      <c r="N62">
        <f>MAX(C62:D62)</f>
        <v/>
      </c>
      <c r="O62">
        <f>IF(AND(L62="Keep",N62&lt;=$D$2),"Keep","Exclude")</f>
        <v/>
      </c>
      <c r="P62">
        <f>D62-C62</f>
        <v/>
      </c>
    </row>
    <row r="63">
      <c r="A63" t="inlineStr">
        <is>
          <t>RESP0076</t>
        </is>
      </c>
      <c r="B63">
        <f>INDEX(Session!$M$2:$M$261,MATCH($A63,Session!$A$2:$A$261,0))</f>
        <v/>
      </c>
      <c r="C63">
        <f>SUMIFS(Quality!$E$2:$E$1247,Quality!$A$2:$A$1247,$A63,Quality!$D$2:$D$1247,"Pre-study calibration")</f>
        <v/>
      </c>
      <c r="D63">
        <f>SUMIFS(Quality!$E$2:$E$1247,Quality!$A$2:$A$1247,$A63,Quality!$D$2:$D$1247,"Post-study calibration")</f>
        <v/>
      </c>
      <c r="E63">
        <f>SUMIFS(Quality!$F$2:$F$1247,Quality!$A$2:$A$1247,$A63,Quality!$D$2:$D$1247,"infographic")</f>
        <v/>
      </c>
      <c r="F63">
        <f>SUMIFS(Quality!$G$2:$G$1247,Quality!$A$2:$A$1247,$A63,Quality!$D$2:$D$1247,"foodwaste_narrative")</f>
        <v/>
      </c>
      <c r="G63">
        <f>SUMIFS(Quality!$G$2:$G$1247,Quality!$A$2:$A$1247,$A63,Quality!$D$2:$D$1247,"foodwaste_visual")</f>
        <v/>
      </c>
      <c r="H63">
        <f>IF(C63&gt;$B$2,1,0)</f>
        <v/>
      </c>
      <c r="I63">
        <f>IF(D63&gt;$B$2,1,0)</f>
        <v/>
      </c>
      <c r="J63">
        <f>IF(E63&lt;$F$2,1,0)</f>
        <v/>
      </c>
      <c r="K63">
        <f>IF(OR(F63&lt;$H$2,G63&lt;$H$2),1,0)</f>
        <v/>
      </c>
      <c r="L63">
        <f>IF(SUM(H63:K63)&gt;0,"Exclude","Keep")</f>
        <v/>
      </c>
      <c r="M63">
        <f>IF(H63=1,"Pre-study accuracy",IF(I63=1,"Post-study accuracy",IF(J63=1,"Eye tracking quality",IF(K63=1,"Face quality",""))))</f>
        <v/>
      </c>
      <c r="N63">
        <f>MAX(C63:D63)</f>
        <v/>
      </c>
      <c r="O63">
        <f>IF(AND(L63="Keep",N63&lt;=$D$2),"Keep","Exclude")</f>
        <v/>
      </c>
      <c r="P63">
        <f>D63-C63</f>
        <v/>
      </c>
    </row>
    <row r="64">
      <c r="A64" t="inlineStr">
        <is>
          <t>RESP0077</t>
        </is>
      </c>
      <c r="B64">
        <f>INDEX(Session!$M$2:$M$261,MATCH($A64,Session!$A$2:$A$261,0))</f>
        <v/>
      </c>
      <c r="C64">
        <f>SUMIFS(Quality!$E$2:$E$1247,Quality!$A$2:$A$1247,$A64,Quality!$D$2:$D$1247,"Pre-study calibration")</f>
        <v/>
      </c>
      <c r="D64">
        <f>SUMIFS(Quality!$E$2:$E$1247,Quality!$A$2:$A$1247,$A64,Quality!$D$2:$D$1247,"Post-study calibration")</f>
        <v/>
      </c>
      <c r="E64">
        <f>SUMIFS(Quality!$F$2:$F$1247,Quality!$A$2:$A$1247,$A64,Quality!$D$2:$D$1247,"infographic")</f>
        <v/>
      </c>
      <c r="F64">
        <f>SUMIFS(Quality!$G$2:$G$1247,Quality!$A$2:$A$1247,$A64,Quality!$D$2:$D$1247,"foodwaste_narrative")</f>
        <v/>
      </c>
      <c r="G64">
        <f>SUMIFS(Quality!$G$2:$G$1247,Quality!$A$2:$A$1247,$A64,Quality!$D$2:$D$1247,"foodwaste_visual")</f>
        <v/>
      </c>
      <c r="H64">
        <f>IF(C64&gt;$B$2,1,0)</f>
        <v/>
      </c>
      <c r="I64">
        <f>IF(D64&gt;$B$2,1,0)</f>
        <v/>
      </c>
      <c r="J64">
        <f>IF(E64&lt;$F$2,1,0)</f>
        <v/>
      </c>
      <c r="K64">
        <f>IF(OR(F64&lt;$H$2,G64&lt;$H$2),1,0)</f>
        <v/>
      </c>
      <c r="L64">
        <f>IF(SUM(H64:K64)&gt;0,"Exclude","Keep")</f>
        <v/>
      </c>
      <c r="M64">
        <f>IF(H64=1,"Pre-study accuracy",IF(I64=1,"Post-study accuracy",IF(J64=1,"Eye tracking quality",IF(K64=1,"Face quality",""))))</f>
        <v/>
      </c>
      <c r="N64">
        <f>MAX(C64:D64)</f>
        <v/>
      </c>
      <c r="O64">
        <f>IF(AND(L64="Keep",N64&lt;=$D$2),"Keep","Exclude")</f>
        <v/>
      </c>
      <c r="P64">
        <f>D64-C64</f>
        <v/>
      </c>
    </row>
    <row r="65">
      <c r="A65" t="inlineStr">
        <is>
          <t>RESP0078</t>
        </is>
      </c>
      <c r="B65">
        <f>INDEX(Session!$M$2:$M$261,MATCH($A65,Session!$A$2:$A$261,0))</f>
        <v/>
      </c>
      <c r="C65">
        <f>SUMIFS(Quality!$E$2:$E$1247,Quality!$A$2:$A$1247,$A65,Quality!$D$2:$D$1247,"Pre-study calibration")</f>
        <v/>
      </c>
      <c r="D65">
        <f>SUMIFS(Quality!$E$2:$E$1247,Quality!$A$2:$A$1247,$A65,Quality!$D$2:$D$1247,"Post-study calibration")</f>
        <v/>
      </c>
      <c r="E65">
        <f>SUMIFS(Quality!$F$2:$F$1247,Quality!$A$2:$A$1247,$A65,Quality!$D$2:$D$1247,"infographic")</f>
        <v/>
      </c>
      <c r="F65">
        <f>SUMIFS(Quality!$G$2:$G$1247,Quality!$A$2:$A$1247,$A65,Quality!$D$2:$D$1247,"foodwaste_narrative")</f>
        <v/>
      </c>
      <c r="G65">
        <f>SUMIFS(Quality!$G$2:$G$1247,Quality!$A$2:$A$1247,$A65,Quality!$D$2:$D$1247,"foodwaste_visual")</f>
        <v/>
      </c>
      <c r="H65">
        <f>IF(C65&gt;$B$2,1,0)</f>
        <v/>
      </c>
      <c r="I65">
        <f>IF(D65&gt;$B$2,1,0)</f>
        <v/>
      </c>
      <c r="J65">
        <f>IF(E65&lt;$F$2,1,0)</f>
        <v/>
      </c>
      <c r="K65">
        <f>IF(OR(F65&lt;$H$2,G65&lt;$H$2),1,0)</f>
        <v/>
      </c>
      <c r="L65">
        <f>IF(SUM(H65:K65)&gt;0,"Exclude","Keep")</f>
        <v/>
      </c>
      <c r="M65">
        <f>IF(H65=1,"Pre-study accuracy",IF(I65=1,"Post-study accuracy",IF(J65=1,"Eye tracking quality",IF(K65=1,"Face quality",""))))</f>
        <v/>
      </c>
      <c r="N65">
        <f>MAX(C65:D65)</f>
        <v/>
      </c>
      <c r="O65">
        <f>IF(AND(L65="Keep",N65&lt;=$D$2),"Keep","Exclude")</f>
        <v/>
      </c>
      <c r="P65">
        <f>D65-C65</f>
        <v/>
      </c>
    </row>
    <row r="66">
      <c r="A66" t="inlineStr">
        <is>
          <t>RESP0079</t>
        </is>
      </c>
      <c r="B66">
        <f>INDEX(Session!$M$2:$M$261,MATCH($A66,Session!$A$2:$A$261,0))</f>
        <v/>
      </c>
      <c r="C66">
        <f>SUMIFS(Quality!$E$2:$E$1247,Quality!$A$2:$A$1247,$A66,Quality!$D$2:$D$1247,"Pre-study calibration")</f>
        <v/>
      </c>
      <c r="D66">
        <f>SUMIFS(Quality!$E$2:$E$1247,Quality!$A$2:$A$1247,$A66,Quality!$D$2:$D$1247,"Post-study calibration")</f>
        <v/>
      </c>
      <c r="E66">
        <f>SUMIFS(Quality!$F$2:$F$1247,Quality!$A$2:$A$1247,$A66,Quality!$D$2:$D$1247,"infographic")</f>
        <v/>
      </c>
      <c r="F66">
        <f>SUMIFS(Quality!$G$2:$G$1247,Quality!$A$2:$A$1247,$A66,Quality!$D$2:$D$1247,"foodwaste_narrative")</f>
        <v/>
      </c>
      <c r="G66">
        <f>SUMIFS(Quality!$G$2:$G$1247,Quality!$A$2:$A$1247,$A66,Quality!$D$2:$D$1247,"foodwaste_visual")</f>
        <v/>
      </c>
      <c r="H66">
        <f>IF(C66&gt;$B$2,1,0)</f>
        <v/>
      </c>
      <c r="I66">
        <f>IF(D66&gt;$B$2,1,0)</f>
        <v/>
      </c>
      <c r="J66">
        <f>IF(E66&lt;$F$2,1,0)</f>
        <v/>
      </c>
      <c r="K66">
        <f>IF(OR(F66&lt;$H$2,G66&lt;$H$2),1,0)</f>
        <v/>
      </c>
      <c r="L66">
        <f>IF(SUM(H66:K66)&gt;0,"Exclude","Keep")</f>
        <v/>
      </c>
      <c r="M66">
        <f>IF(H66=1,"Pre-study accuracy",IF(I66=1,"Post-study accuracy",IF(J66=1,"Eye tracking quality",IF(K66=1,"Face quality",""))))</f>
        <v/>
      </c>
      <c r="N66">
        <f>MAX(C66:D66)</f>
        <v/>
      </c>
      <c r="O66">
        <f>IF(AND(L66="Keep",N66&lt;=$D$2),"Keep","Exclude")</f>
        <v/>
      </c>
      <c r="P66">
        <f>D66-C66</f>
        <v/>
      </c>
    </row>
    <row r="67">
      <c r="A67" t="inlineStr">
        <is>
          <t>RESP0080</t>
        </is>
      </c>
      <c r="B67">
        <f>INDEX(Session!$M$2:$M$261,MATCH($A67,Session!$A$2:$A$261,0))</f>
        <v/>
      </c>
      <c r="C67">
        <f>SUMIFS(Quality!$E$2:$E$1247,Quality!$A$2:$A$1247,$A67,Quality!$D$2:$D$1247,"Pre-study calibration")</f>
        <v/>
      </c>
      <c r="D67">
        <f>SUMIFS(Quality!$E$2:$E$1247,Quality!$A$2:$A$1247,$A67,Quality!$D$2:$D$1247,"Post-study calibration")</f>
        <v/>
      </c>
      <c r="E67">
        <f>SUMIFS(Quality!$F$2:$F$1247,Quality!$A$2:$A$1247,$A67,Quality!$D$2:$D$1247,"infographic")</f>
        <v/>
      </c>
      <c r="F67">
        <f>SUMIFS(Quality!$G$2:$G$1247,Quality!$A$2:$A$1247,$A67,Quality!$D$2:$D$1247,"foodwaste_narrative")</f>
        <v/>
      </c>
      <c r="G67">
        <f>SUMIFS(Quality!$G$2:$G$1247,Quality!$A$2:$A$1247,$A67,Quality!$D$2:$D$1247,"foodwaste_visual")</f>
        <v/>
      </c>
      <c r="H67">
        <f>IF(C67&gt;$B$2,1,0)</f>
        <v/>
      </c>
      <c r="I67">
        <f>IF(D67&gt;$B$2,1,0)</f>
        <v/>
      </c>
      <c r="J67">
        <f>IF(E67&lt;$F$2,1,0)</f>
        <v/>
      </c>
      <c r="K67">
        <f>IF(OR(F67&lt;$H$2,G67&lt;$H$2),1,0)</f>
        <v/>
      </c>
      <c r="L67">
        <f>IF(SUM(H67:K67)&gt;0,"Exclude","Keep")</f>
        <v/>
      </c>
      <c r="M67">
        <f>IF(H67=1,"Pre-study accuracy",IF(I67=1,"Post-study accuracy",IF(J67=1,"Eye tracking quality",IF(K67=1,"Face quality",""))))</f>
        <v/>
      </c>
      <c r="N67">
        <f>MAX(C67:D67)</f>
        <v/>
      </c>
      <c r="O67">
        <f>IF(AND(L67="Keep",N67&lt;=$D$2),"Keep","Exclude")</f>
        <v/>
      </c>
      <c r="P67">
        <f>D67-C67</f>
        <v/>
      </c>
    </row>
    <row r="68">
      <c r="A68" t="inlineStr">
        <is>
          <t>RESP0081</t>
        </is>
      </c>
      <c r="B68">
        <f>INDEX(Session!$M$2:$M$261,MATCH($A68,Session!$A$2:$A$261,0))</f>
        <v/>
      </c>
      <c r="C68">
        <f>SUMIFS(Quality!$E$2:$E$1247,Quality!$A$2:$A$1247,$A68,Quality!$D$2:$D$1247,"Pre-study calibration")</f>
        <v/>
      </c>
      <c r="D68">
        <f>SUMIFS(Quality!$E$2:$E$1247,Quality!$A$2:$A$1247,$A68,Quality!$D$2:$D$1247,"Post-study calibration")</f>
        <v/>
      </c>
      <c r="E68">
        <f>SUMIFS(Quality!$F$2:$F$1247,Quality!$A$2:$A$1247,$A68,Quality!$D$2:$D$1247,"infographic")</f>
        <v/>
      </c>
      <c r="F68">
        <f>SUMIFS(Quality!$G$2:$G$1247,Quality!$A$2:$A$1247,$A68,Quality!$D$2:$D$1247,"foodwaste_narrative")</f>
        <v/>
      </c>
      <c r="G68">
        <f>SUMIFS(Quality!$G$2:$G$1247,Quality!$A$2:$A$1247,$A68,Quality!$D$2:$D$1247,"foodwaste_visual")</f>
        <v/>
      </c>
      <c r="H68">
        <f>IF(C68&gt;$B$2,1,0)</f>
        <v/>
      </c>
      <c r="I68">
        <f>IF(D68&gt;$B$2,1,0)</f>
        <v/>
      </c>
      <c r="J68">
        <f>IF(E68&lt;$F$2,1,0)</f>
        <v/>
      </c>
      <c r="K68">
        <f>IF(OR(F68&lt;$H$2,G68&lt;$H$2),1,0)</f>
        <v/>
      </c>
      <c r="L68">
        <f>IF(SUM(H68:K68)&gt;0,"Exclude","Keep")</f>
        <v/>
      </c>
      <c r="M68">
        <f>IF(H68=1,"Pre-study accuracy",IF(I68=1,"Post-study accuracy",IF(J68=1,"Eye tracking quality",IF(K68=1,"Face quality",""))))</f>
        <v/>
      </c>
      <c r="N68">
        <f>MAX(C68:D68)</f>
        <v/>
      </c>
      <c r="O68">
        <f>IF(AND(L68="Keep",N68&lt;=$D$2),"Keep","Exclude")</f>
        <v/>
      </c>
      <c r="P68">
        <f>D68-C68</f>
        <v/>
      </c>
    </row>
    <row r="69">
      <c r="A69" t="inlineStr">
        <is>
          <t>RESP0082</t>
        </is>
      </c>
      <c r="B69">
        <f>INDEX(Session!$M$2:$M$261,MATCH($A69,Session!$A$2:$A$261,0))</f>
        <v/>
      </c>
      <c r="C69">
        <f>SUMIFS(Quality!$E$2:$E$1247,Quality!$A$2:$A$1247,$A69,Quality!$D$2:$D$1247,"Pre-study calibration")</f>
        <v/>
      </c>
      <c r="D69">
        <f>SUMIFS(Quality!$E$2:$E$1247,Quality!$A$2:$A$1247,$A69,Quality!$D$2:$D$1247,"Post-study calibration")</f>
        <v/>
      </c>
      <c r="E69">
        <f>SUMIFS(Quality!$F$2:$F$1247,Quality!$A$2:$A$1247,$A69,Quality!$D$2:$D$1247,"infographic")</f>
        <v/>
      </c>
      <c r="F69">
        <f>SUMIFS(Quality!$G$2:$G$1247,Quality!$A$2:$A$1247,$A69,Quality!$D$2:$D$1247,"foodwaste_narrative")</f>
        <v/>
      </c>
      <c r="G69">
        <f>SUMIFS(Quality!$G$2:$G$1247,Quality!$A$2:$A$1247,$A69,Quality!$D$2:$D$1247,"foodwaste_visual")</f>
        <v/>
      </c>
      <c r="H69">
        <f>IF(C69&gt;$B$2,1,0)</f>
        <v/>
      </c>
      <c r="I69">
        <f>IF(D69&gt;$B$2,1,0)</f>
        <v/>
      </c>
      <c r="J69">
        <f>IF(E69&lt;$F$2,1,0)</f>
        <v/>
      </c>
      <c r="K69">
        <f>IF(OR(F69&lt;$H$2,G69&lt;$H$2),1,0)</f>
        <v/>
      </c>
      <c r="L69">
        <f>IF(SUM(H69:K69)&gt;0,"Exclude","Keep")</f>
        <v/>
      </c>
      <c r="M69">
        <f>IF(H69=1,"Pre-study accuracy",IF(I69=1,"Post-study accuracy",IF(J69=1,"Eye tracking quality",IF(K69=1,"Face quality",""))))</f>
        <v/>
      </c>
      <c r="N69">
        <f>MAX(C69:D69)</f>
        <v/>
      </c>
      <c r="O69">
        <f>IF(AND(L69="Keep",N69&lt;=$D$2),"Keep","Exclude")</f>
        <v/>
      </c>
      <c r="P69">
        <f>D69-C69</f>
        <v/>
      </c>
    </row>
    <row r="70">
      <c r="A70" t="inlineStr">
        <is>
          <t>RESP0084</t>
        </is>
      </c>
      <c r="B70">
        <f>INDEX(Session!$M$2:$M$261,MATCH($A70,Session!$A$2:$A$261,0))</f>
        <v/>
      </c>
      <c r="C70">
        <f>SUMIFS(Quality!$E$2:$E$1247,Quality!$A$2:$A$1247,$A70,Quality!$D$2:$D$1247,"Pre-study calibration")</f>
        <v/>
      </c>
      <c r="D70">
        <f>SUMIFS(Quality!$E$2:$E$1247,Quality!$A$2:$A$1247,$A70,Quality!$D$2:$D$1247,"Post-study calibration")</f>
        <v/>
      </c>
      <c r="E70">
        <f>SUMIFS(Quality!$F$2:$F$1247,Quality!$A$2:$A$1247,$A70,Quality!$D$2:$D$1247,"infographic")</f>
        <v/>
      </c>
      <c r="F70">
        <f>SUMIFS(Quality!$G$2:$G$1247,Quality!$A$2:$A$1247,$A70,Quality!$D$2:$D$1247,"foodwaste_narrative")</f>
        <v/>
      </c>
      <c r="G70">
        <f>SUMIFS(Quality!$G$2:$G$1247,Quality!$A$2:$A$1247,$A70,Quality!$D$2:$D$1247,"foodwaste_visual")</f>
        <v/>
      </c>
      <c r="H70">
        <f>IF(C70&gt;$B$2,1,0)</f>
        <v/>
      </c>
      <c r="I70">
        <f>IF(D70&gt;$B$2,1,0)</f>
        <v/>
      </c>
      <c r="J70">
        <f>IF(E70&lt;$F$2,1,0)</f>
        <v/>
      </c>
      <c r="K70">
        <f>IF(OR(F70&lt;$H$2,G70&lt;$H$2),1,0)</f>
        <v/>
      </c>
      <c r="L70">
        <f>IF(SUM(H70:K70)&gt;0,"Exclude","Keep")</f>
        <v/>
      </c>
      <c r="M70">
        <f>IF(H70=1,"Pre-study accuracy",IF(I70=1,"Post-study accuracy",IF(J70=1,"Eye tracking quality",IF(K70=1,"Face quality",""))))</f>
        <v/>
      </c>
      <c r="N70">
        <f>MAX(C70:D70)</f>
        <v/>
      </c>
      <c r="O70">
        <f>IF(AND(L70="Keep",N70&lt;=$D$2),"Keep","Exclude")</f>
        <v/>
      </c>
      <c r="P70">
        <f>D70-C70</f>
        <v/>
      </c>
    </row>
    <row r="71">
      <c r="A71" t="inlineStr">
        <is>
          <t>RESP0085</t>
        </is>
      </c>
      <c r="B71">
        <f>INDEX(Session!$M$2:$M$261,MATCH($A71,Session!$A$2:$A$261,0))</f>
        <v/>
      </c>
      <c r="C71">
        <f>SUMIFS(Quality!$E$2:$E$1247,Quality!$A$2:$A$1247,$A71,Quality!$D$2:$D$1247,"Pre-study calibration")</f>
        <v/>
      </c>
      <c r="D71">
        <f>SUMIFS(Quality!$E$2:$E$1247,Quality!$A$2:$A$1247,$A71,Quality!$D$2:$D$1247,"Post-study calibration")</f>
        <v/>
      </c>
      <c r="E71">
        <f>SUMIFS(Quality!$F$2:$F$1247,Quality!$A$2:$A$1247,$A71,Quality!$D$2:$D$1247,"infographic")</f>
        <v/>
      </c>
      <c r="F71">
        <f>SUMIFS(Quality!$G$2:$G$1247,Quality!$A$2:$A$1247,$A71,Quality!$D$2:$D$1247,"foodwaste_narrative")</f>
        <v/>
      </c>
      <c r="G71">
        <f>SUMIFS(Quality!$G$2:$G$1247,Quality!$A$2:$A$1247,$A71,Quality!$D$2:$D$1247,"foodwaste_visual")</f>
        <v/>
      </c>
      <c r="H71">
        <f>IF(C71&gt;$B$2,1,0)</f>
        <v/>
      </c>
      <c r="I71">
        <f>IF(D71&gt;$B$2,1,0)</f>
        <v/>
      </c>
      <c r="J71">
        <f>IF(E71&lt;$F$2,1,0)</f>
        <v/>
      </c>
      <c r="K71">
        <f>IF(OR(F71&lt;$H$2,G71&lt;$H$2),1,0)</f>
        <v/>
      </c>
      <c r="L71">
        <f>IF(SUM(H71:K71)&gt;0,"Exclude","Keep")</f>
        <v/>
      </c>
      <c r="M71">
        <f>IF(H71=1,"Pre-study accuracy",IF(I71=1,"Post-study accuracy",IF(J71=1,"Eye tracking quality",IF(K71=1,"Face quality",""))))</f>
        <v/>
      </c>
      <c r="N71">
        <f>MAX(C71:D71)</f>
        <v/>
      </c>
      <c r="O71">
        <f>IF(AND(L71="Keep",N71&lt;=$D$2),"Keep","Exclude")</f>
        <v/>
      </c>
      <c r="P71">
        <f>D71-C71</f>
        <v/>
      </c>
    </row>
    <row r="72">
      <c r="A72" t="inlineStr">
        <is>
          <t>RESP0088</t>
        </is>
      </c>
      <c r="B72">
        <f>INDEX(Session!$M$2:$M$261,MATCH($A72,Session!$A$2:$A$261,0))</f>
        <v/>
      </c>
      <c r="C72">
        <f>SUMIFS(Quality!$E$2:$E$1247,Quality!$A$2:$A$1247,$A72,Quality!$D$2:$D$1247,"Pre-study calibration")</f>
        <v/>
      </c>
      <c r="D72">
        <f>SUMIFS(Quality!$E$2:$E$1247,Quality!$A$2:$A$1247,$A72,Quality!$D$2:$D$1247,"Post-study calibration")</f>
        <v/>
      </c>
      <c r="E72">
        <f>SUMIFS(Quality!$F$2:$F$1247,Quality!$A$2:$A$1247,$A72,Quality!$D$2:$D$1247,"infographic")</f>
        <v/>
      </c>
      <c r="F72">
        <f>SUMIFS(Quality!$G$2:$G$1247,Quality!$A$2:$A$1247,$A72,Quality!$D$2:$D$1247,"foodwaste_narrative")</f>
        <v/>
      </c>
      <c r="G72">
        <f>SUMIFS(Quality!$G$2:$G$1247,Quality!$A$2:$A$1247,$A72,Quality!$D$2:$D$1247,"foodwaste_visual")</f>
        <v/>
      </c>
      <c r="H72">
        <f>IF(C72&gt;$B$2,1,0)</f>
        <v/>
      </c>
      <c r="I72">
        <f>IF(D72&gt;$B$2,1,0)</f>
        <v/>
      </c>
      <c r="J72">
        <f>IF(E72&lt;$F$2,1,0)</f>
        <v/>
      </c>
      <c r="K72">
        <f>IF(OR(F72&lt;$H$2,G72&lt;$H$2),1,0)</f>
        <v/>
      </c>
      <c r="L72">
        <f>IF(SUM(H72:K72)&gt;0,"Exclude","Keep")</f>
        <v/>
      </c>
      <c r="M72">
        <f>IF(H72=1,"Pre-study accuracy",IF(I72=1,"Post-study accuracy",IF(J72=1,"Eye tracking quality",IF(K72=1,"Face quality",""))))</f>
        <v/>
      </c>
      <c r="N72">
        <f>MAX(C72:D72)</f>
        <v/>
      </c>
      <c r="O72">
        <f>IF(AND(L72="Keep",N72&lt;=$D$2),"Keep","Exclude")</f>
        <v/>
      </c>
      <c r="P72">
        <f>D72-C72</f>
        <v/>
      </c>
    </row>
    <row r="73">
      <c r="A73" t="inlineStr">
        <is>
          <t>RESP0090</t>
        </is>
      </c>
      <c r="B73">
        <f>INDEX(Session!$M$2:$M$261,MATCH($A73,Session!$A$2:$A$261,0))</f>
        <v/>
      </c>
      <c r="C73">
        <f>SUMIFS(Quality!$E$2:$E$1247,Quality!$A$2:$A$1247,$A73,Quality!$D$2:$D$1247,"Pre-study calibration")</f>
        <v/>
      </c>
      <c r="D73">
        <f>SUMIFS(Quality!$E$2:$E$1247,Quality!$A$2:$A$1247,$A73,Quality!$D$2:$D$1247,"Post-study calibration")</f>
        <v/>
      </c>
      <c r="E73">
        <f>SUMIFS(Quality!$F$2:$F$1247,Quality!$A$2:$A$1247,$A73,Quality!$D$2:$D$1247,"infographic")</f>
        <v/>
      </c>
      <c r="F73">
        <f>SUMIFS(Quality!$G$2:$G$1247,Quality!$A$2:$A$1247,$A73,Quality!$D$2:$D$1247,"foodwaste_narrative")</f>
        <v/>
      </c>
      <c r="G73">
        <f>SUMIFS(Quality!$G$2:$G$1247,Quality!$A$2:$A$1247,$A73,Quality!$D$2:$D$1247,"foodwaste_visual")</f>
        <v/>
      </c>
      <c r="H73">
        <f>IF(C73&gt;$B$2,1,0)</f>
        <v/>
      </c>
      <c r="I73">
        <f>IF(D73&gt;$B$2,1,0)</f>
        <v/>
      </c>
      <c r="J73">
        <f>IF(E73&lt;$F$2,1,0)</f>
        <v/>
      </c>
      <c r="K73">
        <f>IF(OR(F73&lt;$H$2,G73&lt;$H$2),1,0)</f>
        <v/>
      </c>
      <c r="L73">
        <f>IF(SUM(H73:K73)&gt;0,"Exclude","Keep")</f>
        <v/>
      </c>
      <c r="M73">
        <f>IF(H73=1,"Pre-study accuracy",IF(I73=1,"Post-study accuracy",IF(J73=1,"Eye tracking quality",IF(K73=1,"Face quality",""))))</f>
        <v/>
      </c>
      <c r="N73">
        <f>MAX(C73:D73)</f>
        <v/>
      </c>
      <c r="O73">
        <f>IF(AND(L73="Keep",N73&lt;=$D$2),"Keep","Exclude")</f>
        <v/>
      </c>
      <c r="P73">
        <f>D73-C73</f>
        <v/>
      </c>
    </row>
    <row r="74">
      <c r="A74" t="inlineStr">
        <is>
          <t>RESP0093</t>
        </is>
      </c>
      <c r="B74">
        <f>INDEX(Session!$M$2:$M$261,MATCH($A74,Session!$A$2:$A$261,0))</f>
        <v/>
      </c>
      <c r="C74">
        <f>SUMIFS(Quality!$E$2:$E$1247,Quality!$A$2:$A$1247,$A74,Quality!$D$2:$D$1247,"Pre-study calibration")</f>
        <v/>
      </c>
      <c r="D74">
        <f>SUMIFS(Quality!$E$2:$E$1247,Quality!$A$2:$A$1247,$A74,Quality!$D$2:$D$1247,"Post-study calibration")</f>
        <v/>
      </c>
      <c r="E74">
        <f>SUMIFS(Quality!$F$2:$F$1247,Quality!$A$2:$A$1247,$A74,Quality!$D$2:$D$1247,"infographic")</f>
        <v/>
      </c>
      <c r="F74">
        <f>SUMIFS(Quality!$G$2:$G$1247,Quality!$A$2:$A$1247,$A74,Quality!$D$2:$D$1247,"foodwaste_narrative")</f>
        <v/>
      </c>
      <c r="G74">
        <f>SUMIFS(Quality!$G$2:$G$1247,Quality!$A$2:$A$1247,$A74,Quality!$D$2:$D$1247,"foodwaste_visual")</f>
        <v/>
      </c>
      <c r="H74">
        <f>IF(C74&gt;$B$2,1,0)</f>
        <v/>
      </c>
      <c r="I74">
        <f>IF(D74&gt;$B$2,1,0)</f>
        <v/>
      </c>
      <c r="J74">
        <f>IF(E74&lt;$F$2,1,0)</f>
        <v/>
      </c>
      <c r="K74">
        <f>IF(OR(F74&lt;$H$2,G74&lt;$H$2),1,0)</f>
        <v/>
      </c>
      <c r="L74">
        <f>IF(SUM(H74:K74)&gt;0,"Exclude","Keep")</f>
        <v/>
      </c>
      <c r="M74">
        <f>IF(H74=1,"Pre-study accuracy",IF(I74=1,"Post-study accuracy",IF(J74=1,"Eye tracking quality",IF(K74=1,"Face quality",""))))</f>
        <v/>
      </c>
      <c r="N74">
        <f>MAX(C74:D74)</f>
        <v/>
      </c>
      <c r="O74">
        <f>IF(AND(L74="Keep",N74&lt;=$D$2),"Keep","Exclude")</f>
        <v/>
      </c>
      <c r="P74">
        <f>D74-C74</f>
        <v/>
      </c>
    </row>
    <row r="75">
      <c r="A75" t="inlineStr">
        <is>
          <t>RESP0094</t>
        </is>
      </c>
      <c r="B75">
        <f>INDEX(Session!$M$2:$M$261,MATCH($A75,Session!$A$2:$A$261,0))</f>
        <v/>
      </c>
      <c r="C75">
        <f>SUMIFS(Quality!$E$2:$E$1247,Quality!$A$2:$A$1247,$A75,Quality!$D$2:$D$1247,"Pre-study calibration")</f>
        <v/>
      </c>
      <c r="D75">
        <f>SUMIFS(Quality!$E$2:$E$1247,Quality!$A$2:$A$1247,$A75,Quality!$D$2:$D$1247,"Post-study calibration")</f>
        <v/>
      </c>
      <c r="E75">
        <f>SUMIFS(Quality!$F$2:$F$1247,Quality!$A$2:$A$1247,$A75,Quality!$D$2:$D$1247,"infographic")</f>
        <v/>
      </c>
      <c r="F75">
        <f>SUMIFS(Quality!$G$2:$G$1247,Quality!$A$2:$A$1247,$A75,Quality!$D$2:$D$1247,"foodwaste_narrative")</f>
        <v/>
      </c>
      <c r="G75">
        <f>SUMIFS(Quality!$G$2:$G$1247,Quality!$A$2:$A$1247,$A75,Quality!$D$2:$D$1247,"foodwaste_visual")</f>
        <v/>
      </c>
      <c r="H75">
        <f>IF(C75&gt;$B$2,1,0)</f>
        <v/>
      </c>
      <c r="I75">
        <f>IF(D75&gt;$B$2,1,0)</f>
        <v/>
      </c>
      <c r="J75">
        <f>IF(E75&lt;$F$2,1,0)</f>
        <v/>
      </c>
      <c r="K75">
        <f>IF(OR(F75&lt;$H$2,G75&lt;$H$2),1,0)</f>
        <v/>
      </c>
      <c r="L75">
        <f>IF(SUM(H75:K75)&gt;0,"Exclude","Keep")</f>
        <v/>
      </c>
      <c r="M75">
        <f>IF(H75=1,"Pre-study accuracy",IF(I75=1,"Post-study accuracy",IF(J75=1,"Eye tracking quality",IF(K75=1,"Face quality",""))))</f>
        <v/>
      </c>
      <c r="N75">
        <f>MAX(C75:D75)</f>
        <v/>
      </c>
      <c r="O75">
        <f>IF(AND(L75="Keep",N75&lt;=$D$2),"Keep","Exclude")</f>
        <v/>
      </c>
      <c r="P75">
        <f>D75-C75</f>
        <v/>
      </c>
    </row>
    <row r="76">
      <c r="A76" t="inlineStr">
        <is>
          <t>RESP0095</t>
        </is>
      </c>
      <c r="B76">
        <f>INDEX(Session!$M$2:$M$261,MATCH($A76,Session!$A$2:$A$261,0))</f>
        <v/>
      </c>
      <c r="C76">
        <f>SUMIFS(Quality!$E$2:$E$1247,Quality!$A$2:$A$1247,$A76,Quality!$D$2:$D$1247,"Pre-study calibration")</f>
        <v/>
      </c>
      <c r="D76">
        <f>SUMIFS(Quality!$E$2:$E$1247,Quality!$A$2:$A$1247,$A76,Quality!$D$2:$D$1247,"Post-study calibration")</f>
        <v/>
      </c>
      <c r="E76">
        <f>SUMIFS(Quality!$F$2:$F$1247,Quality!$A$2:$A$1247,$A76,Quality!$D$2:$D$1247,"infographic")</f>
        <v/>
      </c>
      <c r="F76">
        <f>SUMIFS(Quality!$G$2:$G$1247,Quality!$A$2:$A$1247,$A76,Quality!$D$2:$D$1247,"foodwaste_narrative")</f>
        <v/>
      </c>
      <c r="G76">
        <f>SUMIFS(Quality!$G$2:$G$1247,Quality!$A$2:$A$1247,$A76,Quality!$D$2:$D$1247,"foodwaste_visual")</f>
        <v/>
      </c>
      <c r="H76">
        <f>IF(C76&gt;$B$2,1,0)</f>
        <v/>
      </c>
      <c r="I76">
        <f>IF(D76&gt;$B$2,1,0)</f>
        <v/>
      </c>
      <c r="J76">
        <f>IF(E76&lt;$F$2,1,0)</f>
        <v/>
      </c>
      <c r="K76">
        <f>IF(OR(F76&lt;$H$2,G76&lt;$H$2),1,0)</f>
        <v/>
      </c>
      <c r="L76">
        <f>IF(SUM(H76:K76)&gt;0,"Exclude","Keep")</f>
        <v/>
      </c>
      <c r="M76">
        <f>IF(H76=1,"Pre-study accuracy",IF(I76=1,"Post-study accuracy",IF(J76=1,"Eye tracking quality",IF(K76=1,"Face quality",""))))</f>
        <v/>
      </c>
      <c r="N76">
        <f>MAX(C76:D76)</f>
        <v/>
      </c>
      <c r="O76">
        <f>IF(AND(L76="Keep",N76&lt;=$D$2),"Keep","Exclude")</f>
        <v/>
      </c>
      <c r="P76">
        <f>D76-C76</f>
        <v/>
      </c>
    </row>
    <row r="77">
      <c r="A77" t="inlineStr">
        <is>
          <t>RESP0096</t>
        </is>
      </c>
      <c r="B77">
        <f>INDEX(Session!$M$2:$M$261,MATCH($A77,Session!$A$2:$A$261,0))</f>
        <v/>
      </c>
      <c r="C77">
        <f>SUMIFS(Quality!$E$2:$E$1247,Quality!$A$2:$A$1247,$A77,Quality!$D$2:$D$1247,"Pre-study calibration")</f>
        <v/>
      </c>
      <c r="D77">
        <f>SUMIFS(Quality!$E$2:$E$1247,Quality!$A$2:$A$1247,$A77,Quality!$D$2:$D$1247,"Post-study calibration")</f>
        <v/>
      </c>
      <c r="E77">
        <f>SUMIFS(Quality!$F$2:$F$1247,Quality!$A$2:$A$1247,$A77,Quality!$D$2:$D$1247,"infographic")</f>
        <v/>
      </c>
      <c r="F77">
        <f>SUMIFS(Quality!$G$2:$G$1247,Quality!$A$2:$A$1247,$A77,Quality!$D$2:$D$1247,"foodwaste_narrative")</f>
        <v/>
      </c>
      <c r="G77">
        <f>SUMIFS(Quality!$G$2:$G$1247,Quality!$A$2:$A$1247,$A77,Quality!$D$2:$D$1247,"foodwaste_visual")</f>
        <v/>
      </c>
      <c r="H77">
        <f>IF(C77&gt;$B$2,1,0)</f>
        <v/>
      </c>
      <c r="I77">
        <f>IF(D77&gt;$B$2,1,0)</f>
        <v/>
      </c>
      <c r="J77">
        <f>IF(E77&lt;$F$2,1,0)</f>
        <v/>
      </c>
      <c r="K77">
        <f>IF(OR(F77&lt;$H$2,G77&lt;$H$2),1,0)</f>
        <v/>
      </c>
      <c r="L77">
        <f>IF(SUM(H77:K77)&gt;0,"Exclude","Keep")</f>
        <v/>
      </c>
      <c r="M77">
        <f>IF(H77=1,"Pre-study accuracy",IF(I77=1,"Post-study accuracy",IF(J77=1,"Eye tracking quality",IF(K77=1,"Face quality",""))))</f>
        <v/>
      </c>
      <c r="N77">
        <f>MAX(C77:D77)</f>
        <v/>
      </c>
      <c r="O77">
        <f>IF(AND(L77="Keep",N77&lt;=$D$2),"Keep","Exclude")</f>
        <v/>
      </c>
      <c r="P77">
        <f>D77-C77</f>
        <v/>
      </c>
    </row>
    <row r="78">
      <c r="A78" t="inlineStr">
        <is>
          <t>RESP0098</t>
        </is>
      </c>
      <c r="B78">
        <f>INDEX(Session!$M$2:$M$261,MATCH($A78,Session!$A$2:$A$261,0))</f>
        <v/>
      </c>
      <c r="C78">
        <f>SUMIFS(Quality!$E$2:$E$1247,Quality!$A$2:$A$1247,$A78,Quality!$D$2:$D$1247,"Pre-study calibration")</f>
        <v/>
      </c>
      <c r="D78">
        <f>SUMIFS(Quality!$E$2:$E$1247,Quality!$A$2:$A$1247,$A78,Quality!$D$2:$D$1247,"Post-study calibration")</f>
        <v/>
      </c>
      <c r="E78">
        <f>SUMIFS(Quality!$F$2:$F$1247,Quality!$A$2:$A$1247,$A78,Quality!$D$2:$D$1247,"infographic")</f>
        <v/>
      </c>
      <c r="F78">
        <f>SUMIFS(Quality!$G$2:$G$1247,Quality!$A$2:$A$1247,$A78,Quality!$D$2:$D$1247,"foodwaste_narrative")</f>
        <v/>
      </c>
      <c r="G78">
        <f>SUMIFS(Quality!$G$2:$G$1247,Quality!$A$2:$A$1247,$A78,Quality!$D$2:$D$1247,"foodwaste_visual")</f>
        <v/>
      </c>
      <c r="H78">
        <f>IF(C78&gt;$B$2,1,0)</f>
        <v/>
      </c>
      <c r="I78">
        <f>IF(D78&gt;$B$2,1,0)</f>
        <v/>
      </c>
      <c r="J78">
        <f>IF(E78&lt;$F$2,1,0)</f>
        <v/>
      </c>
      <c r="K78">
        <f>IF(OR(F78&lt;$H$2,G78&lt;$H$2),1,0)</f>
        <v/>
      </c>
      <c r="L78">
        <f>IF(SUM(H78:K78)&gt;0,"Exclude","Keep")</f>
        <v/>
      </c>
      <c r="M78">
        <f>IF(H78=1,"Pre-study accuracy",IF(I78=1,"Post-study accuracy",IF(J78=1,"Eye tracking quality",IF(K78=1,"Face quality",""))))</f>
        <v/>
      </c>
      <c r="N78">
        <f>MAX(C78:D78)</f>
        <v/>
      </c>
      <c r="O78">
        <f>IF(AND(L78="Keep",N78&lt;=$D$2),"Keep","Exclude")</f>
        <v/>
      </c>
      <c r="P78">
        <f>D78-C78</f>
        <v/>
      </c>
    </row>
    <row r="79">
      <c r="A79" t="inlineStr">
        <is>
          <t>RESP0099</t>
        </is>
      </c>
      <c r="B79">
        <f>INDEX(Session!$M$2:$M$261,MATCH($A79,Session!$A$2:$A$261,0))</f>
        <v/>
      </c>
      <c r="C79">
        <f>SUMIFS(Quality!$E$2:$E$1247,Quality!$A$2:$A$1247,$A79,Quality!$D$2:$D$1247,"Pre-study calibration")</f>
        <v/>
      </c>
      <c r="D79">
        <f>SUMIFS(Quality!$E$2:$E$1247,Quality!$A$2:$A$1247,$A79,Quality!$D$2:$D$1247,"Post-study calibration")</f>
        <v/>
      </c>
      <c r="E79">
        <f>SUMIFS(Quality!$F$2:$F$1247,Quality!$A$2:$A$1247,$A79,Quality!$D$2:$D$1247,"infographic")</f>
        <v/>
      </c>
      <c r="F79">
        <f>SUMIFS(Quality!$G$2:$G$1247,Quality!$A$2:$A$1247,$A79,Quality!$D$2:$D$1247,"foodwaste_narrative")</f>
        <v/>
      </c>
      <c r="G79">
        <f>SUMIFS(Quality!$G$2:$G$1247,Quality!$A$2:$A$1247,$A79,Quality!$D$2:$D$1247,"foodwaste_visual")</f>
        <v/>
      </c>
      <c r="H79">
        <f>IF(C79&gt;$B$2,1,0)</f>
        <v/>
      </c>
      <c r="I79">
        <f>IF(D79&gt;$B$2,1,0)</f>
        <v/>
      </c>
      <c r="J79">
        <f>IF(E79&lt;$F$2,1,0)</f>
        <v/>
      </c>
      <c r="K79">
        <f>IF(OR(F79&lt;$H$2,G79&lt;$H$2),1,0)</f>
        <v/>
      </c>
      <c r="L79">
        <f>IF(SUM(H79:K79)&gt;0,"Exclude","Keep")</f>
        <v/>
      </c>
      <c r="M79">
        <f>IF(H79=1,"Pre-study accuracy",IF(I79=1,"Post-study accuracy",IF(J79=1,"Eye tracking quality",IF(K79=1,"Face quality",""))))</f>
        <v/>
      </c>
      <c r="N79">
        <f>MAX(C79:D79)</f>
        <v/>
      </c>
      <c r="O79">
        <f>IF(AND(L79="Keep",N79&lt;=$D$2),"Keep","Exclude")</f>
        <v/>
      </c>
      <c r="P79">
        <f>D79-C79</f>
        <v/>
      </c>
    </row>
    <row r="80">
      <c r="A80" t="inlineStr">
        <is>
          <t>RESP0102</t>
        </is>
      </c>
      <c r="B80">
        <f>INDEX(Session!$M$2:$M$261,MATCH($A80,Session!$A$2:$A$261,0))</f>
        <v/>
      </c>
      <c r="C80">
        <f>SUMIFS(Quality!$E$2:$E$1247,Quality!$A$2:$A$1247,$A80,Quality!$D$2:$D$1247,"Pre-study calibration")</f>
        <v/>
      </c>
      <c r="D80">
        <f>SUMIFS(Quality!$E$2:$E$1247,Quality!$A$2:$A$1247,$A80,Quality!$D$2:$D$1247,"Post-study calibration")</f>
        <v/>
      </c>
      <c r="E80">
        <f>SUMIFS(Quality!$F$2:$F$1247,Quality!$A$2:$A$1247,$A80,Quality!$D$2:$D$1247,"infographic")</f>
        <v/>
      </c>
      <c r="F80">
        <f>SUMIFS(Quality!$G$2:$G$1247,Quality!$A$2:$A$1247,$A80,Quality!$D$2:$D$1247,"foodwaste_narrative")</f>
        <v/>
      </c>
      <c r="G80">
        <f>SUMIFS(Quality!$G$2:$G$1247,Quality!$A$2:$A$1247,$A80,Quality!$D$2:$D$1247,"foodwaste_visual")</f>
        <v/>
      </c>
      <c r="H80">
        <f>IF(C80&gt;$B$2,1,0)</f>
        <v/>
      </c>
      <c r="I80">
        <f>IF(D80&gt;$B$2,1,0)</f>
        <v/>
      </c>
      <c r="J80">
        <f>IF(E80&lt;$F$2,1,0)</f>
        <v/>
      </c>
      <c r="K80">
        <f>IF(OR(F80&lt;$H$2,G80&lt;$H$2),1,0)</f>
        <v/>
      </c>
      <c r="L80">
        <f>IF(SUM(H80:K80)&gt;0,"Exclude","Keep")</f>
        <v/>
      </c>
      <c r="M80">
        <f>IF(H80=1,"Pre-study accuracy",IF(I80=1,"Post-study accuracy",IF(J80=1,"Eye tracking quality",IF(K80=1,"Face quality",""))))</f>
        <v/>
      </c>
      <c r="N80">
        <f>MAX(C80:D80)</f>
        <v/>
      </c>
      <c r="O80">
        <f>IF(AND(L80="Keep",N80&lt;=$D$2),"Keep","Exclude")</f>
        <v/>
      </c>
      <c r="P80">
        <f>D80-C80</f>
        <v/>
      </c>
    </row>
    <row r="81">
      <c r="A81" t="inlineStr">
        <is>
          <t>RESP0108</t>
        </is>
      </c>
      <c r="B81">
        <f>INDEX(Session!$M$2:$M$261,MATCH($A81,Session!$A$2:$A$261,0))</f>
        <v/>
      </c>
      <c r="C81">
        <f>SUMIFS(Quality!$E$2:$E$1247,Quality!$A$2:$A$1247,$A81,Quality!$D$2:$D$1247,"Pre-study calibration")</f>
        <v/>
      </c>
      <c r="D81">
        <f>SUMIFS(Quality!$E$2:$E$1247,Quality!$A$2:$A$1247,$A81,Quality!$D$2:$D$1247,"Post-study calibration")</f>
        <v/>
      </c>
      <c r="E81">
        <f>SUMIFS(Quality!$F$2:$F$1247,Quality!$A$2:$A$1247,$A81,Quality!$D$2:$D$1247,"infographic")</f>
        <v/>
      </c>
      <c r="F81">
        <f>SUMIFS(Quality!$G$2:$G$1247,Quality!$A$2:$A$1247,$A81,Quality!$D$2:$D$1247,"foodwaste_narrative")</f>
        <v/>
      </c>
      <c r="G81">
        <f>SUMIFS(Quality!$G$2:$G$1247,Quality!$A$2:$A$1247,$A81,Quality!$D$2:$D$1247,"foodwaste_visual")</f>
        <v/>
      </c>
      <c r="H81">
        <f>IF(C81&gt;$B$2,1,0)</f>
        <v/>
      </c>
      <c r="I81">
        <f>IF(D81&gt;$B$2,1,0)</f>
        <v/>
      </c>
      <c r="J81">
        <f>IF(E81&lt;$F$2,1,0)</f>
        <v/>
      </c>
      <c r="K81">
        <f>IF(OR(F81&lt;$H$2,G81&lt;$H$2),1,0)</f>
        <v/>
      </c>
      <c r="L81">
        <f>IF(SUM(H81:K81)&gt;0,"Exclude","Keep")</f>
        <v/>
      </c>
      <c r="M81">
        <f>IF(H81=1,"Pre-study accuracy",IF(I81=1,"Post-study accuracy",IF(J81=1,"Eye tracking quality",IF(K81=1,"Face quality",""))))</f>
        <v/>
      </c>
      <c r="N81">
        <f>MAX(C81:D81)</f>
        <v/>
      </c>
      <c r="O81">
        <f>IF(AND(L81="Keep",N81&lt;=$D$2),"Keep","Exclude")</f>
        <v/>
      </c>
      <c r="P81">
        <f>D81-C81</f>
        <v/>
      </c>
    </row>
    <row r="82">
      <c r="A82" t="inlineStr">
        <is>
          <t>RESP0109</t>
        </is>
      </c>
      <c r="B82">
        <f>INDEX(Session!$M$2:$M$261,MATCH($A82,Session!$A$2:$A$261,0))</f>
        <v/>
      </c>
      <c r="C82">
        <f>SUMIFS(Quality!$E$2:$E$1247,Quality!$A$2:$A$1247,$A82,Quality!$D$2:$D$1247,"Pre-study calibration")</f>
        <v/>
      </c>
      <c r="D82">
        <f>SUMIFS(Quality!$E$2:$E$1247,Quality!$A$2:$A$1247,$A82,Quality!$D$2:$D$1247,"Post-study calibration")</f>
        <v/>
      </c>
      <c r="E82">
        <f>SUMIFS(Quality!$F$2:$F$1247,Quality!$A$2:$A$1247,$A82,Quality!$D$2:$D$1247,"infographic")</f>
        <v/>
      </c>
      <c r="F82">
        <f>SUMIFS(Quality!$G$2:$G$1247,Quality!$A$2:$A$1247,$A82,Quality!$D$2:$D$1247,"foodwaste_narrative")</f>
        <v/>
      </c>
      <c r="G82">
        <f>SUMIFS(Quality!$G$2:$G$1247,Quality!$A$2:$A$1247,$A82,Quality!$D$2:$D$1247,"foodwaste_visual")</f>
        <v/>
      </c>
      <c r="H82">
        <f>IF(C82&gt;$B$2,1,0)</f>
        <v/>
      </c>
      <c r="I82">
        <f>IF(D82&gt;$B$2,1,0)</f>
        <v/>
      </c>
      <c r="J82">
        <f>IF(E82&lt;$F$2,1,0)</f>
        <v/>
      </c>
      <c r="K82">
        <f>IF(OR(F82&lt;$H$2,G82&lt;$H$2),1,0)</f>
        <v/>
      </c>
      <c r="L82">
        <f>IF(SUM(H82:K82)&gt;0,"Exclude","Keep")</f>
        <v/>
      </c>
      <c r="M82">
        <f>IF(H82=1,"Pre-study accuracy",IF(I82=1,"Post-study accuracy",IF(J82=1,"Eye tracking quality",IF(K82=1,"Face quality",""))))</f>
        <v/>
      </c>
      <c r="N82">
        <f>MAX(C82:D82)</f>
        <v/>
      </c>
      <c r="O82">
        <f>IF(AND(L82="Keep",N82&lt;=$D$2),"Keep","Exclude")</f>
        <v/>
      </c>
      <c r="P82">
        <f>D82-C82</f>
        <v/>
      </c>
    </row>
    <row r="83">
      <c r="A83" t="inlineStr">
        <is>
          <t>RESP0111</t>
        </is>
      </c>
      <c r="B83">
        <f>INDEX(Session!$M$2:$M$261,MATCH($A83,Session!$A$2:$A$261,0))</f>
        <v/>
      </c>
      <c r="C83">
        <f>SUMIFS(Quality!$E$2:$E$1247,Quality!$A$2:$A$1247,$A83,Quality!$D$2:$D$1247,"Pre-study calibration")</f>
        <v/>
      </c>
      <c r="D83">
        <f>SUMIFS(Quality!$E$2:$E$1247,Quality!$A$2:$A$1247,$A83,Quality!$D$2:$D$1247,"Post-study calibration")</f>
        <v/>
      </c>
      <c r="E83">
        <f>SUMIFS(Quality!$F$2:$F$1247,Quality!$A$2:$A$1247,$A83,Quality!$D$2:$D$1247,"infographic")</f>
        <v/>
      </c>
      <c r="F83">
        <f>SUMIFS(Quality!$G$2:$G$1247,Quality!$A$2:$A$1247,$A83,Quality!$D$2:$D$1247,"foodwaste_narrative")</f>
        <v/>
      </c>
      <c r="G83">
        <f>SUMIFS(Quality!$G$2:$G$1247,Quality!$A$2:$A$1247,$A83,Quality!$D$2:$D$1247,"foodwaste_visual")</f>
        <v/>
      </c>
      <c r="H83">
        <f>IF(C83&gt;$B$2,1,0)</f>
        <v/>
      </c>
      <c r="I83">
        <f>IF(D83&gt;$B$2,1,0)</f>
        <v/>
      </c>
      <c r="J83">
        <f>IF(E83&lt;$F$2,1,0)</f>
        <v/>
      </c>
      <c r="K83">
        <f>IF(OR(F83&lt;$H$2,G83&lt;$H$2),1,0)</f>
        <v/>
      </c>
      <c r="L83">
        <f>IF(SUM(H83:K83)&gt;0,"Exclude","Keep")</f>
        <v/>
      </c>
      <c r="M83">
        <f>IF(H83=1,"Pre-study accuracy",IF(I83=1,"Post-study accuracy",IF(J83=1,"Eye tracking quality",IF(K83=1,"Face quality",""))))</f>
        <v/>
      </c>
      <c r="N83">
        <f>MAX(C83:D83)</f>
        <v/>
      </c>
      <c r="O83">
        <f>IF(AND(L83="Keep",N83&lt;=$D$2),"Keep","Exclude")</f>
        <v/>
      </c>
      <c r="P83">
        <f>D83-C83</f>
        <v/>
      </c>
    </row>
    <row r="84">
      <c r="A84" t="inlineStr">
        <is>
          <t>RESP0112</t>
        </is>
      </c>
      <c r="B84">
        <f>INDEX(Session!$M$2:$M$261,MATCH($A84,Session!$A$2:$A$261,0))</f>
        <v/>
      </c>
      <c r="C84">
        <f>SUMIFS(Quality!$E$2:$E$1247,Quality!$A$2:$A$1247,$A84,Quality!$D$2:$D$1247,"Pre-study calibration")</f>
        <v/>
      </c>
      <c r="D84">
        <f>SUMIFS(Quality!$E$2:$E$1247,Quality!$A$2:$A$1247,$A84,Quality!$D$2:$D$1247,"Post-study calibration")</f>
        <v/>
      </c>
      <c r="E84">
        <f>SUMIFS(Quality!$F$2:$F$1247,Quality!$A$2:$A$1247,$A84,Quality!$D$2:$D$1247,"infographic")</f>
        <v/>
      </c>
      <c r="F84">
        <f>SUMIFS(Quality!$G$2:$G$1247,Quality!$A$2:$A$1247,$A84,Quality!$D$2:$D$1247,"foodwaste_narrative")</f>
        <v/>
      </c>
      <c r="G84">
        <f>SUMIFS(Quality!$G$2:$G$1247,Quality!$A$2:$A$1247,$A84,Quality!$D$2:$D$1247,"foodwaste_visual")</f>
        <v/>
      </c>
      <c r="H84">
        <f>IF(C84&gt;$B$2,1,0)</f>
        <v/>
      </c>
      <c r="I84">
        <f>IF(D84&gt;$B$2,1,0)</f>
        <v/>
      </c>
      <c r="J84">
        <f>IF(E84&lt;$F$2,1,0)</f>
        <v/>
      </c>
      <c r="K84">
        <f>IF(OR(F84&lt;$H$2,G84&lt;$H$2),1,0)</f>
        <v/>
      </c>
      <c r="L84">
        <f>IF(SUM(H84:K84)&gt;0,"Exclude","Keep")</f>
        <v/>
      </c>
      <c r="M84">
        <f>IF(H84=1,"Pre-study accuracy",IF(I84=1,"Post-study accuracy",IF(J84=1,"Eye tracking quality",IF(K84=1,"Face quality",""))))</f>
        <v/>
      </c>
      <c r="N84">
        <f>MAX(C84:D84)</f>
        <v/>
      </c>
      <c r="O84">
        <f>IF(AND(L84="Keep",N84&lt;=$D$2),"Keep","Exclude")</f>
        <v/>
      </c>
      <c r="P84">
        <f>D84-C84</f>
        <v/>
      </c>
    </row>
    <row r="85">
      <c r="A85" t="inlineStr">
        <is>
          <t>RESP0113</t>
        </is>
      </c>
      <c r="B85">
        <f>INDEX(Session!$M$2:$M$261,MATCH($A85,Session!$A$2:$A$261,0))</f>
        <v/>
      </c>
      <c r="C85">
        <f>SUMIFS(Quality!$E$2:$E$1247,Quality!$A$2:$A$1247,$A85,Quality!$D$2:$D$1247,"Pre-study calibration")</f>
        <v/>
      </c>
      <c r="D85">
        <f>SUMIFS(Quality!$E$2:$E$1247,Quality!$A$2:$A$1247,$A85,Quality!$D$2:$D$1247,"Post-study calibration")</f>
        <v/>
      </c>
      <c r="E85">
        <f>SUMIFS(Quality!$F$2:$F$1247,Quality!$A$2:$A$1247,$A85,Quality!$D$2:$D$1247,"infographic")</f>
        <v/>
      </c>
      <c r="F85">
        <f>SUMIFS(Quality!$G$2:$G$1247,Quality!$A$2:$A$1247,$A85,Quality!$D$2:$D$1247,"foodwaste_narrative")</f>
        <v/>
      </c>
      <c r="G85">
        <f>SUMIFS(Quality!$G$2:$G$1247,Quality!$A$2:$A$1247,$A85,Quality!$D$2:$D$1247,"foodwaste_visual")</f>
        <v/>
      </c>
      <c r="H85">
        <f>IF(C85&gt;$B$2,1,0)</f>
        <v/>
      </c>
      <c r="I85">
        <f>IF(D85&gt;$B$2,1,0)</f>
        <v/>
      </c>
      <c r="J85">
        <f>IF(E85&lt;$F$2,1,0)</f>
        <v/>
      </c>
      <c r="K85">
        <f>IF(OR(F85&lt;$H$2,G85&lt;$H$2),1,0)</f>
        <v/>
      </c>
      <c r="L85">
        <f>IF(SUM(H85:K85)&gt;0,"Exclude","Keep")</f>
        <v/>
      </c>
      <c r="M85">
        <f>IF(H85=1,"Pre-study accuracy",IF(I85=1,"Post-study accuracy",IF(J85=1,"Eye tracking quality",IF(K85=1,"Face quality",""))))</f>
        <v/>
      </c>
      <c r="N85">
        <f>MAX(C85:D85)</f>
        <v/>
      </c>
      <c r="O85">
        <f>IF(AND(L85="Keep",N85&lt;=$D$2),"Keep","Exclude")</f>
        <v/>
      </c>
      <c r="P85">
        <f>D85-C85</f>
        <v/>
      </c>
    </row>
    <row r="86">
      <c r="A86" t="inlineStr">
        <is>
          <t>RESP0114</t>
        </is>
      </c>
      <c r="B86">
        <f>INDEX(Session!$M$2:$M$261,MATCH($A86,Session!$A$2:$A$261,0))</f>
        <v/>
      </c>
      <c r="C86">
        <f>SUMIFS(Quality!$E$2:$E$1247,Quality!$A$2:$A$1247,$A86,Quality!$D$2:$D$1247,"Pre-study calibration")</f>
        <v/>
      </c>
      <c r="D86">
        <f>SUMIFS(Quality!$E$2:$E$1247,Quality!$A$2:$A$1247,$A86,Quality!$D$2:$D$1247,"Post-study calibration")</f>
        <v/>
      </c>
      <c r="E86">
        <f>SUMIFS(Quality!$F$2:$F$1247,Quality!$A$2:$A$1247,$A86,Quality!$D$2:$D$1247,"infographic")</f>
        <v/>
      </c>
      <c r="F86">
        <f>SUMIFS(Quality!$G$2:$G$1247,Quality!$A$2:$A$1247,$A86,Quality!$D$2:$D$1247,"foodwaste_narrative")</f>
        <v/>
      </c>
      <c r="G86">
        <f>SUMIFS(Quality!$G$2:$G$1247,Quality!$A$2:$A$1247,$A86,Quality!$D$2:$D$1247,"foodwaste_visual")</f>
        <v/>
      </c>
      <c r="H86">
        <f>IF(C86&gt;$B$2,1,0)</f>
        <v/>
      </c>
      <c r="I86">
        <f>IF(D86&gt;$B$2,1,0)</f>
        <v/>
      </c>
      <c r="J86">
        <f>IF(E86&lt;$F$2,1,0)</f>
        <v/>
      </c>
      <c r="K86">
        <f>IF(OR(F86&lt;$H$2,G86&lt;$H$2),1,0)</f>
        <v/>
      </c>
      <c r="L86">
        <f>IF(SUM(H86:K86)&gt;0,"Exclude","Keep")</f>
        <v/>
      </c>
      <c r="M86">
        <f>IF(H86=1,"Pre-study accuracy",IF(I86=1,"Post-study accuracy",IF(J86=1,"Eye tracking quality",IF(K86=1,"Face quality",""))))</f>
        <v/>
      </c>
      <c r="N86">
        <f>MAX(C86:D86)</f>
        <v/>
      </c>
      <c r="O86">
        <f>IF(AND(L86="Keep",N86&lt;=$D$2),"Keep","Exclude")</f>
        <v/>
      </c>
      <c r="P86">
        <f>D86-C86</f>
        <v/>
      </c>
    </row>
    <row r="87">
      <c r="A87" t="inlineStr">
        <is>
          <t>RESP0115</t>
        </is>
      </c>
      <c r="B87">
        <f>INDEX(Session!$M$2:$M$261,MATCH($A87,Session!$A$2:$A$261,0))</f>
        <v/>
      </c>
      <c r="C87">
        <f>SUMIFS(Quality!$E$2:$E$1247,Quality!$A$2:$A$1247,$A87,Quality!$D$2:$D$1247,"Pre-study calibration")</f>
        <v/>
      </c>
      <c r="D87">
        <f>SUMIFS(Quality!$E$2:$E$1247,Quality!$A$2:$A$1247,$A87,Quality!$D$2:$D$1247,"Post-study calibration")</f>
        <v/>
      </c>
      <c r="E87">
        <f>SUMIFS(Quality!$F$2:$F$1247,Quality!$A$2:$A$1247,$A87,Quality!$D$2:$D$1247,"infographic")</f>
        <v/>
      </c>
      <c r="F87">
        <f>SUMIFS(Quality!$G$2:$G$1247,Quality!$A$2:$A$1247,$A87,Quality!$D$2:$D$1247,"foodwaste_narrative")</f>
        <v/>
      </c>
      <c r="G87">
        <f>SUMIFS(Quality!$G$2:$G$1247,Quality!$A$2:$A$1247,$A87,Quality!$D$2:$D$1247,"foodwaste_visual")</f>
        <v/>
      </c>
      <c r="H87">
        <f>IF(C87&gt;$B$2,1,0)</f>
        <v/>
      </c>
      <c r="I87">
        <f>IF(D87&gt;$B$2,1,0)</f>
        <v/>
      </c>
      <c r="J87">
        <f>IF(E87&lt;$F$2,1,0)</f>
        <v/>
      </c>
      <c r="K87">
        <f>IF(OR(F87&lt;$H$2,G87&lt;$H$2),1,0)</f>
        <v/>
      </c>
      <c r="L87">
        <f>IF(SUM(H87:K87)&gt;0,"Exclude","Keep")</f>
        <v/>
      </c>
      <c r="M87">
        <f>IF(H87=1,"Pre-study accuracy",IF(I87=1,"Post-study accuracy",IF(J87=1,"Eye tracking quality",IF(K87=1,"Face quality",""))))</f>
        <v/>
      </c>
      <c r="N87">
        <f>MAX(C87:D87)</f>
        <v/>
      </c>
      <c r="O87">
        <f>IF(AND(L87="Keep",N87&lt;=$D$2),"Keep","Exclude")</f>
        <v/>
      </c>
      <c r="P87">
        <f>D87-C87</f>
        <v/>
      </c>
    </row>
    <row r="88">
      <c r="A88" t="inlineStr">
        <is>
          <t>RESP0117</t>
        </is>
      </c>
      <c r="B88">
        <f>INDEX(Session!$M$2:$M$261,MATCH($A88,Session!$A$2:$A$261,0))</f>
        <v/>
      </c>
      <c r="C88">
        <f>SUMIFS(Quality!$E$2:$E$1247,Quality!$A$2:$A$1247,$A88,Quality!$D$2:$D$1247,"Pre-study calibration")</f>
        <v/>
      </c>
      <c r="D88">
        <f>SUMIFS(Quality!$E$2:$E$1247,Quality!$A$2:$A$1247,$A88,Quality!$D$2:$D$1247,"Post-study calibration")</f>
        <v/>
      </c>
      <c r="E88">
        <f>SUMIFS(Quality!$F$2:$F$1247,Quality!$A$2:$A$1247,$A88,Quality!$D$2:$D$1247,"infographic")</f>
        <v/>
      </c>
      <c r="F88">
        <f>SUMIFS(Quality!$G$2:$G$1247,Quality!$A$2:$A$1247,$A88,Quality!$D$2:$D$1247,"foodwaste_narrative")</f>
        <v/>
      </c>
      <c r="G88">
        <f>SUMIFS(Quality!$G$2:$G$1247,Quality!$A$2:$A$1247,$A88,Quality!$D$2:$D$1247,"foodwaste_visual")</f>
        <v/>
      </c>
      <c r="H88">
        <f>IF(C88&gt;$B$2,1,0)</f>
        <v/>
      </c>
      <c r="I88">
        <f>IF(D88&gt;$B$2,1,0)</f>
        <v/>
      </c>
      <c r="J88">
        <f>IF(E88&lt;$F$2,1,0)</f>
        <v/>
      </c>
      <c r="K88">
        <f>IF(OR(F88&lt;$H$2,G88&lt;$H$2),1,0)</f>
        <v/>
      </c>
      <c r="L88">
        <f>IF(SUM(H88:K88)&gt;0,"Exclude","Keep")</f>
        <v/>
      </c>
      <c r="M88">
        <f>IF(H88=1,"Pre-study accuracy",IF(I88=1,"Post-study accuracy",IF(J88=1,"Eye tracking quality",IF(K88=1,"Face quality",""))))</f>
        <v/>
      </c>
      <c r="N88">
        <f>MAX(C88:D88)</f>
        <v/>
      </c>
      <c r="O88">
        <f>IF(AND(L88="Keep",N88&lt;=$D$2),"Keep","Exclude")</f>
        <v/>
      </c>
      <c r="P88">
        <f>D88-C88</f>
        <v/>
      </c>
    </row>
    <row r="89">
      <c r="A89" t="inlineStr">
        <is>
          <t>RESP0118</t>
        </is>
      </c>
      <c r="B89">
        <f>INDEX(Session!$M$2:$M$261,MATCH($A89,Session!$A$2:$A$261,0))</f>
        <v/>
      </c>
      <c r="C89">
        <f>SUMIFS(Quality!$E$2:$E$1247,Quality!$A$2:$A$1247,$A89,Quality!$D$2:$D$1247,"Pre-study calibration")</f>
        <v/>
      </c>
      <c r="D89">
        <f>SUMIFS(Quality!$E$2:$E$1247,Quality!$A$2:$A$1247,$A89,Quality!$D$2:$D$1247,"Post-study calibration")</f>
        <v/>
      </c>
      <c r="E89">
        <f>SUMIFS(Quality!$F$2:$F$1247,Quality!$A$2:$A$1247,$A89,Quality!$D$2:$D$1247,"infographic")</f>
        <v/>
      </c>
      <c r="F89">
        <f>SUMIFS(Quality!$G$2:$G$1247,Quality!$A$2:$A$1247,$A89,Quality!$D$2:$D$1247,"foodwaste_narrative")</f>
        <v/>
      </c>
      <c r="G89">
        <f>SUMIFS(Quality!$G$2:$G$1247,Quality!$A$2:$A$1247,$A89,Quality!$D$2:$D$1247,"foodwaste_visual")</f>
        <v/>
      </c>
      <c r="H89">
        <f>IF(C89&gt;$B$2,1,0)</f>
        <v/>
      </c>
      <c r="I89">
        <f>IF(D89&gt;$B$2,1,0)</f>
        <v/>
      </c>
      <c r="J89">
        <f>IF(E89&lt;$F$2,1,0)</f>
        <v/>
      </c>
      <c r="K89">
        <f>IF(OR(F89&lt;$H$2,G89&lt;$H$2),1,0)</f>
        <v/>
      </c>
      <c r="L89">
        <f>IF(SUM(H89:K89)&gt;0,"Exclude","Keep")</f>
        <v/>
      </c>
      <c r="M89">
        <f>IF(H89=1,"Pre-study accuracy",IF(I89=1,"Post-study accuracy",IF(J89=1,"Eye tracking quality",IF(K89=1,"Face quality",""))))</f>
        <v/>
      </c>
      <c r="N89">
        <f>MAX(C89:D89)</f>
        <v/>
      </c>
      <c r="O89">
        <f>IF(AND(L89="Keep",N89&lt;=$D$2),"Keep","Exclude")</f>
        <v/>
      </c>
      <c r="P89">
        <f>D89-C89</f>
        <v/>
      </c>
    </row>
    <row r="90">
      <c r="A90" t="inlineStr">
        <is>
          <t>RESP0120</t>
        </is>
      </c>
      <c r="B90">
        <f>INDEX(Session!$M$2:$M$261,MATCH($A90,Session!$A$2:$A$261,0))</f>
        <v/>
      </c>
      <c r="C90">
        <f>SUMIFS(Quality!$E$2:$E$1247,Quality!$A$2:$A$1247,$A90,Quality!$D$2:$D$1247,"Pre-study calibration")</f>
        <v/>
      </c>
      <c r="D90">
        <f>SUMIFS(Quality!$E$2:$E$1247,Quality!$A$2:$A$1247,$A90,Quality!$D$2:$D$1247,"Post-study calibration")</f>
        <v/>
      </c>
      <c r="E90">
        <f>SUMIFS(Quality!$F$2:$F$1247,Quality!$A$2:$A$1247,$A90,Quality!$D$2:$D$1247,"infographic")</f>
        <v/>
      </c>
      <c r="F90">
        <f>SUMIFS(Quality!$G$2:$G$1247,Quality!$A$2:$A$1247,$A90,Quality!$D$2:$D$1247,"foodwaste_narrative")</f>
        <v/>
      </c>
      <c r="G90">
        <f>SUMIFS(Quality!$G$2:$G$1247,Quality!$A$2:$A$1247,$A90,Quality!$D$2:$D$1247,"foodwaste_visual")</f>
        <v/>
      </c>
      <c r="H90">
        <f>IF(C90&gt;$B$2,1,0)</f>
        <v/>
      </c>
      <c r="I90">
        <f>IF(D90&gt;$B$2,1,0)</f>
        <v/>
      </c>
      <c r="J90">
        <f>IF(E90&lt;$F$2,1,0)</f>
        <v/>
      </c>
      <c r="K90">
        <f>IF(OR(F90&lt;$H$2,G90&lt;$H$2),1,0)</f>
        <v/>
      </c>
      <c r="L90">
        <f>IF(SUM(H90:K90)&gt;0,"Exclude","Keep")</f>
        <v/>
      </c>
      <c r="M90">
        <f>IF(H90=1,"Pre-study accuracy",IF(I90=1,"Post-study accuracy",IF(J90=1,"Eye tracking quality",IF(K90=1,"Face quality",""))))</f>
        <v/>
      </c>
      <c r="N90">
        <f>MAX(C90:D90)</f>
        <v/>
      </c>
      <c r="O90">
        <f>IF(AND(L90="Keep",N90&lt;=$D$2),"Keep","Exclude")</f>
        <v/>
      </c>
      <c r="P90">
        <f>D90-C90</f>
        <v/>
      </c>
    </row>
    <row r="91">
      <c r="A91" t="inlineStr">
        <is>
          <t>RESP0122</t>
        </is>
      </c>
      <c r="B91">
        <f>INDEX(Session!$M$2:$M$261,MATCH($A91,Session!$A$2:$A$261,0))</f>
        <v/>
      </c>
      <c r="C91">
        <f>SUMIFS(Quality!$E$2:$E$1247,Quality!$A$2:$A$1247,$A91,Quality!$D$2:$D$1247,"Pre-study calibration")</f>
        <v/>
      </c>
      <c r="D91">
        <f>SUMIFS(Quality!$E$2:$E$1247,Quality!$A$2:$A$1247,$A91,Quality!$D$2:$D$1247,"Post-study calibration")</f>
        <v/>
      </c>
      <c r="E91">
        <f>SUMIFS(Quality!$F$2:$F$1247,Quality!$A$2:$A$1247,$A91,Quality!$D$2:$D$1247,"infographic")</f>
        <v/>
      </c>
      <c r="F91">
        <f>SUMIFS(Quality!$G$2:$G$1247,Quality!$A$2:$A$1247,$A91,Quality!$D$2:$D$1247,"foodwaste_narrative")</f>
        <v/>
      </c>
      <c r="G91">
        <f>SUMIFS(Quality!$G$2:$G$1247,Quality!$A$2:$A$1247,$A91,Quality!$D$2:$D$1247,"foodwaste_visual")</f>
        <v/>
      </c>
      <c r="H91">
        <f>IF(C91&gt;$B$2,1,0)</f>
        <v/>
      </c>
      <c r="I91">
        <f>IF(D91&gt;$B$2,1,0)</f>
        <v/>
      </c>
      <c r="J91">
        <f>IF(E91&lt;$F$2,1,0)</f>
        <v/>
      </c>
      <c r="K91">
        <f>IF(OR(F91&lt;$H$2,G91&lt;$H$2),1,0)</f>
        <v/>
      </c>
      <c r="L91">
        <f>IF(SUM(H91:K91)&gt;0,"Exclude","Keep")</f>
        <v/>
      </c>
      <c r="M91">
        <f>IF(H91=1,"Pre-study accuracy",IF(I91=1,"Post-study accuracy",IF(J91=1,"Eye tracking quality",IF(K91=1,"Face quality",""))))</f>
        <v/>
      </c>
      <c r="N91">
        <f>MAX(C91:D91)</f>
        <v/>
      </c>
      <c r="O91">
        <f>IF(AND(L91="Keep",N91&lt;=$D$2),"Keep","Exclude")</f>
        <v/>
      </c>
      <c r="P91">
        <f>D91-C91</f>
        <v/>
      </c>
    </row>
    <row r="92">
      <c r="A92" t="inlineStr">
        <is>
          <t>RESP0123</t>
        </is>
      </c>
      <c r="B92">
        <f>INDEX(Session!$M$2:$M$261,MATCH($A92,Session!$A$2:$A$261,0))</f>
        <v/>
      </c>
      <c r="C92">
        <f>SUMIFS(Quality!$E$2:$E$1247,Quality!$A$2:$A$1247,$A92,Quality!$D$2:$D$1247,"Pre-study calibration")</f>
        <v/>
      </c>
      <c r="D92">
        <f>SUMIFS(Quality!$E$2:$E$1247,Quality!$A$2:$A$1247,$A92,Quality!$D$2:$D$1247,"Post-study calibration")</f>
        <v/>
      </c>
      <c r="E92">
        <f>SUMIFS(Quality!$F$2:$F$1247,Quality!$A$2:$A$1247,$A92,Quality!$D$2:$D$1247,"infographic")</f>
        <v/>
      </c>
      <c r="F92">
        <f>SUMIFS(Quality!$G$2:$G$1247,Quality!$A$2:$A$1247,$A92,Quality!$D$2:$D$1247,"foodwaste_narrative")</f>
        <v/>
      </c>
      <c r="G92">
        <f>SUMIFS(Quality!$G$2:$G$1247,Quality!$A$2:$A$1247,$A92,Quality!$D$2:$D$1247,"foodwaste_visual")</f>
        <v/>
      </c>
      <c r="H92">
        <f>IF(C92&gt;$B$2,1,0)</f>
        <v/>
      </c>
      <c r="I92">
        <f>IF(D92&gt;$B$2,1,0)</f>
        <v/>
      </c>
      <c r="J92">
        <f>IF(E92&lt;$F$2,1,0)</f>
        <v/>
      </c>
      <c r="K92">
        <f>IF(OR(F92&lt;$H$2,G92&lt;$H$2),1,0)</f>
        <v/>
      </c>
      <c r="L92">
        <f>IF(SUM(H92:K92)&gt;0,"Exclude","Keep")</f>
        <v/>
      </c>
      <c r="M92">
        <f>IF(H92=1,"Pre-study accuracy",IF(I92=1,"Post-study accuracy",IF(J92=1,"Eye tracking quality",IF(K92=1,"Face quality",""))))</f>
        <v/>
      </c>
      <c r="N92">
        <f>MAX(C92:D92)</f>
        <v/>
      </c>
      <c r="O92">
        <f>IF(AND(L92="Keep",N92&lt;=$D$2),"Keep","Exclude")</f>
        <v/>
      </c>
      <c r="P92">
        <f>D92-C92</f>
        <v/>
      </c>
    </row>
    <row r="93">
      <c r="A93" t="inlineStr">
        <is>
          <t>RESP0124</t>
        </is>
      </c>
      <c r="B93">
        <f>INDEX(Session!$M$2:$M$261,MATCH($A93,Session!$A$2:$A$261,0))</f>
        <v/>
      </c>
      <c r="C93">
        <f>SUMIFS(Quality!$E$2:$E$1247,Quality!$A$2:$A$1247,$A93,Quality!$D$2:$D$1247,"Pre-study calibration")</f>
        <v/>
      </c>
      <c r="D93">
        <f>SUMIFS(Quality!$E$2:$E$1247,Quality!$A$2:$A$1247,$A93,Quality!$D$2:$D$1247,"Post-study calibration")</f>
        <v/>
      </c>
      <c r="E93">
        <f>SUMIFS(Quality!$F$2:$F$1247,Quality!$A$2:$A$1247,$A93,Quality!$D$2:$D$1247,"infographic")</f>
        <v/>
      </c>
      <c r="F93">
        <f>SUMIFS(Quality!$G$2:$G$1247,Quality!$A$2:$A$1247,$A93,Quality!$D$2:$D$1247,"foodwaste_narrative")</f>
        <v/>
      </c>
      <c r="G93">
        <f>SUMIFS(Quality!$G$2:$G$1247,Quality!$A$2:$A$1247,$A93,Quality!$D$2:$D$1247,"foodwaste_visual")</f>
        <v/>
      </c>
      <c r="H93">
        <f>IF(C93&gt;$B$2,1,0)</f>
        <v/>
      </c>
      <c r="I93">
        <f>IF(D93&gt;$B$2,1,0)</f>
        <v/>
      </c>
      <c r="J93">
        <f>IF(E93&lt;$F$2,1,0)</f>
        <v/>
      </c>
      <c r="K93">
        <f>IF(OR(F93&lt;$H$2,G93&lt;$H$2),1,0)</f>
        <v/>
      </c>
      <c r="L93">
        <f>IF(SUM(H93:K93)&gt;0,"Exclude","Keep")</f>
        <v/>
      </c>
      <c r="M93">
        <f>IF(H93=1,"Pre-study accuracy",IF(I93=1,"Post-study accuracy",IF(J93=1,"Eye tracking quality",IF(K93=1,"Face quality",""))))</f>
        <v/>
      </c>
      <c r="N93">
        <f>MAX(C93:D93)</f>
        <v/>
      </c>
      <c r="O93">
        <f>IF(AND(L93="Keep",N93&lt;=$D$2),"Keep","Exclude")</f>
        <v/>
      </c>
      <c r="P93">
        <f>D93-C93</f>
        <v/>
      </c>
    </row>
    <row r="94">
      <c r="A94" t="inlineStr">
        <is>
          <t>RESP0125</t>
        </is>
      </c>
      <c r="B94">
        <f>INDEX(Session!$M$2:$M$261,MATCH($A94,Session!$A$2:$A$261,0))</f>
        <v/>
      </c>
      <c r="C94">
        <f>SUMIFS(Quality!$E$2:$E$1247,Quality!$A$2:$A$1247,$A94,Quality!$D$2:$D$1247,"Pre-study calibration")</f>
        <v/>
      </c>
      <c r="D94">
        <f>SUMIFS(Quality!$E$2:$E$1247,Quality!$A$2:$A$1247,$A94,Quality!$D$2:$D$1247,"Post-study calibration")</f>
        <v/>
      </c>
      <c r="E94">
        <f>SUMIFS(Quality!$F$2:$F$1247,Quality!$A$2:$A$1247,$A94,Quality!$D$2:$D$1247,"infographic")</f>
        <v/>
      </c>
      <c r="F94">
        <f>SUMIFS(Quality!$G$2:$G$1247,Quality!$A$2:$A$1247,$A94,Quality!$D$2:$D$1247,"foodwaste_narrative")</f>
        <v/>
      </c>
      <c r="G94">
        <f>SUMIFS(Quality!$G$2:$G$1247,Quality!$A$2:$A$1247,$A94,Quality!$D$2:$D$1247,"foodwaste_visual")</f>
        <v/>
      </c>
      <c r="H94">
        <f>IF(C94&gt;$B$2,1,0)</f>
        <v/>
      </c>
      <c r="I94">
        <f>IF(D94&gt;$B$2,1,0)</f>
        <v/>
      </c>
      <c r="J94">
        <f>IF(E94&lt;$F$2,1,0)</f>
        <v/>
      </c>
      <c r="K94">
        <f>IF(OR(F94&lt;$H$2,G94&lt;$H$2),1,0)</f>
        <v/>
      </c>
      <c r="L94">
        <f>IF(SUM(H94:K94)&gt;0,"Exclude","Keep")</f>
        <v/>
      </c>
      <c r="M94">
        <f>IF(H94=1,"Pre-study accuracy",IF(I94=1,"Post-study accuracy",IF(J94=1,"Eye tracking quality",IF(K94=1,"Face quality",""))))</f>
        <v/>
      </c>
      <c r="N94">
        <f>MAX(C94:D94)</f>
        <v/>
      </c>
      <c r="O94">
        <f>IF(AND(L94="Keep",N94&lt;=$D$2),"Keep","Exclude")</f>
        <v/>
      </c>
      <c r="P94">
        <f>D94-C94</f>
        <v/>
      </c>
    </row>
    <row r="95">
      <c r="A95" t="inlineStr">
        <is>
          <t>RESP0129</t>
        </is>
      </c>
      <c r="B95">
        <f>INDEX(Session!$M$2:$M$261,MATCH($A95,Session!$A$2:$A$261,0))</f>
        <v/>
      </c>
      <c r="C95">
        <f>SUMIFS(Quality!$E$2:$E$1247,Quality!$A$2:$A$1247,$A95,Quality!$D$2:$D$1247,"Pre-study calibration")</f>
        <v/>
      </c>
      <c r="D95">
        <f>SUMIFS(Quality!$E$2:$E$1247,Quality!$A$2:$A$1247,$A95,Quality!$D$2:$D$1247,"Post-study calibration")</f>
        <v/>
      </c>
      <c r="E95">
        <f>SUMIFS(Quality!$F$2:$F$1247,Quality!$A$2:$A$1247,$A95,Quality!$D$2:$D$1247,"infographic")</f>
        <v/>
      </c>
      <c r="F95">
        <f>SUMIFS(Quality!$G$2:$G$1247,Quality!$A$2:$A$1247,$A95,Quality!$D$2:$D$1247,"foodwaste_narrative")</f>
        <v/>
      </c>
      <c r="G95">
        <f>SUMIFS(Quality!$G$2:$G$1247,Quality!$A$2:$A$1247,$A95,Quality!$D$2:$D$1247,"foodwaste_visual")</f>
        <v/>
      </c>
      <c r="H95">
        <f>IF(C95&gt;$B$2,1,0)</f>
        <v/>
      </c>
      <c r="I95">
        <f>IF(D95&gt;$B$2,1,0)</f>
        <v/>
      </c>
      <c r="J95">
        <f>IF(E95&lt;$F$2,1,0)</f>
        <v/>
      </c>
      <c r="K95">
        <f>IF(OR(F95&lt;$H$2,G95&lt;$H$2),1,0)</f>
        <v/>
      </c>
      <c r="L95">
        <f>IF(SUM(H95:K95)&gt;0,"Exclude","Keep")</f>
        <v/>
      </c>
      <c r="M95">
        <f>IF(H95=1,"Pre-study accuracy",IF(I95=1,"Post-study accuracy",IF(J95=1,"Eye tracking quality",IF(K95=1,"Face quality",""))))</f>
        <v/>
      </c>
      <c r="N95">
        <f>MAX(C95:D95)</f>
        <v/>
      </c>
      <c r="O95">
        <f>IF(AND(L95="Keep",N95&lt;=$D$2),"Keep","Exclude")</f>
        <v/>
      </c>
      <c r="P95">
        <f>D95-C95</f>
        <v/>
      </c>
    </row>
    <row r="96">
      <c r="A96" t="inlineStr">
        <is>
          <t>RESP0130</t>
        </is>
      </c>
      <c r="B96">
        <f>INDEX(Session!$M$2:$M$261,MATCH($A96,Session!$A$2:$A$261,0))</f>
        <v/>
      </c>
      <c r="C96">
        <f>SUMIFS(Quality!$E$2:$E$1247,Quality!$A$2:$A$1247,$A96,Quality!$D$2:$D$1247,"Pre-study calibration")</f>
        <v/>
      </c>
      <c r="D96">
        <f>SUMIFS(Quality!$E$2:$E$1247,Quality!$A$2:$A$1247,$A96,Quality!$D$2:$D$1247,"Post-study calibration")</f>
        <v/>
      </c>
      <c r="E96">
        <f>SUMIFS(Quality!$F$2:$F$1247,Quality!$A$2:$A$1247,$A96,Quality!$D$2:$D$1247,"infographic")</f>
        <v/>
      </c>
      <c r="F96">
        <f>SUMIFS(Quality!$G$2:$G$1247,Quality!$A$2:$A$1247,$A96,Quality!$D$2:$D$1247,"foodwaste_narrative")</f>
        <v/>
      </c>
      <c r="G96">
        <f>SUMIFS(Quality!$G$2:$G$1247,Quality!$A$2:$A$1247,$A96,Quality!$D$2:$D$1247,"foodwaste_visual")</f>
        <v/>
      </c>
      <c r="H96">
        <f>IF(C96&gt;$B$2,1,0)</f>
        <v/>
      </c>
      <c r="I96">
        <f>IF(D96&gt;$B$2,1,0)</f>
        <v/>
      </c>
      <c r="J96">
        <f>IF(E96&lt;$F$2,1,0)</f>
        <v/>
      </c>
      <c r="K96">
        <f>IF(OR(F96&lt;$H$2,G96&lt;$H$2),1,0)</f>
        <v/>
      </c>
      <c r="L96">
        <f>IF(SUM(H96:K96)&gt;0,"Exclude","Keep")</f>
        <v/>
      </c>
      <c r="M96">
        <f>IF(H96=1,"Pre-study accuracy",IF(I96=1,"Post-study accuracy",IF(J96=1,"Eye tracking quality",IF(K96=1,"Face quality",""))))</f>
        <v/>
      </c>
      <c r="N96">
        <f>MAX(C96:D96)</f>
        <v/>
      </c>
      <c r="O96">
        <f>IF(AND(L96="Keep",N96&lt;=$D$2),"Keep","Exclude")</f>
        <v/>
      </c>
      <c r="P96">
        <f>D96-C96</f>
        <v/>
      </c>
    </row>
    <row r="97">
      <c r="A97" t="inlineStr">
        <is>
          <t>RESP0131</t>
        </is>
      </c>
      <c r="B97">
        <f>INDEX(Session!$M$2:$M$261,MATCH($A97,Session!$A$2:$A$261,0))</f>
        <v/>
      </c>
      <c r="C97">
        <f>SUMIFS(Quality!$E$2:$E$1247,Quality!$A$2:$A$1247,$A97,Quality!$D$2:$D$1247,"Pre-study calibration")</f>
        <v/>
      </c>
      <c r="D97">
        <f>SUMIFS(Quality!$E$2:$E$1247,Quality!$A$2:$A$1247,$A97,Quality!$D$2:$D$1247,"Post-study calibration")</f>
        <v/>
      </c>
      <c r="E97">
        <f>SUMIFS(Quality!$F$2:$F$1247,Quality!$A$2:$A$1247,$A97,Quality!$D$2:$D$1247,"infographic")</f>
        <v/>
      </c>
      <c r="F97">
        <f>SUMIFS(Quality!$G$2:$G$1247,Quality!$A$2:$A$1247,$A97,Quality!$D$2:$D$1247,"foodwaste_narrative")</f>
        <v/>
      </c>
      <c r="G97">
        <f>SUMIFS(Quality!$G$2:$G$1247,Quality!$A$2:$A$1247,$A97,Quality!$D$2:$D$1247,"foodwaste_visual")</f>
        <v/>
      </c>
      <c r="H97">
        <f>IF(C97&gt;$B$2,1,0)</f>
        <v/>
      </c>
      <c r="I97">
        <f>IF(D97&gt;$B$2,1,0)</f>
        <v/>
      </c>
      <c r="J97">
        <f>IF(E97&lt;$F$2,1,0)</f>
        <v/>
      </c>
      <c r="K97">
        <f>IF(OR(F97&lt;$H$2,G97&lt;$H$2),1,0)</f>
        <v/>
      </c>
      <c r="L97">
        <f>IF(SUM(H97:K97)&gt;0,"Exclude","Keep")</f>
        <v/>
      </c>
      <c r="M97">
        <f>IF(H97=1,"Pre-study accuracy",IF(I97=1,"Post-study accuracy",IF(J97=1,"Eye tracking quality",IF(K97=1,"Face quality",""))))</f>
        <v/>
      </c>
      <c r="N97">
        <f>MAX(C97:D97)</f>
        <v/>
      </c>
      <c r="O97">
        <f>IF(AND(L97="Keep",N97&lt;=$D$2),"Keep","Exclude")</f>
        <v/>
      </c>
      <c r="P97">
        <f>D97-C97</f>
        <v/>
      </c>
    </row>
    <row r="98">
      <c r="A98" t="inlineStr">
        <is>
          <t>RESP0133</t>
        </is>
      </c>
      <c r="B98">
        <f>INDEX(Session!$M$2:$M$261,MATCH($A98,Session!$A$2:$A$261,0))</f>
        <v/>
      </c>
      <c r="C98">
        <f>SUMIFS(Quality!$E$2:$E$1247,Quality!$A$2:$A$1247,$A98,Quality!$D$2:$D$1247,"Pre-study calibration")</f>
        <v/>
      </c>
      <c r="D98">
        <f>SUMIFS(Quality!$E$2:$E$1247,Quality!$A$2:$A$1247,$A98,Quality!$D$2:$D$1247,"Post-study calibration")</f>
        <v/>
      </c>
      <c r="E98">
        <f>SUMIFS(Quality!$F$2:$F$1247,Quality!$A$2:$A$1247,$A98,Quality!$D$2:$D$1247,"infographic")</f>
        <v/>
      </c>
      <c r="F98">
        <f>SUMIFS(Quality!$G$2:$G$1247,Quality!$A$2:$A$1247,$A98,Quality!$D$2:$D$1247,"foodwaste_narrative")</f>
        <v/>
      </c>
      <c r="G98">
        <f>SUMIFS(Quality!$G$2:$G$1247,Quality!$A$2:$A$1247,$A98,Quality!$D$2:$D$1247,"foodwaste_visual")</f>
        <v/>
      </c>
      <c r="H98">
        <f>IF(C98&gt;$B$2,1,0)</f>
        <v/>
      </c>
      <c r="I98">
        <f>IF(D98&gt;$B$2,1,0)</f>
        <v/>
      </c>
      <c r="J98">
        <f>IF(E98&lt;$F$2,1,0)</f>
        <v/>
      </c>
      <c r="K98">
        <f>IF(OR(F98&lt;$H$2,G98&lt;$H$2),1,0)</f>
        <v/>
      </c>
      <c r="L98">
        <f>IF(SUM(H98:K98)&gt;0,"Exclude","Keep")</f>
        <v/>
      </c>
      <c r="M98">
        <f>IF(H98=1,"Pre-study accuracy",IF(I98=1,"Post-study accuracy",IF(J98=1,"Eye tracking quality",IF(K98=1,"Face quality",""))))</f>
        <v/>
      </c>
      <c r="N98">
        <f>MAX(C98:D98)</f>
        <v/>
      </c>
      <c r="O98">
        <f>IF(AND(L98="Keep",N98&lt;=$D$2),"Keep","Exclude")</f>
        <v/>
      </c>
      <c r="P98">
        <f>D98-C98</f>
        <v/>
      </c>
    </row>
    <row r="99">
      <c r="A99" t="inlineStr">
        <is>
          <t>RESP0134</t>
        </is>
      </c>
      <c r="B99">
        <f>INDEX(Session!$M$2:$M$261,MATCH($A99,Session!$A$2:$A$261,0))</f>
        <v/>
      </c>
      <c r="C99">
        <f>SUMIFS(Quality!$E$2:$E$1247,Quality!$A$2:$A$1247,$A99,Quality!$D$2:$D$1247,"Pre-study calibration")</f>
        <v/>
      </c>
      <c r="D99">
        <f>SUMIFS(Quality!$E$2:$E$1247,Quality!$A$2:$A$1247,$A99,Quality!$D$2:$D$1247,"Post-study calibration")</f>
        <v/>
      </c>
      <c r="E99">
        <f>SUMIFS(Quality!$F$2:$F$1247,Quality!$A$2:$A$1247,$A99,Quality!$D$2:$D$1247,"infographic")</f>
        <v/>
      </c>
      <c r="F99">
        <f>SUMIFS(Quality!$G$2:$G$1247,Quality!$A$2:$A$1247,$A99,Quality!$D$2:$D$1247,"foodwaste_narrative")</f>
        <v/>
      </c>
      <c r="G99">
        <f>SUMIFS(Quality!$G$2:$G$1247,Quality!$A$2:$A$1247,$A99,Quality!$D$2:$D$1247,"foodwaste_visual")</f>
        <v/>
      </c>
      <c r="H99">
        <f>IF(C99&gt;$B$2,1,0)</f>
        <v/>
      </c>
      <c r="I99">
        <f>IF(D99&gt;$B$2,1,0)</f>
        <v/>
      </c>
      <c r="J99">
        <f>IF(E99&lt;$F$2,1,0)</f>
        <v/>
      </c>
      <c r="K99">
        <f>IF(OR(F99&lt;$H$2,G99&lt;$H$2),1,0)</f>
        <v/>
      </c>
      <c r="L99">
        <f>IF(SUM(H99:K99)&gt;0,"Exclude","Keep")</f>
        <v/>
      </c>
      <c r="M99">
        <f>IF(H99=1,"Pre-study accuracy",IF(I99=1,"Post-study accuracy",IF(J99=1,"Eye tracking quality",IF(K99=1,"Face quality",""))))</f>
        <v/>
      </c>
      <c r="N99">
        <f>MAX(C99:D99)</f>
        <v/>
      </c>
      <c r="O99">
        <f>IF(AND(L99="Keep",N99&lt;=$D$2),"Keep","Exclude")</f>
        <v/>
      </c>
      <c r="P99">
        <f>D99-C99</f>
        <v/>
      </c>
    </row>
    <row r="100">
      <c r="A100" t="inlineStr">
        <is>
          <t>RESP0137</t>
        </is>
      </c>
      <c r="B100">
        <f>INDEX(Session!$M$2:$M$261,MATCH($A100,Session!$A$2:$A$261,0))</f>
        <v/>
      </c>
      <c r="C100">
        <f>SUMIFS(Quality!$E$2:$E$1247,Quality!$A$2:$A$1247,$A100,Quality!$D$2:$D$1247,"Pre-study calibration")</f>
        <v/>
      </c>
      <c r="D100">
        <f>SUMIFS(Quality!$E$2:$E$1247,Quality!$A$2:$A$1247,$A100,Quality!$D$2:$D$1247,"Post-study calibration")</f>
        <v/>
      </c>
      <c r="E100">
        <f>SUMIFS(Quality!$F$2:$F$1247,Quality!$A$2:$A$1247,$A100,Quality!$D$2:$D$1247,"infographic")</f>
        <v/>
      </c>
      <c r="F100">
        <f>SUMIFS(Quality!$G$2:$G$1247,Quality!$A$2:$A$1247,$A100,Quality!$D$2:$D$1247,"foodwaste_narrative")</f>
        <v/>
      </c>
      <c r="G100">
        <f>SUMIFS(Quality!$G$2:$G$1247,Quality!$A$2:$A$1247,$A100,Quality!$D$2:$D$1247,"foodwaste_visual")</f>
        <v/>
      </c>
      <c r="H100">
        <f>IF(C100&gt;$B$2,1,0)</f>
        <v/>
      </c>
      <c r="I100">
        <f>IF(D100&gt;$B$2,1,0)</f>
        <v/>
      </c>
      <c r="J100">
        <f>IF(E100&lt;$F$2,1,0)</f>
        <v/>
      </c>
      <c r="K100">
        <f>IF(OR(F100&lt;$H$2,G100&lt;$H$2),1,0)</f>
        <v/>
      </c>
      <c r="L100">
        <f>IF(SUM(H100:K100)&gt;0,"Exclude","Keep")</f>
        <v/>
      </c>
      <c r="M100">
        <f>IF(H100=1,"Pre-study accuracy",IF(I100=1,"Post-study accuracy",IF(J100=1,"Eye tracking quality",IF(K100=1,"Face quality",""))))</f>
        <v/>
      </c>
      <c r="N100">
        <f>MAX(C100:D100)</f>
        <v/>
      </c>
      <c r="O100">
        <f>IF(AND(L100="Keep",N100&lt;=$D$2),"Keep","Exclude")</f>
        <v/>
      </c>
      <c r="P100">
        <f>D100-C100</f>
        <v/>
      </c>
    </row>
    <row r="101">
      <c r="A101" t="inlineStr">
        <is>
          <t>RESP0140</t>
        </is>
      </c>
      <c r="B101">
        <f>INDEX(Session!$M$2:$M$261,MATCH($A101,Session!$A$2:$A$261,0))</f>
        <v/>
      </c>
      <c r="C101">
        <f>SUMIFS(Quality!$E$2:$E$1247,Quality!$A$2:$A$1247,$A101,Quality!$D$2:$D$1247,"Pre-study calibration")</f>
        <v/>
      </c>
      <c r="D101">
        <f>SUMIFS(Quality!$E$2:$E$1247,Quality!$A$2:$A$1247,$A101,Quality!$D$2:$D$1247,"Post-study calibration")</f>
        <v/>
      </c>
      <c r="E101">
        <f>SUMIFS(Quality!$F$2:$F$1247,Quality!$A$2:$A$1247,$A101,Quality!$D$2:$D$1247,"infographic")</f>
        <v/>
      </c>
      <c r="F101">
        <f>SUMIFS(Quality!$G$2:$G$1247,Quality!$A$2:$A$1247,$A101,Quality!$D$2:$D$1247,"foodwaste_narrative")</f>
        <v/>
      </c>
      <c r="G101">
        <f>SUMIFS(Quality!$G$2:$G$1247,Quality!$A$2:$A$1247,$A101,Quality!$D$2:$D$1247,"foodwaste_visual")</f>
        <v/>
      </c>
      <c r="H101">
        <f>IF(C101&gt;$B$2,1,0)</f>
        <v/>
      </c>
      <c r="I101">
        <f>IF(D101&gt;$B$2,1,0)</f>
        <v/>
      </c>
      <c r="J101">
        <f>IF(E101&lt;$F$2,1,0)</f>
        <v/>
      </c>
      <c r="K101">
        <f>IF(OR(F101&lt;$H$2,G101&lt;$H$2),1,0)</f>
        <v/>
      </c>
      <c r="L101">
        <f>IF(SUM(H101:K101)&gt;0,"Exclude","Keep")</f>
        <v/>
      </c>
      <c r="M101">
        <f>IF(H101=1,"Pre-study accuracy",IF(I101=1,"Post-study accuracy",IF(J101=1,"Eye tracking quality",IF(K101=1,"Face quality",""))))</f>
        <v/>
      </c>
      <c r="N101">
        <f>MAX(C101:D101)</f>
        <v/>
      </c>
      <c r="O101">
        <f>IF(AND(L101="Keep",N101&lt;=$D$2),"Keep","Exclude")</f>
        <v/>
      </c>
      <c r="P101">
        <f>D101-C101</f>
        <v/>
      </c>
    </row>
    <row r="102">
      <c r="A102" t="inlineStr">
        <is>
          <t>RESP0141</t>
        </is>
      </c>
      <c r="B102">
        <f>INDEX(Session!$M$2:$M$261,MATCH($A102,Session!$A$2:$A$261,0))</f>
        <v/>
      </c>
      <c r="C102">
        <f>SUMIFS(Quality!$E$2:$E$1247,Quality!$A$2:$A$1247,$A102,Quality!$D$2:$D$1247,"Pre-study calibration")</f>
        <v/>
      </c>
      <c r="D102">
        <f>SUMIFS(Quality!$E$2:$E$1247,Quality!$A$2:$A$1247,$A102,Quality!$D$2:$D$1247,"Post-study calibration")</f>
        <v/>
      </c>
      <c r="E102">
        <f>SUMIFS(Quality!$F$2:$F$1247,Quality!$A$2:$A$1247,$A102,Quality!$D$2:$D$1247,"infographic")</f>
        <v/>
      </c>
      <c r="F102">
        <f>SUMIFS(Quality!$G$2:$G$1247,Quality!$A$2:$A$1247,$A102,Quality!$D$2:$D$1247,"foodwaste_narrative")</f>
        <v/>
      </c>
      <c r="G102">
        <f>SUMIFS(Quality!$G$2:$G$1247,Quality!$A$2:$A$1247,$A102,Quality!$D$2:$D$1247,"foodwaste_visual")</f>
        <v/>
      </c>
      <c r="H102">
        <f>IF(C102&gt;$B$2,1,0)</f>
        <v/>
      </c>
      <c r="I102">
        <f>IF(D102&gt;$B$2,1,0)</f>
        <v/>
      </c>
      <c r="J102">
        <f>IF(E102&lt;$F$2,1,0)</f>
        <v/>
      </c>
      <c r="K102">
        <f>IF(OR(F102&lt;$H$2,G102&lt;$H$2),1,0)</f>
        <v/>
      </c>
      <c r="L102">
        <f>IF(SUM(H102:K102)&gt;0,"Exclude","Keep")</f>
        <v/>
      </c>
      <c r="M102">
        <f>IF(H102=1,"Pre-study accuracy",IF(I102=1,"Post-study accuracy",IF(J102=1,"Eye tracking quality",IF(K102=1,"Face quality",""))))</f>
        <v/>
      </c>
      <c r="N102">
        <f>MAX(C102:D102)</f>
        <v/>
      </c>
      <c r="O102">
        <f>IF(AND(L102="Keep",N102&lt;=$D$2),"Keep","Exclude")</f>
        <v/>
      </c>
      <c r="P102">
        <f>D102-C102</f>
        <v/>
      </c>
    </row>
    <row r="103">
      <c r="A103" t="inlineStr">
        <is>
          <t>RESP0142</t>
        </is>
      </c>
      <c r="B103">
        <f>INDEX(Session!$M$2:$M$261,MATCH($A103,Session!$A$2:$A$261,0))</f>
        <v/>
      </c>
      <c r="C103">
        <f>SUMIFS(Quality!$E$2:$E$1247,Quality!$A$2:$A$1247,$A103,Quality!$D$2:$D$1247,"Pre-study calibration")</f>
        <v/>
      </c>
      <c r="D103">
        <f>SUMIFS(Quality!$E$2:$E$1247,Quality!$A$2:$A$1247,$A103,Quality!$D$2:$D$1247,"Post-study calibration")</f>
        <v/>
      </c>
      <c r="E103">
        <f>SUMIFS(Quality!$F$2:$F$1247,Quality!$A$2:$A$1247,$A103,Quality!$D$2:$D$1247,"infographic")</f>
        <v/>
      </c>
      <c r="F103">
        <f>SUMIFS(Quality!$G$2:$G$1247,Quality!$A$2:$A$1247,$A103,Quality!$D$2:$D$1247,"foodwaste_narrative")</f>
        <v/>
      </c>
      <c r="G103">
        <f>SUMIFS(Quality!$G$2:$G$1247,Quality!$A$2:$A$1247,$A103,Quality!$D$2:$D$1247,"foodwaste_visual")</f>
        <v/>
      </c>
      <c r="H103">
        <f>IF(C103&gt;$B$2,1,0)</f>
        <v/>
      </c>
      <c r="I103">
        <f>IF(D103&gt;$B$2,1,0)</f>
        <v/>
      </c>
      <c r="J103">
        <f>IF(E103&lt;$F$2,1,0)</f>
        <v/>
      </c>
      <c r="K103">
        <f>IF(OR(F103&lt;$H$2,G103&lt;$H$2),1,0)</f>
        <v/>
      </c>
      <c r="L103">
        <f>IF(SUM(H103:K103)&gt;0,"Exclude","Keep")</f>
        <v/>
      </c>
      <c r="M103">
        <f>IF(H103=1,"Pre-study accuracy",IF(I103=1,"Post-study accuracy",IF(J103=1,"Eye tracking quality",IF(K103=1,"Face quality",""))))</f>
        <v/>
      </c>
      <c r="N103">
        <f>MAX(C103:D103)</f>
        <v/>
      </c>
      <c r="O103">
        <f>IF(AND(L103="Keep",N103&lt;=$D$2),"Keep","Exclude")</f>
        <v/>
      </c>
      <c r="P103">
        <f>D103-C103</f>
        <v/>
      </c>
    </row>
    <row r="104">
      <c r="A104" t="inlineStr">
        <is>
          <t>RESP0143</t>
        </is>
      </c>
      <c r="B104">
        <f>INDEX(Session!$M$2:$M$261,MATCH($A104,Session!$A$2:$A$261,0))</f>
        <v/>
      </c>
      <c r="C104">
        <f>SUMIFS(Quality!$E$2:$E$1247,Quality!$A$2:$A$1247,$A104,Quality!$D$2:$D$1247,"Pre-study calibration")</f>
        <v/>
      </c>
      <c r="D104">
        <f>SUMIFS(Quality!$E$2:$E$1247,Quality!$A$2:$A$1247,$A104,Quality!$D$2:$D$1247,"Post-study calibration")</f>
        <v/>
      </c>
      <c r="E104">
        <f>SUMIFS(Quality!$F$2:$F$1247,Quality!$A$2:$A$1247,$A104,Quality!$D$2:$D$1247,"infographic")</f>
        <v/>
      </c>
      <c r="F104">
        <f>SUMIFS(Quality!$G$2:$G$1247,Quality!$A$2:$A$1247,$A104,Quality!$D$2:$D$1247,"foodwaste_narrative")</f>
        <v/>
      </c>
      <c r="G104">
        <f>SUMIFS(Quality!$G$2:$G$1247,Quality!$A$2:$A$1247,$A104,Quality!$D$2:$D$1247,"foodwaste_visual")</f>
        <v/>
      </c>
      <c r="H104">
        <f>IF(C104&gt;$B$2,1,0)</f>
        <v/>
      </c>
      <c r="I104">
        <f>IF(D104&gt;$B$2,1,0)</f>
        <v/>
      </c>
      <c r="J104">
        <f>IF(E104&lt;$F$2,1,0)</f>
        <v/>
      </c>
      <c r="K104">
        <f>IF(OR(F104&lt;$H$2,G104&lt;$H$2),1,0)</f>
        <v/>
      </c>
      <c r="L104">
        <f>IF(SUM(H104:K104)&gt;0,"Exclude","Keep")</f>
        <v/>
      </c>
      <c r="M104">
        <f>IF(H104=1,"Pre-study accuracy",IF(I104=1,"Post-study accuracy",IF(J104=1,"Eye tracking quality",IF(K104=1,"Face quality",""))))</f>
        <v/>
      </c>
      <c r="N104">
        <f>MAX(C104:D104)</f>
        <v/>
      </c>
      <c r="O104">
        <f>IF(AND(L104="Keep",N104&lt;=$D$2),"Keep","Exclude")</f>
        <v/>
      </c>
      <c r="P104">
        <f>D104-C104</f>
        <v/>
      </c>
    </row>
    <row r="105">
      <c r="A105" t="inlineStr">
        <is>
          <t>RESP0144</t>
        </is>
      </c>
      <c r="B105">
        <f>INDEX(Session!$M$2:$M$261,MATCH($A105,Session!$A$2:$A$261,0))</f>
        <v/>
      </c>
      <c r="C105">
        <f>SUMIFS(Quality!$E$2:$E$1247,Quality!$A$2:$A$1247,$A105,Quality!$D$2:$D$1247,"Pre-study calibration")</f>
        <v/>
      </c>
      <c r="D105">
        <f>SUMIFS(Quality!$E$2:$E$1247,Quality!$A$2:$A$1247,$A105,Quality!$D$2:$D$1247,"Post-study calibration")</f>
        <v/>
      </c>
      <c r="E105">
        <f>SUMIFS(Quality!$F$2:$F$1247,Quality!$A$2:$A$1247,$A105,Quality!$D$2:$D$1247,"infographic")</f>
        <v/>
      </c>
      <c r="F105">
        <f>SUMIFS(Quality!$G$2:$G$1247,Quality!$A$2:$A$1247,$A105,Quality!$D$2:$D$1247,"foodwaste_narrative")</f>
        <v/>
      </c>
      <c r="G105">
        <f>SUMIFS(Quality!$G$2:$G$1247,Quality!$A$2:$A$1247,$A105,Quality!$D$2:$D$1247,"foodwaste_visual")</f>
        <v/>
      </c>
      <c r="H105">
        <f>IF(C105&gt;$B$2,1,0)</f>
        <v/>
      </c>
      <c r="I105">
        <f>IF(D105&gt;$B$2,1,0)</f>
        <v/>
      </c>
      <c r="J105">
        <f>IF(E105&lt;$F$2,1,0)</f>
        <v/>
      </c>
      <c r="K105">
        <f>IF(OR(F105&lt;$H$2,G105&lt;$H$2),1,0)</f>
        <v/>
      </c>
      <c r="L105">
        <f>IF(SUM(H105:K105)&gt;0,"Exclude","Keep")</f>
        <v/>
      </c>
      <c r="M105">
        <f>IF(H105=1,"Pre-study accuracy",IF(I105=1,"Post-study accuracy",IF(J105=1,"Eye tracking quality",IF(K105=1,"Face quality",""))))</f>
        <v/>
      </c>
      <c r="N105">
        <f>MAX(C105:D105)</f>
        <v/>
      </c>
      <c r="O105">
        <f>IF(AND(L105="Keep",N105&lt;=$D$2),"Keep","Exclude")</f>
        <v/>
      </c>
      <c r="P105">
        <f>D105-C105</f>
        <v/>
      </c>
    </row>
    <row r="106">
      <c r="A106" t="inlineStr">
        <is>
          <t>RESP0145</t>
        </is>
      </c>
      <c r="B106">
        <f>INDEX(Session!$M$2:$M$261,MATCH($A106,Session!$A$2:$A$261,0))</f>
        <v/>
      </c>
      <c r="C106">
        <f>SUMIFS(Quality!$E$2:$E$1247,Quality!$A$2:$A$1247,$A106,Quality!$D$2:$D$1247,"Pre-study calibration")</f>
        <v/>
      </c>
      <c r="D106">
        <f>SUMIFS(Quality!$E$2:$E$1247,Quality!$A$2:$A$1247,$A106,Quality!$D$2:$D$1247,"Post-study calibration")</f>
        <v/>
      </c>
      <c r="E106">
        <f>SUMIFS(Quality!$F$2:$F$1247,Quality!$A$2:$A$1247,$A106,Quality!$D$2:$D$1247,"infographic")</f>
        <v/>
      </c>
      <c r="F106">
        <f>SUMIFS(Quality!$G$2:$G$1247,Quality!$A$2:$A$1247,$A106,Quality!$D$2:$D$1247,"foodwaste_narrative")</f>
        <v/>
      </c>
      <c r="G106">
        <f>SUMIFS(Quality!$G$2:$G$1247,Quality!$A$2:$A$1247,$A106,Quality!$D$2:$D$1247,"foodwaste_visual")</f>
        <v/>
      </c>
      <c r="H106">
        <f>IF(C106&gt;$B$2,1,0)</f>
        <v/>
      </c>
      <c r="I106">
        <f>IF(D106&gt;$B$2,1,0)</f>
        <v/>
      </c>
      <c r="J106">
        <f>IF(E106&lt;$F$2,1,0)</f>
        <v/>
      </c>
      <c r="K106">
        <f>IF(OR(F106&lt;$H$2,G106&lt;$H$2),1,0)</f>
        <v/>
      </c>
      <c r="L106">
        <f>IF(SUM(H106:K106)&gt;0,"Exclude","Keep")</f>
        <v/>
      </c>
      <c r="M106">
        <f>IF(H106=1,"Pre-study accuracy",IF(I106=1,"Post-study accuracy",IF(J106=1,"Eye tracking quality",IF(K106=1,"Face quality",""))))</f>
        <v/>
      </c>
      <c r="N106">
        <f>MAX(C106:D106)</f>
        <v/>
      </c>
      <c r="O106">
        <f>IF(AND(L106="Keep",N106&lt;=$D$2),"Keep","Exclude")</f>
        <v/>
      </c>
      <c r="P106">
        <f>D106-C106</f>
        <v/>
      </c>
    </row>
    <row r="107">
      <c r="A107" t="inlineStr">
        <is>
          <t>RESP0147</t>
        </is>
      </c>
      <c r="B107">
        <f>INDEX(Session!$M$2:$M$261,MATCH($A107,Session!$A$2:$A$261,0))</f>
        <v/>
      </c>
      <c r="C107">
        <f>SUMIFS(Quality!$E$2:$E$1247,Quality!$A$2:$A$1247,$A107,Quality!$D$2:$D$1247,"Pre-study calibration")</f>
        <v/>
      </c>
      <c r="D107">
        <f>SUMIFS(Quality!$E$2:$E$1247,Quality!$A$2:$A$1247,$A107,Quality!$D$2:$D$1247,"Post-study calibration")</f>
        <v/>
      </c>
      <c r="E107">
        <f>SUMIFS(Quality!$F$2:$F$1247,Quality!$A$2:$A$1247,$A107,Quality!$D$2:$D$1247,"infographic")</f>
        <v/>
      </c>
      <c r="F107">
        <f>SUMIFS(Quality!$G$2:$G$1247,Quality!$A$2:$A$1247,$A107,Quality!$D$2:$D$1247,"foodwaste_narrative")</f>
        <v/>
      </c>
      <c r="G107">
        <f>SUMIFS(Quality!$G$2:$G$1247,Quality!$A$2:$A$1247,$A107,Quality!$D$2:$D$1247,"foodwaste_visual")</f>
        <v/>
      </c>
      <c r="H107">
        <f>IF(C107&gt;$B$2,1,0)</f>
        <v/>
      </c>
      <c r="I107">
        <f>IF(D107&gt;$B$2,1,0)</f>
        <v/>
      </c>
      <c r="J107">
        <f>IF(E107&lt;$F$2,1,0)</f>
        <v/>
      </c>
      <c r="K107">
        <f>IF(OR(F107&lt;$H$2,G107&lt;$H$2),1,0)</f>
        <v/>
      </c>
      <c r="L107">
        <f>IF(SUM(H107:K107)&gt;0,"Exclude","Keep")</f>
        <v/>
      </c>
      <c r="M107">
        <f>IF(H107=1,"Pre-study accuracy",IF(I107=1,"Post-study accuracy",IF(J107=1,"Eye tracking quality",IF(K107=1,"Face quality",""))))</f>
        <v/>
      </c>
      <c r="N107">
        <f>MAX(C107:D107)</f>
        <v/>
      </c>
      <c r="O107">
        <f>IF(AND(L107="Keep",N107&lt;=$D$2),"Keep","Exclude")</f>
        <v/>
      </c>
      <c r="P107">
        <f>D107-C107</f>
        <v/>
      </c>
    </row>
    <row r="108">
      <c r="A108" t="inlineStr">
        <is>
          <t>RESP0149</t>
        </is>
      </c>
      <c r="B108">
        <f>INDEX(Session!$M$2:$M$261,MATCH($A108,Session!$A$2:$A$261,0))</f>
        <v/>
      </c>
      <c r="C108">
        <f>SUMIFS(Quality!$E$2:$E$1247,Quality!$A$2:$A$1247,$A108,Quality!$D$2:$D$1247,"Pre-study calibration")</f>
        <v/>
      </c>
      <c r="D108">
        <f>SUMIFS(Quality!$E$2:$E$1247,Quality!$A$2:$A$1247,$A108,Quality!$D$2:$D$1247,"Post-study calibration")</f>
        <v/>
      </c>
      <c r="E108">
        <f>SUMIFS(Quality!$F$2:$F$1247,Quality!$A$2:$A$1247,$A108,Quality!$D$2:$D$1247,"infographic")</f>
        <v/>
      </c>
      <c r="F108">
        <f>SUMIFS(Quality!$G$2:$G$1247,Quality!$A$2:$A$1247,$A108,Quality!$D$2:$D$1247,"foodwaste_narrative")</f>
        <v/>
      </c>
      <c r="G108">
        <f>SUMIFS(Quality!$G$2:$G$1247,Quality!$A$2:$A$1247,$A108,Quality!$D$2:$D$1247,"foodwaste_visual")</f>
        <v/>
      </c>
      <c r="H108">
        <f>IF(C108&gt;$B$2,1,0)</f>
        <v/>
      </c>
      <c r="I108">
        <f>IF(D108&gt;$B$2,1,0)</f>
        <v/>
      </c>
      <c r="J108">
        <f>IF(E108&lt;$F$2,1,0)</f>
        <v/>
      </c>
      <c r="K108">
        <f>IF(OR(F108&lt;$H$2,G108&lt;$H$2),1,0)</f>
        <v/>
      </c>
      <c r="L108">
        <f>IF(SUM(H108:K108)&gt;0,"Exclude","Keep")</f>
        <v/>
      </c>
      <c r="M108">
        <f>IF(H108=1,"Pre-study accuracy",IF(I108=1,"Post-study accuracy",IF(J108=1,"Eye tracking quality",IF(K108=1,"Face quality",""))))</f>
        <v/>
      </c>
      <c r="N108">
        <f>MAX(C108:D108)</f>
        <v/>
      </c>
      <c r="O108">
        <f>IF(AND(L108="Keep",N108&lt;=$D$2),"Keep","Exclude")</f>
        <v/>
      </c>
      <c r="P108">
        <f>D108-C108</f>
        <v/>
      </c>
    </row>
    <row r="109">
      <c r="A109" t="inlineStr">
        <is>
          <t>RESP0150</t>
        </is>
      </c>
      <c r="B109">
        <f>INDEX(Session!$M$2:$M$261,MATCH($A109,Session!$A$2:$A$261,0))</f>
        <v/>
      </c>
      <c r="C109">
        <f>SUMIFS(Quality!$E$2:$E$1247,Quality!$A$2:$A$1247,$A109,Quality!$D$2:$D$1247,"Pre-study calibration")</f>
        <v/>
      </c>
      <c r="D109">
        <f>SUMIFS(Quality!$E$2:$E$1247,Quality!$A$2:$A$1247,$A109,Quality!$D$2:$D$1247,"Post-study calibration")</f>
        <v/>
      </c>
      <c r="E109">
        <f>SUMIFS(Quality!$F$2:$F$1247,Quality!$A$2:$A$1247,$A109,Quality!$D$2:$D$1247,"infographic")</f>
        <v/>
      </c>
      <c r="F109">
        <f>SUMIFS(Quality!$G$2:$G$1247,Quality!$A$2:$A$1247,$A109,Quality!$D$2:$D$1247,"foodwaste_narrative")</f>
        <v/>
      </c>
      <c r="G109">
        <f>SUMIFS(Quality!$G$2:$G$1247,Quality!$A$2:$A$1247,$A109,Quality!$D$2:$D$1247,"foodwaste_visual")</f>
        <v/>
      </c>
      <c r="H109">
        <f>IF(C109&gt;$B$2,1,0)</f>
        <v/>
      </c>
      <c r="I109">
        <f>IF(D109&gt;$B$2,1,0)</f>
        <v/>
      </c>
      <c r="J109">
        <f>IF(E109&lt;$F$2,1,0)</f>
        <v/>
      </c>
      <c r="K109">
        <f>IF(OR(F109&lt;$H$2,G109&lt;$H$2),1,0)</f>
        <v/>
      </c>
      <c r="L109">
        <f>IF(SUM(H109:K109)&gt;0,"Exclude","Keep")</f>
        <v/>
      </c>
      <c r="M109">
        <f>IF(H109=1,"Pre-study accuracy",IF(I109=1,"Post-study accuracy",IF(J109=1,"Eye tracking quality",IF(K109=1,"Face quality",""))))</f>
        <v/>
      </c>
      <c r="N109">
        <f>MAX(C109:D109)</f>
        <v/>
      </c>
      <c r="O109">
        <f>IF(AND(L109="Keep",N109&lt;=$D$2),"Keep","Exclude")</f>
        <v/>
      </c>
      <c r="P109">
        <f>D109-C109</f>
        <v/>
      </c>
    </row>
    <row r="110">
      <c r="A110" t="inlineStr">
        <is>
          <t>RESP0151</t>
        </is>
      </c>
      <c r="B110">
        <f>INDEX(Session!$M$2:$M$261,MATCH($A110,Session!$A$2:$A$261,0))</f>
        <v/>
      </c>
      <c r="C110">
        <f>SUMIFS(Quality!$E$2:$E$1247,Quality!$A$2:$A$1247,$A110,Quality!$D$2:$D$1247,"Pre-study calibration")</f>
        <v/>
      </c>
      <c r="D110">
        <f>SUMIFS(Quality!$E$2:$E$1247,Quality!$A$2:$A$1247,$A110,Quality!$D$2:$D$1247,"Post-study calibration")</f>
        <v/>
      </c>
      <c r="E110">
        <f>SUMIFS(Quality!$F$2:$F$1247,Quality!$A$2:$A$1247,$A110,Quality!$D$2:$D$1247,"infographic")</f>
        <v/>
      </c>
      <c r="F110">
        <f>SUMIFS(Quality!$G$2:$G$1247,Quality!$A$2:$A$1247,$A110,Quality!$D$2:$D$1247,"foodwaste_narrative")</f>
        <v/>
      </c>
      <c r="G110">
        <f>SUMIFS(Quality!$G$2:$G$1247,Quality!$A$2:$A$1247,$A110,Quality!$D$2:$D$1247,"foodwaste_visual")</f>
        <v/>
      </c>
      <c r="H110">
        <f>IF(C110&gt;$B$2,1,0)</f>
        <v/>
      </c>
      <c r="I110">
        <f>IF(D110&gt;$B$2,1,0)</f>
        <v/>
      </c>
      <c r="J110">
        <f>IF(E110&lt;$F$2,1,0)</f>
        <v/>
      </c>
      <c r="K110">
        <f>IF(OR(F110&lt;$H$2,G110&lt;$H$2),1,0)</f>
        <v/>
      </c>
      <c r="L110">
        <f>IF(SUM(H110:K110)&gt;0,"Exclude","Keep")</f>
        <v/>
      </c>
      <c r="M110">
        <f>IF(H110=1,"Pre-study accuracy",IF(I110=1,"Post-study accuracy",IF(J110=1,"Eye tracking quality",IF(K110=1,"Face quality",""))))</f>
        <v/>
      </c>
      <c r="N110">
        <f>MAX(C110:D110)</f>
        <v/>
      </c>
      <c r="O110">
        <f>IF(AND(L110="Keep",N110&lt;=$D$2),"Keep","Exclude")</f>
        <v/>
      </c>
      <c r="P110">
        <f>D110-C110</f>
        <v/>
      </c>
    </row>
    <row r="111">
      <c r="A111" t="inlineStr">
        <is>
          <t>RESP0154</t>
        </is>
      </c>
      <c r="B111">
        <f>INDEX(Session!$M$2:$M$261,MATCH($A111,Session!$A$2:$A$261,0))</f>
        <v/>
      </c>
      <c r="C111">
        <f>SUMIFS(Quality!$E$2:$E$1247,Quality!$A$2:$A$1247,$A111,Quality!$D$2:$D$1247,"Pre-study calibration")</f>
        <v/>
      </c>
      <c r="D111">
        <f>SUMIFS(Quality!$E$2:$E$1247,Quality!$A$2:$A$1247,$A111,Quality!$D$2:$D$1247,"Post-study calibration")</f>
        <v/>
      </c>
      <c r="E111">
        <f>SUMIFS(Quality!$F$2:$F$1247,Quality!$A$2:$A$1247,$A111,Quality!$D$2:$D$1247,"infographic")</f>
        <v/>
      </c>
      <c r="F111">
        <f>SUMIFS(Quality!$G$2:$G$1247,Quality!$A$2:$A$1247,$A111,Quality!$D$2:$D$1247,"foodwaste_narrative")</f>
        <v/>
      </c>
      <c r="G111">
        <f>SUMIFS(Quality!$G$2:$G$1247,Quality!$A$2:$A$1247,$A111,Quality!$D$2:$D$1247,"foodwaste_visual")</f>
        <v/>
      </c>
      <c r="H111">
        <f>IF(C111&gt;$B$2,1,0)</f>
        <v/>
      </c>
      <c r="I111">
        <f>IF(D111&gt;$B$2,1,0)</f>
        <v/>
      </c>
      <c r="J111">
        <f>IF(E111&lt;$F$2,1,0)</f>
        <v/>
      </c>
      <c r="K111">
        <f>IF(OR(F111&lt;$H$2,G111&lt;$H$2),1,0)</f>
        <v/>
      </c>
      <c r="L111">
        <f>IF(SUM(H111:K111)&gt;0,"Exclude","Keep")</f>
        <v/>
      </c>
      <c r="M111">
        <f>IF(H111=1,"Pre-study accuracy",IF(I111=1,"Post-study accuracy",IF(J111=1,"Eye tracking quality",IF(K111=1,"Face quality",""))))</f>
        <v/>
      </c>
      <c r="N111">
        <f>MAX(C111:D111)</f>
        <v/>
      </c>
      <c r="O111">
        <f>IF(AND(L111="Keep",N111&lt;=$D$2),"Keep","Exclude")</f>
        <v/>
      </c>
      <c r="P111">
        <f>D111-C111</f>
        <v/>
      </c>
    </row>
    <row r="112">
      <c r="A112" t="inlineStr">
        <is>
          <t>RESP0155</t>
        </is>
      </c>
      <c r="B112">
        <f>INDEX(Session!$M$2:$M$261,MATCH($A112,Session!$A$2:$A$261,0))</f>
        <v/>
      </c>
      <c r="C112">
        <f>SUMIFS(Quality!$E$2:$E$1247,Quality!$A$2:$A$1247,$A112,Quality!$D$2:$D$1247,"Pre-study calibration")</f>
        <v/>
      </c>
      <c r="D112">
        <f>SUMIFS(Quality!$E$2:$E$1247,Quality!$A$2:$A$1247,$A112,Quality!$D$2:$D$1247,"Post-study calibration")</f>
        <v/>
      </c>
      <c r="E112">
        <f>SUMIFS(Quality!$F$2:$F$1247,Quality!$A$2:$A$1247,$A112,Quality!$D$2:$D$1247,"infographic")</f>
        <v/>
      </c>
      <c r="F112">
        <f>SUMIFS(Quality!$G$2:$G$1247,Quality!$A$2:$A$1247,$A112,Quality!$D$2:$D$1247,"foodwaste_narrative")</f>
        <v/>
      </c>
      <c r="G112">
        <f>SUMIFS(Quality!$G$2:$G$1247,Quality!$A$2:$A$1247,$A112,Quality!$D$2:$D$1247,"foodwaste_visual")</f>
        <v/>
      </c>
      <c r="H112">
        <f>IF(C112&gt;$B$2,1,0)</f>
        <v/>
      </c>
      <c r="I112">
        <f>IF(D112&gt;$B$2,1,0)</f>
        <v/>
      </c>
      <c r="J112">
        <f>IF(E112&lt;$F$2,1,0)</f>
        <v/>
      </c>
      <c r="K112">
        <f>IF(OR(F112&lt;$H$2,G112&lt;$H$2),1,0)</f>
        <v/>
      </c>
      <c r="L112">
        <f>IF(SUM(H112:K112)&gt;0,"Exclude","Keep")</f>
        <v/>
      </c>
      <c r="M112">
        <f>IF(H112=1,"Pre-study accuracy",IF(I112=1,"Post-study accuracy",IF(J112=1,"Eye tracking quality",IF(K112=1,"Face quality",""))))</f>
        <v/>
      </c>
      <c r="N112">
        <f>MAX(C112:D112)</f>
        <v/>
      </c>
      <c r="O112">
        <f>IF(AND(L112="Keep",N112&lt;=$D$2),"Keep","Exclude")</f>
        <v/>
      </c>
      <c r="P112">
        <f>D112-C112</f>
        <v/>
      </c>
    </row>
    <row r="113">
      <c r="A113" t="inlineStr">
        <is>
          <t>RESP0157</t>
        </is>
      </c>
      <c r="B113">
        <f>INDEX(Session!$M$2:$M$261,MATCH($A113,Session!$A$2:$A$261,0))</f>
        <v/>
      </c>
      <c r="C113">
        <f>SUMIFS(Quality!$E$2:$E$1247,Quality!$A$2:$A$1247,$A113,Quality!$D$2:$D$1247,"Pre-study calibration")</f>
        <v/>
      </c>
      <c r="D113">
        <f>SUMIFS(Quality!$E$2:$E$1247,Quality!$A$2:$A$1247,$A113,Quality!$D$2:$D$1247,"Post-study calibration")</f>
        <v/>
      </c>
      <c r="E113">
        <f>SUMIFS(Quality!$F$2:$F$1247,Quality!$A$2:$A$1247,$A113,Quality!$D$2:$D$1247,"infographic")</f>
        <v/>
      </c>
      <c r="F113">
        <f>SUMIFS(Quality!$G$2:$G$1247,Quality!$A$2:$A$1247,$A113,Quality!$D$2:$D$1247,"foodwaste_narrative")</f>
        <v/>
      </c>
      <c r="G113">
        <f>SUMIFS(Quality!$G$2:$G$1247,Quality!$A$2:$A$1247,$A113,Quality!$D$2:$D$1247,"foodwaste_visual")</f>
        <v/>
      </c>
      <c r="H113">
        <f>IF(C113&gt;$B$2,1,0)</f>
        <v/>
      </c>
      <c r="I113">
        <f>IF(D113&gt;$B$2,1,0)</f>
        <v/>
      </c>
      <c r="J113">
        <f>IF(E113&lt;$F$2,1,0)</f>
        <v/>
      </c>
      <c r="K113">
        <f>IF(OR(F113&lt;$H$2,G113&lt;$H$2),1,0)</f>
        <v/>
      </c>
      <c r="L113">
        <f>IF(SUM(H113:K113)&gt;0,"Exclude","Keep")</f>
        <v/>
      </c>
      <c r="M113">
        <f>IF(H113=1,"Pre-study accuracy",IF(I113=1,"Post-study accuracy",IF(J113=1,"Eye tracking quality",IF(K113=1,"Face quality",""))))</f>
        <v/>
      </c>
      <c r="N113">
        <f>MAX(C113:D113)</f>
        <v/>
      </c>
      <c r="O113">
        <f>IF(AND(L113="Keep",N113&lt;=$D$2),"Keep","Exclude")</f>
        <v/>
      </c>
      <c r="P113">
        <f>D113-C113</f>
        <v/>
      </c>
    </row>
    <row r="114">
      <c r="A114" t="inlineStr">
        <is>
          <t>RESP0161</t>
        </is>
      </c>
      <c r="B114">
        <f>INDEX(Session!$M$2:$M$261,MATCH($A114,Session!$A$2:$A$261,0))</f>
        <v/>
      </c>
      <c r="C114">
        <f>SUMIFS(Quality!$E$2:$E$1247,Quality!$A$2:$A$1247,$A114,Quality!$D$2:$D$1247,"Pre-study calibration")</f>
        <v/>
      </c>
      <c r="D114">
        <f>SUMIFS(Quality!$E$2:$E$1247,Quality!$A$2:$A$1247,$A114,Quality!$D$2:$D$1247,"Post-study calibration")</f>
        <v/>
      </c>
      <c r="E114">
        <f>SUMIFS(Quality!$F$2:$F$1247,Quality!$A$2:$A$1247,$A114,Quality!$D$2:$D$1247,"infographic")</f>
        <v/>
      </c>
      <c r="F114">
        <f>SUMIFS(Quality!$G$2:$G$1247,Quality!$A$2:$A$1247,$A114,Quality!$D$2:$D$1247,"foodwaste_narrative")</f>
        <v/>
      </c>
      <c r="G114">
        <f>SUMIFS(Quality!$G$2:$G$1247,Quality!$A$2:$A$1247,$A114,Quality!$D$2:$D$1247,"foodwaste_visual")</f>
        <v/>
      </c>
      <c r="H114">
        <f>IF(C114&gt;$B$2,1,0)</f>
        <v/>
      </c>
      <c r="I114">
        <f>IF(D114&gt;$B$2,1,0)</f>
        <v/>
      </c>
      <c r="J114">
        <f>IF(E114&lt;$F$2,1,0)</f>
        <v/>
      </c>
      <c r="K114">
        <f>IF(OR(F114&lt;$H$2,G114&lt;$H$2),1,0)</f>
        <v/>
      </c>
      <c r="L114">
        <f>IF(SUM(H114:K114)&gt;0,"Exclude","Keep")</f>
        <v/>
      </c>
      <c r="M114">
        <f>IF(H114=1,"Pre-study accuracy",IF(I114=1,"Post-study accuracy",IF(J114=1,"Eye tracking quality",IF(K114=1,"Face quality",""))))</f>
        <v/>
      </c>
      <c r="N114">
        <f>MAX(C114:D114)</f>
        <v/>
      </c>
      <c r="O114">
        <f>IF(AND(L114="Keep",N114&lt;=$D$2),"Keep","Exclude")</f>
        <v/>
      </c>
      <c r="P114">
        <f>D114-C114</f>
        <v/>
      </c>
    </row>
    <row r="115">
      <c r="A115" t="inlineStr">
        <is>
          <t>RESP0163</t>
        </is>
      </c>
      <c r="B115">
        <f>INDEX(Session!$M$2:$M$261,MATCH($A115,Session!$A$2:$A$261,0))</f>
        <v/>
      </c>
      <c r="C115">
        <f>SUMIFS(Quality!$E$2:$E$1247,Quality!$A$2:$A$1247,$A115,Quality!$D$2:$D$1247,"Pre-study calibration")</f>
        <v/>
      </c>
      <c r="D115">
        <f>SUMIFS(Quality!$E$2:$E$1247,Quality!$A$2:$A$1247,$A115,Quality!$D$2:$D$1247,"Post-study calibration")</f>
        <v/>
      </c>
      <c r="E115">
        <f>SUMIFS(Quality!$F$2:$F$1247,Quality!$A$2:$A$1247,$A115,Quality!$D$2:$D$1247,"infographic")</f>
        <v/>
      </c>
      <c r="F115">
        <f>SUMIFS(Quality!$G$2:$G$1247,Quality!$A$2:$A$1247,$A115,Quality!$D$2:$D$1247,"foodwaste_narrative")</f>
        <v/>
      </c>
      <c r="G115">
        <f>SUMIFS(Quality!$G$2:$G$1247,Quality!$A$2:$A$1247,$A115,Quality!$D$2:$D$1247,"foodwaste_visual")</f>
        <v/>
      </c>
      <c r="H115">
        <f>IF(C115&gt;$B$2,1,0)</f>
        <v/>
      </c>
      <c r="I115">
        <f>IF(D115&gt;$B$2,1,0)</f>
        <v/>
      </c>
      <c r="J115">
        <f>IF(E115&lt;$F$2,1,0)</f>
        <v/>
      </c>
      <c r="K115">
        <f>IF(OR(F115&lt;$H$2,G115&lt;$H$2),1,0)</f>
        <v/>
      </c>
      <c r="L115">
        <f>IF(SUM(H115:K115)&gt;0,"Exclude","Keep")</f>
        <v/>
      </c>
      <c r="M115">
        <f>IF(H115=1,"Pre-study accuracy",IF(I115=1,"Post-study accuracy",IF(J115=1,"Eye tracking quality",IF(K115=1,"Face quality",""))))</f>
        <v/>
      </c>
      <c r="N115">
        <f>MAX(C115:D115)</f>
        <v/>
      </c>
      <c r="O115">
        <f>IF(AND(L115="Keep",N115&lt;=$D$2),"Keep","Exclude")</f>
        <v/>
      </c>
      <c r="P115">
        <f>D115-C115</f>
        <v/>
      </c>
    </row>
    <row r="116">
      <c r="A116" t="inlineStr">
        <is>
          <t>RESP0164</t>
        </is>
      </c>
      <c r="B116">
        <f>INDEX(Session!$M$2:$M$261,MATCH($A116,Session!$A$2:$A$261,0))</f>
        <v/>
      </c>
      <c r="C116">
        <f>SUMIFS(Quality!$E$2:$E$1247,Quality!$A$2:$A$1247,$A116,Quality!$D$2:$D$1247,"Pre-study calibration")</f>
        <v/>
      </c>
      <c r="D116">
        <f>SUMIFS(Quality!$E$2:$E$1247,Quality!$A$2:$A$1247,$A116,Quality!$D$2:$D$1247,"Post-study calibration")</f>
        <v/>
      </c>
      <c r="E116">
        <f>SUMIFS(Quality!$F$2:$F$1247,Quality!$A$2:$A$1247,$A116,Quality!$D$2:$D$1247,"infographic")</f>
        <v/>
      </c>
      <c r="F116">
        <f>SUMIFS(Quality!$G$2:$G$1247,Quality!$A$2:$A$1247,$A116,Quality!$D$2:$D$1247,"foodwaste_narrative")</f>
        <v/>
      </c>
      <c r="G116">
        <f>SUMIFS(Quality!$G$2:$G$1247,Quality!$A$2:$A$1247,$A116,Quality!$D$2:$D$1247,"foodwaste_visual")</f>
        <v/>
      </c>
      <c r="H116">
        <f>IF(C116&gt;$B$2,1,0)</f>
        <v/>
      </c>
      <c r="I116">
        <f>IF(D116&gt;$B$2,1,0)</f>
        <v/>
      </c>
      <c r="J116">
        <f>IF(E116&lt;$F$2,1,0)</f>
        <v/>
      </c>
      <c r="K116">
        <f>IF(OR(F116&lt;$H$2,G116&lt;$H$2),1,0)</f>
        <v/>
      </c>
      <c r="L116">
        <f>IF(SUM(H116:K116)&gt;0,"Exclude","Keep")</f>
        <v/>
      </c>
      <c r="M116">
        <f>IF(H116=1,"Pre-study accuracy",IF(I116=1,"Post-study accuracy",IF(J116=1,"Eye tracking quality",IF(K116=1,"Face quality",""))))</f>
        <v/>
      </c>
      <c r="N116">
        <f>MAX(C116:D116)</f>
        <v/>
      </c>
      <c r="O116">
        <f>IF(AND(L116="Keep",N116&lt;=$D$2),"Keep","Exclude")</f>
        <v/>
      </c>
      <c r="P116">
        <f>D116-C116</f>
        <v/>
      </c>
    </row>
    <row r="117">
      <c r="A117" t="inlineStr">
        <is>
          <t>RESP0165</t>
        </is>
      </c>
      <c r="B117">
        <f>INDEX(Session!$M$2:$M$261,MATCH($A117,Session!$A$2:$A$261,0))</f>
        <v/>
      </c>
      <c r="C117">
        <f>SUMIFS(Quality!$E$2:$E$1247,Quality!$A$2:$A$1247,$A117,Quality!$D$2:$D$1247,"Pre-study calibration")</f>
        <v/>
      </c>
      <c r="D117">
        <f>SUMIFS(Quality!$E$2:$E$1247,Quality!$A$2:$A$1247,$A117,Quality!$D$2:$D$1247,"Post-study calibration")</f>
        <v/>
      </c>
      <c r="E117">
        <f>SUMIFS(Quality!$F$2:$F$1247,Quality!$A$2:$A$1247,$A117,Quality!$D$2:$D$1247,"infographic")</f>
        <v/>
      </c>
      <c r="F117">
        <f>SUMIFS(Quality!$G$2:$G$1247,Quality!$A$2:$A$1247,$A117,Quality!$D$2:$D$1247,"foodwaste_narrative")</f>
        <v/>
      </c>
      <c r="G117">
        <f>SUMIFS(Quality!$G$2:$G$1247,Quality!$A$2:$A$1247,$A117,Quality!$D$2:$D$1247,"foodwaste_visual")</f>
        <v/>
      </c>
      <c r="H117">
        <f>IF(C117&gt;$B$2,1,0)</f>
        <v/>
      </c>
      <c r="I117">
        <f>IF(D117&gt;$B$2,1,0)</f>
        <v/>
      </c>
      <c r="J117">
        <f>IF(E117&lt;$F$2,1,0)</f>
        <v/>
      </c>
      <c r="K117">
        <f>IF(OR(F117&lt;$H$2,G117&lt;$H$2),1,0)</f>
        <v/>
      </c>
      <c r="L117">
        <f>IF(SUM(H117:K117)&gt;0,"Exclude","Keep")</f>
        <v/>
      </c>
      <c r="M117">
        <f>IF(H117=1,"Pre-study accuracy",IF(I117=1,"Post-study accuracy",IF(J117=1,"Eye tracking quality",IF(K117=1,"Face quality",""))))</f>
        <v/>
      </c>
      <c r="N117">
        <f>MAX(C117:D117)</f>
        <v/>
      </c>
      <c r="O117">
        <f>IF(AND(L117="Keep",N117&lt;=$D$2),"Keep","Exclude")</f>
        <v/>
      </c>
      <c r="P117">
        <f>D117-C117</f>
        <v/>
      </c>
    </row>
    <row r="118">
      <c r="A118" t="inlineStr">
        <is>
          <t>RESP0166</t>
        </is>
      </c>
      <c r="B118">
        <f>INDEX(Session!$M$2:$M$261,MATCH($A118,Session!$A$2:$A$261,0))</f>
        <v/>
      </c>
      <c r="C118">
        <f>SUMIFS(Quality!$E$2:$E$1247,Quality!$A$2:$A$1247,$A118,Quality!$D$2:$D$1247,"Pre-study calibration")</f>
        <v/>
      </c>
      <c r="D118">
        <f>SUMIFS(Quality!$E$2:$E$1247,Quality!$A$2:$A$1247,$A118,Quality!$D$2:$D$1247,"Post-study calibration")</f>
        <v/>
      </c>
      <c r="E118">
        <f>SUMIFS(Quality!$F$2:$F$1247,Quality!$A$2:$A$1247,$A118,Quality!$D$2:$D$1247,"infographic")</f>
        <v/>
      </c>
      <c r="F118">
        <f>SUMIFS(Quality!$G$2:$G$1247,Quality!$A$2:$A$1247,$A118,Quality!$D$2:$D$1247,"foodwaste_narrative")</f>
        <v/>
      </c>
      <c r="G118">
        <f>SUMIFS(Quality!$G$2:$G$1247,Quality!$A$2:$A$1247,$A118,Quality!$D$2:$D$1247,"foodwaste_visual")</f>
        <v/>
      </c>
      <c r="H118">
        <f>IF(C118&gt;$B$2,1,0)</f>
        <v/>
      </c>
      <c r="I118">
        <f>IF(D118&gt;$B$2,1,0)</f>
        <v/>
      </c>
      <c r="J118">
        <f>IF(E118&lt;$F$2,1,0)</f>
        <v/>
      </c>
      <c r="K118">
        <f>IF(OR(F118&lt;$H$2,G118&lt;$H$2),1,0)</f>
        <v/>
      </c>
      <c r="L118">
        <f>IF(SUM(H118:K118)&gt;0,"Exclude","Keep")</f>
        <v/>
      </c>
      <c r="M118">
        <f>IF(H118=1,"Pre-study accuracy",IF(I118=1,"Post-study accuracy",IF(J118=1,"Eye tracking quality",IF(K118=1,"Face quality",""))))</f>
        <v/>
      </c>
      <c r="N118">
        <f>MAX(C118:D118)</f>
        <v/>
      </c>
      <c r="O118">
        <f>IF(AND(L118="Keep",N118&lt;=$D$2),"Keep","Exclude")</f>
        <v/>
      </c>
      <c r="P118">
        <f>D118-C118</f>
        <v/>
      </c>
    </row>
    <row r="119">
      <c r="A119" t="inlineStr">
        <is>
          <t>RESP0167</t>
        </is>
      </c>
      <c r="B119">
        <f>INDEX(Session!$M$2:$M$261,MATCH($A119,Session!$A$2:$A$261,0))</f>
        <v/>
      </c>
      <c r="C119">
        <f>SUMIFS(Quality!$E$2:$E$1247,Quality!$A$2:$A$1247,$A119,Quality!$D$2:$D$1247,"Pre-study calibration")</f>
        <v/>
      </c>
      <c r="D119">
        <f>SUMIFS(Quality!$E$2:$E$1247,Quality!$A$2:$A$1247,$A119,Quality!$D$2:$D$1247,"Post-study calibration")</f>
        <v/>
      </c>
      <c r="E119">
        <f>SUMIFS(Quality!$F$2:$F$1247,Quality!$A$2:$A$1247,$A119,Quality!$D$2:$D$1247,"infographic")</f>
        <v/>
      </c>
      <c r="F119">
        <f>SUMIFS(Quality!$G$2:$G$1247,Quality!$A$2:$A$1247,$A119,Quality!$D$2:$D$1247,"foodwaste_narrative")</f>
        <v/>
      </c>
      <c r="G119">
        <f>SUMIFS(Quality!$G$2:$G$1247,Quality!$A$2:$A$1247,$A119,Quality!$D$2:$D$1247,"foodwaste_visual")</f>
        <v/>
      </c>
      <c r="H119">
        <f>IF(C119&gt;$B$2,1,0)</f>
        <v/>
      </c>
      <c r="I119">
        <f>IF(D119&gt;$B$2,1,0)</f>
        <v/>
      </c>
      <c r="J119">
        <f>IF(E119&lt;$F$2,1,0)</f>
        <v/>
      </c>
      <c r="K119">
        <f>IF(OR(F119&lt;$H$2,G119&lt;$H$2),1,0)</f>
        <v/>
      </c>
      <c r="L119">
        <f>IF(SUM(H119:K119)&gt;0,"Exclude","Keep")</f>
        <v/>
      </c>
      <c r="M119">
        <f>IF(H119=1,"Pre-study accuracy",IF(I119=1,"Post-study accuracy",IF(J119=1,"Eye tracking quality",IF(K119=1,"Face quality",""))))</f>
        <v/>
      </c>
      <c r="N119">
        <f>MAX(C119:D119)</f>
        <v/>
      </c>
      <c r="O119">
        <f>IF(AND(L119="Keep",N119&lt;=$D$2),"Keep","Exclude")</f>
        <v/>
      </c>
      <c r="P119">
        <f>D119-C119</f>
        <v/>
      </c>
    </row>
    <row r="120">
      <c r="A120" t="inlineStr">
        <is>
          <t>RESP0168</t>
        </is>
      </c>
      <c r="B120">
        <f>INDEX(Session!$M$2:$M$261,MATCH($A120,Session!$A$2:$A$261,0))</f>
        <v/>
      </c>
      <c r="C120">
        <f>SUMIFS(Quality!$E$2:$E$1247,Quality!$A$2:$A$1247,$A120,Quality!$D$2:$D$1247,"Pre-study calibration")</f>
        <v/>
      </c>
      <c r="D120">
        <f>SUMIFS(Quality!$E$2:$E$1247,Quality!$A$2:$A$1247,$A120,Quality!$D$2:$D$1247,"Post-study calibration")</f>
        <v/>
      </c>
      <c r="E120">
        <f>SUMIFS(Quality!$F$2:$F$1247,Quality!$A$2:$A$1247,$A120,Quality!$D$2:$D$1247,"infographic")</f>
        <v/>
      </c>
      <c r="F120">
        <f>SUMIFS(Quality!$G$2:$G$1247,Quality!$A$2:$A$1247,$A120,Quality!$D$2:$D$1247,"foodwaste_narrative")</f>
        <v/>
      </c>
      <c r="G120">
        <f>SUMIFS(Quality!$G$2:$G$1247,Quality!$A$2:$A$1247,$A120,Quality!$D$2:$D$1247,"foodwaste_visual")</f>
        <v/>
      </c>
      <c r="H120">
        <f>IF(C120&gt;$B$2,1,0)</f>
        <v/>
      </c>
      <c r="I120">
        <f>IF(D120&gt;$B$2,1,0)</f>
        <v/>
      </c>
      <c r="J120">
        <f>IF(E120&lt;$F$2,1,0)</f>
        <v/>
      </c>
      <c r="K120">
        <f>IF(OR(F120&lt;$H$2,G120&lt;$H$2),1,0)</f>
        <v/>
      </c>
      <c r="L120">
        <f>IF(SUM(H120:K120)&gt;0,"Exclude","Keep")</f>
        <v/>
      </c>
      <c r="M120">
        <f>IF(H120=1,"Pre-study accuracy",IF(I120=1,"Post-study accuracy",IF(J120=1,"Eye tracking quality",IF(K120=1,"Face quality",""))))</f>
        <v/>
      </c>
      <c r="N120">
        <f>MAX(C120:D120)</f>
        <v/>
      </c>
      <c r="O120">
        <f>IF(AND(L120="Keep",N120&lt;=$D$2),"Keep","Exclude")</f>
        <v/>
      </c>
      <c r="P120">
        <f>D120-C120</f>
        <v/>
      </c>
    </row>
    <row r="121">
      <c r="A121" t="inlineStr">
        <is>
          <t>RESP0169</t>
        </is>
      </c>
      <c r="B121">
        <f>INDEX(Session!$M$2:$M$261,MATCH($A121,Session!$A$2:$A$261,0))</f>
        <v/>
      </c>
      <c r="C121">
        <f>SUMIFS(Quality!$E$2:$E$1247,Quality!$A$2:$A$1247,$A121,Quality!$D$2:$D$1247,"Pre-study calibration")</f>
        <v/>
      </c>
      <c r="D121">
        <f>SUMIFS(Quality!$E$2:$E$1247,Quality!$A$2:$A$1247,$A121,Quality!$D$2:$D$1247,"Post-study calibration")</f>
        <v/>
      </c>
      <c r="E121">
        <f>SUMIFS(Quality!$F$2:$F$1247,Quality!$A$2:$A$1247,$A121,Quality!$D$2:$D$1247,"infographic")</f>
        <v/>
      </c>
      <c r="F121">
        <f>SUMIFS(Quality!$G$2:$G$1247,Quality!$A$2:$A$1247,$A121,Quality!$D$2:$D$1247,"foodwaste_narrative")</f>
        <v/>
      </c>
      <c r="G121">
        <f>SUMIFS(Quality!$G$2:$G$1247,Quality!$A$2:$A$1247,$A121,Quality!$D$2:$D$1247,"foodwaste_visual")</f>
        <v/>
      </c>
      <c r="H121">
        <f>IF(C121&gt;$B$2,1,0)</f>
        <v/>
      </c>
      <c r="I121">
        <f>IF(D121&gt;$B$2,1,0)</f>
        <v/>
      </c>
      <c r="J121">
        <f>IF(E121&lt;$F$2,1,0)</f>
        <v/>
      </c>
      <c r="K121">
        <f>IF(OR(F121&lt;$H$2,G121&lt;$H$2),1,0)</f>
        <v/>
      </c>
      <c r="L121">
        <f>IF(SUM(H121:K121)&gt;0,"Exclude","Keep")</f>
        <v/>
      </c>
      <c r="M121">
        <f>IF(H121=1,"Pre-study accuracy",IF(I121=1,"Post-study accuracy",IF(J121=1,"Eye tracking quality",IF(K121=1,"Face quality",""))))</f>
        <v/>
      </c>
      <c r="N121">
        <f>MAX(C121:D121)</f>
        <v/>
      </c>
      <c r="O121">
        <f>IF(AND(L121="Keep",N121&lt;=$D$2),"Keep","Exclude")</f>
        <v/>
      </c>
      <c r="P121">
        <f>D121-C121</f>
        <v/>
      </c>
    </row>
    <row r="122">
      <c r="A122" t="inlineStr">
        <is>
          <t>RESP0170</t>
        </is>
      </c>
      <c r="B122">
        <f>INDEX(Session!$M$2:$M$261,MATCH($A122,Session!$A$2:$A$261,0))</f>
        <v/>
      </c>
      <c r="C122">
        <f>SUMIFS(Quality!$E$2:$E$1247,Quality!$A$2:$A$1247,$A122,Quality!$D$2:$D$1247,"Pre-study calibration")</f>
        <v/>
      </c>
      <c r="D122">
        <f>SUMIFS(Quality!$E$2:$E$1247,Quality!$A$2:$A$1247,$A122,Quality!$D$2:$D$1247,"Post-study calibration")</f>
        <v/>
      </c>
      <c r="E122">
        <f>SUMIFS(Quality!$F$2:$F$1247,Quality!$A$2:$A$1247,$A122,Quality!$D$2:$D$1247,"infographic")</f>
        <v/>
      </c>
      <c r="F122">
        <f>SUMIFS(Quality!$G$2:$G$1247,Quality!$A$2:$A$1247,$A122,Quality!$D$2:$D$1247,"foodwaste_narrative")</f>
        <v/>
      </c>
      <c r="G122">
        <f>SUMIFS(Quality!$G$2:$G$1247,Quality!$A$2:$A$1247,$A122,Quality!$D$2:$D$1247,"foodwaste_visual")</f>
        <v/>
      </c>
      <c r="H122">
        <f>IF(C122&gt;$B$2,1,0)</f>
        <v/>
      </c>
      <c r="I122">
        <f>IF(D122&gt;$B$2,1,0)</f>
        <v/>
      </c>
      <c r="J122">
        <f>IF(E122&lt;$F$2,1,0)</f>
        <v/>
      </c>
      <c r="K122">
        <f>IF(OR(F122&lt;$H$2,G122&lt;$H$2),1,0)</f>
        <v/>
      </c>
      <c r="L122">
        <f>IF(SUM(H122:K122)&gt;0,"Exclude","Keep")</f>
        <v/>
      </c>
      <c r="M122">
        <f>IF(H122=1,"Pre-study accuracy",IF(I122=1,"Post-study accuracy",IF(J122=1,"Eye tracking quality",IF(K122=1,"Face quality",""))))</f>
        <v/>
      </c>
      <c r="N122">
        <f>MAX(C122:D122)</f>
        <v/>
      </c>
      <c r="O122">
        <f>IF(AND(L122="Keep",N122&lt;=$D$2),"Keep","Exclude")</f>
        <v/>
      </c>
      <c r="P122">
        <f>D122-C122</f>
        <v/>
      </c>
    </row>
    <row r="123">
      <c r="A123" t="inlineStr">
        <is>
          <t>RESP0173</t>
        </is>
      </c>
      <c r="B123">
        <f>INDEX(Session!$M$2:$M$261,MATCH($A123,Session!$A$2:$A$261,0))</f>
        <v/>
      </c>
      <c r="C123">
        <f>SUMIFS(Quality!$E$2:$E$1247,Quality!$A$2:$A$1247,$A123,Quality!$D$2:$D$1247,"Pre-study calibration")</f>
        <v/>
      </c>
      <c r="D123">
        <f>SUMIFS(Quality!$E$2:$E$1247,Quality!$A$2:$A$1247,$A123,Quality!$D$2:$D$1247,"Post-study calibration")</f>
        <v/>
      </c>
      <c r="E123">
        <f>SUMIFS(Quality!$F$2:$F$1247,Quality!$A$2:$A$1247,$A123,Quality!$D$2:$D$1247,"infographic")</f>
        <v/>
      </c>
      <c r="F123">
        <f>SUMIFS(Quality!$G$2:$G$1247,Quality!$A$2:$A$1247,$A123,Quality!$D$2:$D$1247,"foodwaste_narrative")</f>
        <v/>
      </c>
      <c r="G123">
        <f>SUMIFS(Quality!$G$2:$G$1247,Quality!$A$2:$A$1247,$A123,Quality!$D$2:$D$1247,"foodwaste_visual")</f>
        <v/>
      </c>
      <c r="H123">
        <f>IF(C123&gt;$B$2,1,0)</f>
        <v/>
      </c>
      <c r="I123">
        <f>IF(D123&gt;$B$2,1,0)</f>
        <v/>
      </c>
      <c r="J123">
        <f>IF(E123&lt;$F$2,1,0)</f>
        <v/>
      </c>
      <c r="K123">
        <f>IF(OR(F123&lt;$H$2,G123&lt;$H$2),1,0)</f>
        <v/>
      </c>
      <c r="L123">
        <f>IF(SUM(H123:K123)&gt;0,"Exclude","Keep")</f>
        <v/>
      </c>
      <c r="M123">
        <f>IF(H123=1,"Pre-study accuracy",IF(I123=1,"Post-study accuracy",IF(J123=1,"Eye tracking quality",IF(K123=1,"Face quality",""))))</f>
        <v/>
      </c>
      <c r="N123">
        <f>MAX(C123:D123)</f>
        <v/>
      </c>
      <c r="O123">
        <f>IF(AND(L123="Keep",N123&lt;=$D$2),"Keep","Exclude")</f>
        <v/>
      </c>
      <c r="P123">
        <f>D123-C123</f>
        <v/>
      </c>
    </row>
    <row r="124">
      <c r="A124" t="inlineStr">
        <is>
          <t>RESP0174</t>
        </is>
      </c>
      <c r="B124">
        <f>INDEX(Session!$M$2:$M$261,MATCH($A124,Session!$A$2:$A$261,0))</f>
        <v/>
      </c>
      <c r="C124">
        <f>SUMIFS(Quality!$E$2:$E$1247,Quality!$A$2:$A$1247,$A124,Quality!$D$2:$D$1247,"Pre-study calibration")</f>
        <v/>
      </c>
      <c r="D124">
        <f>SUMIFS(Quality!$E$2:$E$1247,Quality!$A$2:$A$1247,$A124,Quality!$D$2:$D$1247,"Post-study calibration")</f>
        <v/>
      </c>
      <c r="E124">
        <f>SUMIFS(Quality!$F$2:$F$1247,Quality!$A$2:$A$1247,$A124,Quality!$D$2:$D$1247,"infographic")</f>
        <v/>
      </c>
      <c r="F124">
        <f>SUMIFS(Quality!$G$2:$G$1247,Quality!$A$2:$A$1247,$A124,Quality!$D$2:$D$1247,"foodwaste_narrative")</f>
        <v/>
      </c>
      <c r="G124">
        <f>SUMIFS(Quality!$G$2:$G$1247,Quality!$A$2:$A$1247,$A124,Quality!$D$2:$D$1247,"foodwaste_visual")</f>
        <v/>
      </c>
      <c r="H124">
        <f>IF(C124&gt;$B$2,1,0)</f>
        <v/>
      </c>
      <c r="I124">
        <f>IF(D124&gt;$B$2,1,0)</f>
        <v/>
      </c>
      <c r="J124">
        <f>IF(E124&lt;$F$2,1,0)</f>
        <v/>
      </c>
      <c r="K124">
        <f>IF(OR(F124&lt;$H$2,G124&lt;$H$2),1,0)</f>
        <v/>
      </c>
      <c r="L124">
        <f>IF(SUM(H124:K124)&gt;0,"Exclude","Keep")</f>
        <v/>
      </c>
      <c r="M124">
        <f>IF(H124=1,"Pre-study accuracy",IF(I124=1,"Post-study accuracy",IF(J124=1,"Eye tracking quality",IF(K124=1,"Face quality",""))))</f>
        <v/>
      </c>
      <c r="N124">
        <f>MAX(C124:D124)</f>
        <v/>
      </c>
      <c r="O124">
        <f>IF(AND(L124="Keep",N124&lt;=$D$2),"Keep","Exclude")</f>
        <v/>
      </c>
      <c r="P124">
        <f>D124-C124</f>
        <v/>
      </c>
    </row>
    <row r="125">
      <c r="A125" t="inlineStr">
        <is>
          <t>RESP0175</t>
        </is>
      </c>
      <c r="B125">
        <f>INDEX(Session!$M$2:$M$261,MATCH($A125,Session!$A$2:$A$261,0))</f>
        <v/>
      </c>
      <c r="C125">
        <f>SUMIFS(Quality!$E$2:$E$1247,Quality!$A$2:$A$1247,$A125,Quality!$D$2:$D$1247,"Pre-study calibration")</f>
        <v/>
      </c>
      <c r="D125">
        <f>SUMIFS(Quality!$E$2:$E$1247,Quality!$A$2:$A$1247,$A125,Quality!$D$2:$D$1247,"Post-study calibration")</f>
        <v/>
      </c>
      <c r="E125">
        <f>SUMIFS(Quality!$F$2:$F$1247,Quality!$A$2:$A$1247,$A125,Quality!$D$2:$D$1247,"infographic")</f>
        <v/>
      </c>
      <c r="F125">
        <f>SUMIFS(Quality!$G$2:$G$1247,Quality!$A$2:$A$1247,$A125,Quality!$D$2:$D$1247,"foodwaste_narrative")</f>
        <v/>
      </c>
      <c r="G125">
        <f>SUMIFS(Quality!$G$2:$G$1247,Quality!$A$2:$A$1247,$A125,Quality!$D$2:$D$1247,"foodwaste_visual")</f>
        <v/>
      </c>
      <c r="H125">
        <f>IF(C125&gt;$B$2,1,0)</f>
        <v/>
      </c>
      <c r="I125">
        <f>IF(D125&gt;$B$2,1,0)</f>
        <v/>
      </c>
      <c r="J125">
        <f>IF(E125&lt;$F$2,1,0)</f>
        <v/>
      </c>
      <c r="K125">
        <f>IF(OR(F125&lt;$H$2,G125&lt;$H$2),1,0)</f>
        <v/>
      </c>
      <c r="L125">
        <f>IF(SUM(H125:K125)&gt;0,"Exclude","Keep")</f>
        <v/>
      </c>
      <c r="M125">
        <f>IF(H125=1,"Pre-study accuracy",IF(I125=1,"Post-study accuracy",IF(J125=1,"Eye tracking quality",IF(K125=1,"Face quality",""))))</f>
        <v/>
      </c>
      <c r="N125">
        <f>MAX(C125:D125)</f>
        <v/>
      </c>
      <c r="O125">
        <f>IF(AND(L125="Keep",N125&lt;=$D$2),"Keep","Exclude")</f>
        <v/>
      </c>
      <c r="P125">
        <f>D125-C125</f>
        <v/>
      </c>
    </row>
    <row r="126">
      <c r="A126" t="inlineStr">
        <is>
          <t>RESP0176</t>
        </is>
      </c>
      <c r="B126">
        <f>INDEX(Session!$M$2:$M$261,MATCH($A126,Session!$A$2:$A$261,0))</f>
        <v/>
      </c>
      <c r="C126">
        <f>SUMIFS(Quality!$E$2:$E$1247,Quality!$A$2:$A$1247,$A126,Quality!$D$2:$D$1247,"Pre-study calibration")</f>
        <v/>
      </c>
      <c r="D126">
        <f>SUMIFS(Quality!$E$2:$E$1247,Quality!$A$2:$A$1247,$A126,Quality!$D$2:$D$1247,"Post-study calibration")</f>
        <v/>
      </c>
      <c r="E126">
        <f>SUMIFS(Quality!$F$2:$F$1247,Quality!$A$2:$A$1247,$A126,Quality!$D$2:$D$1247,"infographic")</f>
        <v/>
      </c>
      <c r="F126">
        <f>SUMIFS(Quality!$G$2:$G$1247,Quality!$A$2:$A$1247,$A126,Quality!$D$2:$D$1247,"foodwaste_narrative")</f>
        <v/>
      </c>
      <c r="G126">
        <f>SUMIFS(Quality!$G$2:$G$1247,Quality!$A$2:$A$1247,$A126,Quality!$D$2:$D$1247,"foodwaste_visual")</f>
        <v/>
      </c>
      <c r="H126">
        <f>IF(C126&gt;$B$2,1,0)</f>
        <v/>
      </c>
      <c r="I126">
        <f>IF(D126&gt;$B$2,1,0)</f>
        <v/>
      </c>
      <c r="J126">
        <f>IF(E126&lt;$F$2,1,0)</f>
        <v/>
      </c>
      <c r="K126">
        <f>IF(OR(F126&lt;$H$2,G126&lt;$H$2),1,0)</f>
        <v/>
      </c>
      <c r="L126">
        <f>IF(SUM(H126:K126)&gt;0,"Exclude","Keep")</f>
        <v/>
      </c>
      <c r="M126">
        <f>IF(H126=1,"Pre-study accuracy",IF(I126=1,"Post-study accuracy",IF(J126=1,"Eye tracking quality",IF(K126=1,"Face quality",""))))</f>
        <v/>
      </c>
      <c r="N126">
        <f>MAX(C126:D126)</f>
        <v/>
      </c>
      <c r="O126">
        <f>IF(AND(L126="Keep",N126&lt;=$D$2),"Keep","Exclude")</f>
        <v/>
      </c>
      <c r="P126">
        <f>D126-C126</f>
        <v/>
      </c>
    </row>
    <row r="127">
      <c r="A127" t="inlineStr">
        <is>
          <t>RESP0177</t>
        </is>
      </c>
      <c r="B127">
        <f>INDEX(Session!$M$2:$M$261,MATCH($A127,Session!$A$2:$A$261,0))</f>
        <v/>
      </c>
      <c r="C127">
        <f>SUMIFS(Quality!$E$2:$E$1247,Quality!$A$2:$A$1247,$A127,Quality!$D$2:$D$1247,"Pre-study calibration")</f>
        <v/>
      </c>
      <c r="D127">
        <f>SUMIFS(Quality!$E$2:$E$1247,Quality!$A$2:$A$1247,$A127,Quality!$D$2:$D$1247,"Post-study calibration")</f>
        <v/>
      </c>
      <c r="E127">
        <f>SUMIFS(Quality!$F$2:$F$1247,Quality!$A$2:$A$1247,$A127,Quality!$D$2:$D$1247,"infographic")</f>
        <v/>
      </c>
      <c r="F127">
        <f>SUMIFS(Quality!$G$2:$G$1247,Quality!$A$2:$A$1247,$A127,Quality!$D$2:$D$1247,"foodwaste_narrative")</f>
        <v/>
      </c>
      <c r="G127">
        <f>SUMIFS(Quality!$G$2:$G$1247,Quality!$A$2:$A$1247,$A127,Quality!$D$2:$D$1247,"foodwaste_visual")</f>
        <v/>
      </c>
      <c r="H127">
        <f>IF(C127&gt;$B$2,1,0)</f>
        <v/>
      </c>
      <c r="I127">
        <f>IF(D127&gt;$B$2,1,0)</f>
        <v/>
      </c>
      <c r="J127">
        <f>IF(E127&lt;$F$2,1,0)</f>
        <v/>
      </c>
      <c r="K127">
        <f>IF(OR(F127&lt;$H$2,G127&lt;$H$2),1,0)</f>
        <v/>
      </c>
      <c r="L127">
        <f>IF(SUM(H127:K127)&gt;0,"Exclude","Keep")</f>
        <v/>
      </c>
      <c r="M127">
        <f>IF(H127=1,"Pre-study accuracy",IF(I127=1,"Post-study accuracy",IF(J127=1,"Eye tracking quality",IF(K127=1,"Face quality",""))))</f>
        <v/>
      </c>
      <c r="N127">
        <f>MAX(C127:D127)</f>
        <v/>
      </c>
      <c r="O127">
        <f>IF(AND(L127="Keep",N127&lt;=$D$2),"Keep","Exclude")</f>
        <v/>
      </c>
      <c r="P127">
        <f>D127-C127</f>
        <v/>
      </c>
    </row>
    <row r="128">
      <c r="A128" t="inlineStr">
        <is>
          <t>RESP0178</t>
        </is>
      </c>
      <c r="B128">
        <f>INDEX(Session!$M$2:$M$261,MATCH($A128,Session!$A$2:$A$261,0))</f>
        <v/>
      </c>
      <c r="C128">
        <f>SUMIFS(Quality!$E$2:$E$1247,Quality!$A$2:$A$1247,$A128,Quality!$D$2:$D$1247,"Pre-study calibration")</f>
        <v/>
      </c>
      <c r="D128">
        <f>SUMIFS(Quality!$E$2:$E$1247,Quality!$A$2:$A$1247,$A128,Quality!$D$2:$D$1247,"Post-study calibration")</f>
        <v/>
      </c>
      <c r="E128">
        <f>SUMIFS(Quality!$F$2:$F$1247,Quality!$A$2:$A$1247,$A128,Quality!$D$2:$D$1247,"infographic")</f>
        <v/>
      </c>
      <c r="F128">
        <f>SUMIFS(Quality!$G$2:$G$1247,Quality!$A$2:$A$1247,$A128,Quality!$D$2:$D$1247,"foodwaste_narrative")</f>
        <v/>
      </c>
      <c r="G128">
        <f>SUMIFS(Quality!$G$2:$G$1247,Quality!$A$2:$A$1247,$A128,Quality!$D$2:$D$1247,"foodwaste_visual")</f>
        <v/>
      </c>
      <c r="H128">
        <f>IF(C128&gt;$B$2,1,0)</f>
        <v/>
      </c>
      <c r="I128">
        <f>IF(D128&gt;$B$2,1,0)</f>
        <v/>
      </c>
      <c r="J128">
        <f>IF(E128&lt;$F$2,1,0)</f>
        <v/>
      </c>
      <c r="K128">
        <f>IF(OR(F128&lt;$H$2,G128&lt;$H$2),1,0)</f>
        <v/>
      </c>
      <c r="L128">
        <f>IF(SUM(H128:K128)&gt;0,"Exclude","Keep")</f>
        <v/>
      </c>
      <c r="M128">
        <f>IF(H128=1,"Pre-study accuracy",IF(I128=1,"Post-study accuracy",IF(J128=1,"Eye tracking quality",IF(K128=1,"Face quality",""))))</f>
        <v/>
      </c>
      <c r="N128">
        <f>MAX(C128:D128)</f>
        <v/>
      </c>
      <c r="O128">
        <f>IF(AND(L128="Keep",N128&lt;=$D$2),"Keep","Exclude")</f>
        <v/>
      </c>
      <c r="P128">
        <f>D128-C128</f>
        <v/>
      </c>
    </row>
    <row r="129">
      <c r="A129" t="inlineStr">
        <is>
          <t>RESP0179</t>
        </is>
      </c>
      <c r="B129">
        <f>INDEX(Session!$M$2:$M$261,MATCH($A129,Session!$A$2:$A$261,0))</f>
        <v/>
      </c>
      <c r="C129">
        <f>SUMIFS(Quality!$E$2:$E$1247,Quality!$A$2:$A$1247,$A129,Quality!$D$2:$D$1247,"Pre-study calibration")</f>
        <v/>
      </c>
      <c r="D129">
        <f>SUMIFS(Quality!$E$2:$E$1247,Quality!$A$2:$A$1247,$A129,Quality!$D$2:$D$1247,"Post-study calibration")</f>
        <v/>
      </c>
      <c r="E129">
        <f>SUMIFS(Quality!$F$2:$F$1247,Quality!$A$2:$A$1247,$A129,Quality!$D$2:$D$1247,"infographic")</f>
        <v/>
      </c>
      <c r="F129">
        <f>SUMIFS(Quality!$G$2:$G$1247,Quality!$A$2:$A$1247,$A129,Quality!$D$2:$D$1247,"foodwaste_narrative")</f>
        <v/>
      </c>
      <c r="G129">
        <f>SUMIFS(Quality!$G$2:$G$1247,Quality!$A$2:$A$1247,$A129,Quality!$D$2:$D$1247,"foodwaste_visual")</f>
        <v/>
      </c>
      <c r="H129">
        <f>IF(C129&gt;$B$2,1,0)</f>
        <v/>
      </c>
      <c r="I129">
        <f>IF(D129&gt;$B$2,1,0)</f>
        <v/>
      </c>
      <c r="J129">
        <f>IF(E129&lt;$F$2,1,0)</f>
        <v/>
      </c>
      <c r="K129">
        <f>IF(OR(F129&lt;$H$2,G129&lt;$H$2),1,0)</f>
        <v/>
      </c>
      <c r="L129">
        <f>IF(SUM(H129:K129)&gt;0,"Exclude","Keep")</f>
        <v/>
      </c>
      <c r="M129">
        <f>IF(H129=1,"Pre-study accuracy",IF(I129=1,"Post-study accuracy",IF(J129=1,"Eye tracking quality",IF(K129=1,"Face quality",""))))</f>
        <v/>
      </c>
      <c r="N129">
        <f>MAX(C129:D129)</f>
        <v/>
      </c>
      <c r="O129">
        <f>IF(AND(L129="Keep",N129&lt;=$D$2),"Keep","Exclude")</f>
        <v/>
      </c>
      <c r="P129">
        <f>D129-C129</f>
        <v/>
      </c>
    </row>
    <row r="130">
      <c r="A130" t="inlineStr">
        <is>
          <t>RESP0180</t>
        </is>
      </c>
      <c r="B130">
        <f>INDEX(Session!$M$2:$M$261,MATCH($A130,Session!$A$2:$A$261,0))</f>
        <v/>
      </c>
      <c r="C130">
        <f>SUMIFS(Quality!$E$2:$E$1247,Quality!$A$2:$A$1247,$A130,Quality!$D$2:$D$1247,"Pre-study calibration")</f>
        <v/>
      </c>
      <c r="D130">
        <f>SUMIFS(Quality!$E$2:$E$1247,Quality!$A$2:$A$1247,$A130,Quality!$D$2:$D$1247,"Post-study calibration")</f>
        <v/>
      </c>
      <c r="E130">
        <f>SUMIFS(Quality!$F$2:$F$1247,Quality!$A$2:$A$1247,$A130,Quality!$D$2:$D$1247,"infographic")</f>
        <v/>
      </c>
      <c r="F130">
        <f>SUMIFS(Quality!$G$2:$G$1247,Quality!$A$2:$A$1247,$A130,Quality!$D$2:$D$1247,"foodwaste_narrative")</f>
        <v/>
      </c>
      <c r="G130">
        <f>SUMIFS(Quality!$G$2:$G$1247,Quality!$A$2:$A$1247,$A130,Quality!$D$2:$D$1247,"foodwaste_visual")</f>
        <v/>
      </c>
      <c r="H130">
        <f>IF(C130&gt;$B$2,1,0)</f>
        <v/>
      </c>
      <c r="I130">
        <f>IF(D130&gt;$B$2,1,0)</f>
        <v/>
      </c>
      <c r="J130">
        <f>IF(E130&lt;$F$2,1,0)</f>
        <v/>
      </c>
      <c r="K130">
        <f>IF(OR(F130&lt;$H$2,G130&lt;$H$2),1,0)</f>
        <v/>
      </c>
      <c r="L130">
        <f>IF(SUM(H130:K130)&gt;0,"Exclude","Keep")</f>
        <v/>
      </c>
      <c r="M130">
        <f>IF(H130=1,"Pre-study accuracy",IF(I130=1,"Post-study accuracy",IF(J130=1,"Eye tracking quality",IF(K130=1,"Face quality",""))))</f>
        <v/>
      </c>
      <c r="N130">
        <f>MAX(C130:D130)</f>
        <v/>
      </c>
      <c r="O130">
        <f>IF(AND(L130="Keep",N130&lt;=$D$2),"Keep","Exclude")</f>
        <v/>
      </c>
      <c r="P130">
        <f>D130-C130</f>
        <v/>
      </c>
    </row>
    <row r="131">
      <c r="A131" t="inlineStr">
        <is>
          <t>RESP0181</t>
        </is>
      </c>
      <c r="B131">
        <f>INDEX(Session!$M$2:$M$261,MATCH($A131,Session!$A$2:$A$261,0))</f>
        <v/>
      </c>
      <c r="C131">
        <f>SUMIFS(Quality!$E$2:$E$1247,Quality!$A$2:$A$1247,$A131,Quality!$D$2:$D$1247,"Pre-study calibration")</f>
        <v/>
      </c>
      <c r="D131">
        <f>SUMIFS(Quality!$E$2:$E$1247,Quality!$A$2:$A$1247,$A131,Quality!$D$2:$D$1247,"Post-study calibration")</f>
        <v/>
      </c>
      <c r="E131">
        <f>SUMIFS(Quality!$F$2:$F$1247,Quality!$A$2:$A$1247,$A131,Quality!$D$2:$D$1247,"infographic")</f>
        <v/>
      </c>
      <c r="F131">
        <f>SUMIFS(Quality!$G$2:$G$1247,Quality!$A$2:$A$1247,$A131,Quality!$D$2:$D$1247,"foodwaste_narrative")</f>
        <v/>
      </c>
      <c r="G131">
        <f>SUMIFS(Quality!$G$2:$G$1247,Quality!$A$2:$A$1247,$A131,Quality!$D$2:$D$1247,"foodwaste_visual")</f>
        <v/>
      </c>
      <c r="H131">
        <f>IF(C131&gt;$B$2,1,0)</f>
        <v/>
      </c>
      <c r="I131">
        <f>IF(D131&gt;$B$2,1,0)</f>
        <v/>
      </c>
      <c r="J131">
        <f>IF(E131&lt;$F$2,1,0)</f>
        <v/>
      </c>
      <c r="K131">
        <f>IF(OR(F131&lt;$H$2,G131&lt;$H$2),1,0)</f>
        <v/>
      </c>
      <c r="L131">
        <f>IF(SUM(H131:K131)&gt;0,"Exclude","Keep")</f>
        <v/>
      </c>
      <c r="M131">
        <f>IF(H131=1,"Pre-study accuracy",IF(I131=1,"Post-study accuracy",IF(J131=1,"Eye tracking quality",IF(K131=1,"Face quality",""))))</f>
        <v/>
      </c>
      <c r="N131">
        <f>MAX(C131:D131)</f>
        <v/>
      </c>
      <c r="O131">
        <f>IF(AND(L131="Keep",N131&lt;=$D$2),"Keep","Exclude")</f>
        <v/>
      </c>
      <c r="P131">
        <f>D131-C131</f>
        <v/>
      </c>
    </row>
    <row r="132">
      <c r="A132" t="inlineStr">
        <is>
          <t>RESP0183</t>
        </is>
      </c>
      <c r="B132">
        <f>INDEX(Session!$M$2:$M$261,MATCH($A132,Session!$A$2:$A$261,0))</f>
        <v/>
      </c>
      <c r="C132">
        <f>SUMIFS(Quality!$E$2:$E$1247,Quality!$A$2:$A$1247,$A132,Quality!$D$2:$D$1247,"Pre-study calibration")</f>
        <v/>
      </c>
      <c r="D132">
        <f>SUMIFS(Quality!$E$2:$E$1247,Quality!$A$2:$A$1247,$A132,Quality!$D$2:$D$1247,"Post-study calibration")</f>
        <v/>
      </c>
      <c r="E132">
        <f>SUMIFS(Quality!$F$2:$F$1247,Quality!$A$2:$A$1247,$A132,Quality!$D$2:$D$1247,"infographic")</f>
        <v/>
      </c>
      <c r="F132">
        <f>SUMIFS(Quality!$G$2:$G$1247,Quality!$A$2:$A$1247,$A132,Quality!$D$2:$D$1247,"foodwaste_narrative")</f>
        <v/>
      </c>
      <c r="G132">
        <f>SUMIFS(Quality!$G$2:$G$1247,Quality!$A$2:$A$1247,$A132,Quality!$D$2:$D$1247,"foodwaste_visual")</f>
        <v/>
      </c>
      <c r="H132">
        <f>IF(C132&gt;$B$2,1,0)</f>
        <v/>
      </c>
      <c r="I132">
        <f>IF(D132&gt;$B$2,1,0)</f>
        <v/>
      </c>
      <c r="J132">
        <f>IF(E132&lt;$F$2,1,0)</f>
        <v/>
      </c>
      <c r="K132">
        <f>IF(OR(F132&lt;$H$2,G132&lt;$H$2),1,0)</f>
        <v/>
      </c>
      <c r="L132">
        <f>IF(SUM(H132:K132)&gt;0,"Exclude","Keep")</f>
        <v/>
      </c>
      <c r="M132">
        <f>IF(H132=1,"Pre-study accuracy",IF(I132=1,"Post-study accuracy",IF(J132=1,"Eye tracking quality",IF(K132=1,"Face quality",""))))</f>
        <v/>
      </c>
      <c r="N132">
        <f>MAX(C132:D132)</f>
        <v/>
      </c>
      <c r="O132">
        <f>IF(AND(L132="Keep",N132&lt;=$D$2),"Keep","Exclude")</f>
        <v/>
      </c>
      <c r="P132">
        <f>D132-C132</f>
        <v/>
      </c>
    </row>
    <row r="133">
      <c r="A133" t="inlineStr">
        <is>
          <t>RESP0184</t>
        </is>
      </c>
      <c r="B133">
        <f>INDEX(Session!$M$2:$M$261,MATCH($A133,Session!$A$2:$A$261,0))</f>
        <v/>
      </c>
      <c r="C133">
        <f>SUMIFS(Quality!$E$2:$E$1247,Quality!$A$2:$A$1247,$A133,Quality!$D$2:$D$1247,"Pre-study calibration")</f>
        <v/>
      </c>
      <c r="D133">
        <f>SUMIFS(Quality!$E$2:$E$1247,Quality!$A$2:$A$1247,$A133,Quality!$D$2:$D$1247,"Post-study calibration")</f>
        <v/>
      </c>
      <c r="E133">
        <f>SUMIFS(Quality!$F$2:$F$1247,Quality!$A$2:$A$1247,$A133,Quality!$D$2:$D$1247,"infographic")</f>
        <v/>
      </c>
      <c r="F133">
        <f>SUMIFS(Quality!$G$2:$G$1247,Quality!$A$2:$A$1247,$A133,Quality!$D$2:$D$1247,"foodwaste_narrative")</f>
        <v/>
      </c>
      <c r="G133">
        <f>SUMIFS(Quality!$G$2:$G$1247,Quality!$A$2:$A$1247,$A133,Quality!$D$2:$D$1247,"foodwaste_visual")</f>
        <v/>
      </c>
      <c r="H133">
        <f>IF(C133&gt;$B$2,1,0)</f>
        <v/>
      </c>
      <c r="I133">
        <f>IF(D133&gt;$B$2,1,0)</f>
        <v/>
      </c>
      <c r="J133">
        <f>IF(E133&lt;$F$2,1,0)</f>
        <v/>
      </c>
      <c r="K133">
        <f>IF(OR(F133&lt;$H$2,G133&lt;$H$2),1,0)</f>
        <v/>
      </c>
      <c r="L133">
        <f>IF(SUM(H133:K133)&gt;0,"Exclude","Keep")</f>
        <v/>
      </c>
      <c r="M133">
        <f>IF(H133=1,"Pre-study accuracy",IF(I133=1,"Post-study accuracy",IF(J133=1,"Eye tracking quality",IF(K133=1,"Face quality",""))))</f>
        <v/>
      </c>
      <c r="N133">
        <f>MAX(C133:D133)</f>
        <v/>
      </c>
      <c r="O133">
        <f>IF(AND(L133="Keep",N133&lt;=$D$2),"Keep","Exclude")</f>
        <v/>
      </c>
      <c r="P133">
        <f>D133-C133</f>
        <v/>
      </c>
    </row>
    <row r="134">
      <c r="A134" t="inlineStr">
        <is>
          <t>RESP0185</t>
        </is>
      </c>
      <c r="B134">
        <f>INDEX(Session!$M$2:$M$261,MATCH($A134,Session!$A$2:$A$261,0))</f>
        <v/>
      </c>
      <c r="C134">
        <f>SUMIFS(Quality!$E$2:$E$1247,Quality!$A$2:$A$1247,$A134,Quality!$D$2:$D$1247,"Pre-study calibration")</f>
        <v/>
      </c>
      <c r="D134">
        <f>SUMIFS(Quality!$E$2:$E$1247,Quality!$A$2:$A$1247,$A134,Quality!$D$2:$D$1247,"Post-study calibration")</f>
        <v/>
      </c>
      <c r="E134">
        <f>SUMIFS(Quality!$F$2:$F$1247,Quality!$A$2:$A$1247,$A134,Quality!$D$2:$D$1247,"infographic")</f>
        <v/>
      </c>
      <c r="F134">
        <f>SUMIFS(Quality!$G$2:$G$1247,Quality!$A$2:$A$1247,$A134,Quality!$D$2:$D$1247,"foodwaste_narrative")</f>
        <v/>
      </c>
      <c r="G134">
        <f>SUMIFS(Quality!$G$2:$G$1247,Quality!$A$2:$A$1247,$A134,Quality!$D$2:$D$1247,"foodwaste_visual")</f>
        <v/>
      </c>
      <c r="H134">
        <f>IF(C134&gt;$B$2,1,0)</f>
        <v/>
      </c>
      <c r="I134">
        <f>IF(D134&gt;$B$2,1,0)</f>
        <v/>
      </c>
      <c r="J134">
        <f>IF(E134&lt;$F$2,1,0)</f>
        <v/>
      </c>
      <c r="K134">
        <f>IF(OR(F134&lt;$H$2,G134&lt;$H$2),1,0)</f>
        <v/>
      </c>
      <c r="L134">
        <f>IF(SUM(H134:K134)&gt;0,"Exclude","Keep")</f>
        <v/>
      </c>
      <c r="M134">
        <f>IF(H134=1,"Pre-study accuracy",IF(I134=1,"Post-study accuracy",IF(J134=1,"Eye tracking quality",IF(K134=1,"Face quality",""))))</f>
        <v/>
      </c>
      <c r="N134">
        <f>MAX(C134:D134)</f>
        <v/>
      </c>
      <c r="O134">
        <f>IF(AND(L134="Keep",N134&lt;=$D$2),"Keep","Exclude")</f>
        <v/>
      </c>
      <c r="P134">
        <f>D134-C134</f>
        <v/>
      </c>
    </row>
    <row r="135">
      <c r="A135" t="inlineStr">
        <is>
          <t>RESP0186</t>
        </is>
      </c>
      <c r="B135">
        <f>INDEX(Session!$M$2:$M$261,MATCH($A135,Session!$A$2:$A$261,0))</f>
        <v/>
      </c>
      <c r="C135">
        <f>SUMIFS(Quality!$E$2:$E$1247,Quality!$A$2:$A$1247,$A135,Quality!$D$2:$D$1247,"Pre-study calibration")</f>
        <v/>
      </c>
      <c r="D135">
        <f>SUMIFS(Quality!$E$2:$E$1247,Quality!$A$2:$A$1247,$A135,Quality!$D$2:$D$1247,"Post-study calibration")</f>
        <v/>
      </c>
      <c r="E135">
        <f>SUMIFS(Quality!$F$2:$F$1247,Quality!$A$2:$A$1247,$A135,Quality!$D$2:$D$1247,"infographic")</f>
        <v/>
      </c>
      <c r="F135">
        <f>SUMIFS(Quality!$G$2:$G$1247,Quality!$A$2:$A$1247,$A135,Quality!$D$2:$D$1247,"foodwaste_narrative")</f>
        <v/>
      </c>
      <c r="G135">
        <f>SUMIFS(Quality!$G$2:$G$1247,Quality!$A$2:$A$1247,$A135,Quality!$D$2:$D$1247,"foodwaste_visual")</f>
        <v/>
      </c>
      <c r="H135">
        <f>IF(C135&gt;$B$2,1,0)</f>
        <v/>
      </c>
      <c r="I135">
        <f>IF(D135&gt;$B$2,1,0)</f>
        <v/>
      </c>
      <c r="J135">
        <f>IF(E135&lt;$F$2,1,0)</f>
        <v/>
      </c>
      <c r="K135">
        <f>IF(OR(F135&lt;$H$2,G135&lt;$H$2),1,0)</f>
        <v/>
      </c>
      <c r="L135">
        <f>IF(SUM(H135:K135)&gt;0,"Exclude","Keep")</f>
        <v/>
      </c>
      <c r="M135">
        <f>IF(H135=1,"Pre-study accuracy",IF(I135=1,"Post-study accuracy",IF(J135=1,"Eye tracking quality",IF(K135=1,"Face quality",""))))</f>
        <v/>
      </c>
      <c r="N135">
        <f>MAX(C135:D135)</f>
        <v/>
      </c>
      <c r="O135">
        <f>IF(AND(L135="Keep",N135&lt;=$D$2),"Keep","Exclude")</f>
        <v/>
      </c>
      <c r="P135">
        <f>D135-C135</f>
        <v/>
      </c>
    </row>
    <row r="136">
      <c r="A136" t="inlineStr">
        <is>
          <t>RESP0189</t>
        </is>
      </c>
      <c r="B136">
        <f>INDEX(Session!$M$2:$M$261,MATCH($A136,Session!$A$2:$A$261,0))</f>
        <v/>
      </c>
      <c r="C136">
        <f>SUMIFS(Quality!$E$2:$E$1247,Quality!$A$2:$A$1247,$A136,Quality!$D$2:$D$1247,"Pre-study calibration")</f>
        <v/>
      </c>
      <c r="D136">
        <f>SUMIFS(Quality!$E$2:$E$1247,Quality!$A$2:$A$1247,$A136,Quality!$D$2:$D$1247,"Post-study calibration")</f>
        <v/>
      </c>
      <c r="E136">
        <f>SUMIFS(Quality!$F$2:$F$1247,Quality!$A$2:$A$1247,$A136,Quality!$D$2:$D$1247,"infographic")</f>
        <v/>
      </c>
      <c r="F136">
        <f>SUMIFS(Quality!$G$2:$G$1247,Quality!$A$2:$A$1247,$A136,Quality!$D$2:$D$1247,"foodwaste_narrative")</f>
        <v/>
      </c>
      <c r="G136">
        <f>SUMIFS(Quality!$G$2:$G$1247,Quality!$A$2:$A$1247,$A136,Quality!$D$2:$D$1247,"foodwaste_visual")</f>
        <v/>
      </c>
      <c r="H136">
        <f>IF(C136&gt;$B$2,1,0)</f>
        <v/>
      </c>
      <c r="I136">
        <f>IF(D136&gt;$B$2,1,0)</f>
        <v/>
      </c>
      <c r="J136">
        <f>IF(E136&lt;$F$2,1,0)</f>
        <v/>
      </c>
      <c r="K136">
        <f>IF(OR(F136&lt;$H$2,G136&lt;$H$2),1,0)</f>
        <v/>
      </c>
      <c r="L136">
        <f>IF(SUM(H136:K136)&gt;0,"Exclude","Keep")</f>
        <v/>
      </c>
      <c r="M136">
        <f>IF(H136=1,"Pre-study accuracy",IF(I136=1,"Post-study accuracy",IF(J136=1,"Eye tracking quality",IF(K136=1,"Face quality",""))))</f>
        <v/>
      </c>
      <c r="N136">
        <f>MAX(C136:D136)</f>
        <v/>
      </c>
      <c r="O136">
        <f>IF(AND(L136="Keep",N136&lt;=$D$2),"Keep","Exclude")</f>
        <v/>
      </c>
      <c r="P136">
        <f>D136-C136</f>
        <v/>
      </c>
    </row>
    <row r="137">
      <c r="A137" t="inlineStr">
        <is>
          <t>RESP0190</t>
        </is>
      </c>
      <c r="B137">
        <f>INDEX(Session!$M$2:$M$261,MATCH($A137,Session!$A$2:$A$261,0))</f>
        <v/>
      </c>
      <c r="C137">
        <f>SUMIFS(Quality!$E$2:$E$1247,Quality!$A$2:$A$1247,$A137,Quality!$D$2:$D$1247,"Pre-study calibration")</f>
        <v/>
      </c>
      <c r="D137">
        <f>SUMIFS(Quality!$E$2:$E$1247,Quality!$A$2:$A$1247,$A137,Quality!$D$2:$D$1247,"Post-study calibration")</f>
        <v/>
      </c>
      <c r="E137">
        <f>SUMIFS(Quality!$F$2:$F$1247,Quality!$A$2:$A$1247,$A137,Quality!$D$2:$D$1247,"infographic")</f>
        <v/>
      </c>
      <c r="F137">
        <f>SUMIFS(Quality!$G$2:$G$1247,Quality!$A$2:$A$1247,$A137,Quality!$D$2:$D$1247,"foodwaste_narrative")</f>
        <v/>
      </c>
      <c r="G137">
        <f>SUMIFS(Quality!$G$2:$G$1247,Quality!$A$2:$A$1247,$A137,Quality!$D$2:$D$1247,"foodwaste_visual")</f>
        <v/>
      </c>
      <c r="H137">
        <f>IF(C137&gt;$B$2,1,0)</f>
        <v/>
      </c>
      <c r="I137">
        <f>IF(D137&gt;$B$2,1,0)</f>
        <v/>
      </c>
      <c r="J137">
        <f>IF(E137&lt;$F$2,1,0)</f>
        <v/>
      </c>
      <c r="K137">
        <f>IF(OR(F137&lt;$H$2,G137&lt;$H$2),1,0)</f>
        <v/>
      </c>
      <c r="L137">
        <f>IF(SUM(H137:K137)&gt;0,"Exclude","Keep")</f>
        <v/>
      </c>
      <c r="M137">
        <f>IF(H137=1,"Pre-study accuracy",IF(I137=1,"Post-study accuracy",IF(J137=1,"Eye tracking quality",IF(K137=1,"Face quality",""))))</f>
        <v/>
      </c>
      <c r="N137">
        <f>MAX(C137:D137)</f>
        <v/>
      </c>
      <c r="O137">
        <f>IF(AND(L137="Keep",N137&lt;=$D$2),"Keep","Exclude")</f>
        <v/>
      </c>
      <c r="P137">
        <f>D137-C137</f>
        <v/>
      </c>
    </row>
    <row r="138">
      <c r="A138" t="inlineStr">
        <is>
          <t>RESP0191</t>
        </is>
      </c>
      <c r="B138">
        <f>INDEX(Session!$M$2:$M$261,MATCH($A138,Session!$A$2:$A$261,0))</f>
        <v/>
      </c>
      <c r="C138">
        <f>SUMIFS(Quality!$E$2:$E$1247,Quality!$A$2:$A$1247,$A138,Quality!$D$2:$D$1247,"Pre-study calibration")</f>
        <v/>
      </c>
      <c r="D138">
        <f>SUMIFS(Quality!$E$2:$E$1247,Quality!$A$2:$A$1247,$A138,Quality!$D$2:$D$1247,"Post-study calibration")</f>
        <v/>
      </c>
      <c r="E138">
        <f>SUMIFS(Quality!$F$2:$F$1247,Quality!$A$2:$A$1247,$A138,Quality!$D$2:$D$1247,"infographic")</f>
        <v/>
      </c>
      <c r="F138">
        <f>SUMIFS(Quality!$G$2:$G$1247,Quality!$A$2:$A$1247,$A138,Quality!$D$2:$D$1247,"foodwaste_narrative")</f>
        <v/>
      </c>
      <c r="G138">
        <f>SUMIFS(Quality!$G$2:$G$1247,Quality!$A$2:$A$1247,$A138,Quality!$D$2:$D$1247,"foodwaste_visual")</f>
        <v/>
      </c>
      <c r="H138">
        <f>IF(C138&gt;$B$2,1,0)</f>
        <v/>
      </c>
      <c r="I138">
        <f>IF(D138&gt;$B$2,1,0)</f>
        <v/>
      </c>
      <c r="J138">
        <f>IF(E138&lt;$F$2,1,0)</f>
        <v/>
      </c>
      <c r="K138">
        <f>IF(OR(F138&lt;$H$2,G138&lt;$H$2),1,0)</f>
        <v/>
      </c>
      <c r="L138">
        <f>IF(SUM(H138:K138)&gt;0,"Exclude","Keep")</f>
        <v/>
      </c>
      <c r="M138">
        <f>IF(H138=1,"Pre-study accuracy",IF(I138=1,"Post-study accuracy",IF(J138=1,"Eye tracking quality",IF(K138=1,"Face quality",""))))</f>
        <v/>
      </c>
      <c r="N138">
        <f>MAX(C138:D138)</f>
        <v/>
      </c>
      <c r="O138">
        <f>IF(AND(L138="Keep",N138&lt;=$D$2),"Keep","Exclude")</f>
        <v/>
      </c>
      <c r="P138">
        <f>D138-C138</f>
        <v/>
      </c>
    </row>
    <row r="139">
      <c r="A139" t="inlineStr">
        <is>
          <t>RESP0193</t>
        </is>
      </c>
      <c r="B139">
        <f>INDEX(Session!$M$2:$M$261,MATCH($A139,Session!$A$2:$A$261,0))</f>
        <v/>
      </c>
      <c r="C139">
        <f>SUMIFS(Quality!$E$2:$E$1247,Quality!$A$2:$A$1247,$A139,Quality!$D$2:$D$1247,"Pre-study calibration")</f>
        <v/>
      </c>
      <c r="D139">
        <f>SUMIFS(Quality!$E$2:$E$1247,Quality!$A$2:$A$1247,$A139,Quality!$D$2:$D$1247,"Post-study calibration")</f>
        <v/>
      </c>
      <c r="E139">
        <f>SUMIFS(Quality!$F$2:$F$1247,Quality!$A$2:$A$1247,$A139,Quality!$D$2:$D$1247,"infographic")</f>
        <v/>
      </c>
      <c r="F139">
        <f>SUMIFS(Quality!$G$2:$G$1247,Quality!$A$2:$A$1247,$A139,Quality!$D$2:$D$1247,"foodwaste_narrative")</f>
        <v/>
      </c>
      <c r="G139">
        <f>SUMIFS(Quality!$G$2:$G$1247,Quality!$A$2:$A$1247,$A139,Quality!$D$2:$D$1247,"foodwaste_visual")</f>
        <v/>
      </c>
      <c r="H139">
        <f>IF(C139&gt;$B$2,1,0)</f>
        <v/>
      </c>
      <c r="I139">
        <f>IF(D139&gt;$B$2,1,0)</f>
        <v/>
      </c>
      <c r="J139">
        <f>IF(E139&lt;$F$2,1,0)</f>
        <v/>
      </c>
      <c r="K139">
        <f>IF(OR(F139&lt;$H$2,G139&lt;$H$2),1,0)</f>
        <v/>
      </c>
      <c r="L139">
        <f>IF(SUM(H139:K139)&gt;0,"Exclude","Keep")</f>
        <v/>
      </c>
      <c r="M139">
        <f>IF(H139=1,"Pre-study accuracy",IF(I139=1,"Post-study accuracy",IF(J139=1,"Eye tracking quality",IF(K139=1,"Face quality",""))))</f>
        <v/>
      </c>
      <c r="N139">
        <f>MAX(C139:D139)</f>
        <v/>
      </c>
      <c r="O139">
        <f>IF(AND(L139="Keep",N139&lt;=$D$2),"Keep","Exclude")</f>
        <v/>
      </c>
      <c r="P139">
        <f>D139-C139</f>
        <v/>
      </c>
    </row>
    <row r="140">
      <c r="A140" t="inlineStr">
        <is>
          <t>RESP0195</t>
        </is>
      </c>
      <c r="B140">
        <f>INDEX(Session!$M$2:$M$261,MATCH($A140,Session!$A$2:$A$261,0))</f>
        <v/>
      </c>
      <c r="C140">
        <f>SUMIFS(Quality!$E$2:$E$1247,Quality!$A$2:$A$1247,$A140,Quality!$D$2:$D$1247,"Pre-study calibration")</f>
        <v/>
      </c>
      <c r="D140">
        <f>SUMIFS(Quality!$E$2:$E$1247,Quality!$A$2:$A$1247,$A140,Quality!$D$2:$D$1247,"Post-study calibration")</f>
        <v/>
      </c>
      <c r="E140">
        <f>SUMIFS(Quality!$F$2:$F$1247,Quality!$A$2:$A$1247,$A140,Quality!$D$2:$D$1247,"infographic")</f>
        <v/>
      </c>
      <c r="F140">
        <f>SUMIFS(Quality!$G$2:$G$1247,Quality!$A$2:$A$1247,$A140,Quality!$D$2:$D$1247,"foodwaste_narrative")</f>
        <v/>
      </c>
      <c r="G140">
        <f>SUMIFS(Quality!$G$2:$G$1247,Quality!$A$2:$A$1247,$A140,Quality!$D$2:$D$1247,"foodwaste_visual")</f>
        <v/>
      </c>
      <c r="H140">
        <f>IF(C140&gt;$B$2,1,0)</f>
        <v/>
      </c>
      <c r="I140">
        <f>IF(D140&gt;$B$2,1,0)</f>
        <v/>
      </c>
      <c r="J140">
        <f>IF(E140&lt;$F$2,1,0)</f>
        <v/>
      </c>
      <c r="K140">
        <f>IF(OR(F140&lt;$H$2,G140&lt;$H$2),1,0)</f>
        <v/>
      </c>
      <c r="L140">
        <f>IF(SUM(H140:K140)&gt;0,"Exclude","Keep")</f>
        <v/>
      </c>
      <c r="M140">
        <f>IF(H140=1,"Pre-study accuracy",IF(I140=1,"Post-study accuracy",IF(J140=1,"Eye tracking quality",IF(K140=1,"Face quality",""))))</f>
        <v/>
      </c>
      <c r="N140">
        <f>MAX(C140:D140)</f>
        <v/>
      </c>
      <c r="O140">
        <f>IF(AND(L140="Keep",N140&lt;=$D$2),"Keep","Exclude")</f>
        <v/>
      </c>
      <c r="P140">
        <f>D140-C140</f>
        <v/>
      </c>
    </row>
    <row r="141">
      <c r="A141" t="inlineStr">
        <is>
          <t>RESP0196</t>
        </is>
      </c>
      <c r="B141">
        <f>INDEX(Session!$M$2:$M$261,MATCH($A141,Session!$A$2:$A$261,0))</f>
        <v/>
      </c>
      <c r="C141">
        <f>SUMIFS(Quality!$E$2:$E$1247,Quality!$A$2:$A$1247,$A141,Quality!$D$2:$D$1247,"Pre-study calibration")</f>
        <v/>
      </c>
      <c r="D141">
        <f>SUMIFS(Quality!$E$2:$E$1247,Quality!$A$2:$A$1247,$A141,Quality!$D$2:$D$1247,"Post-study calibration")</f>
        <v/>
      </c>
      <c r="E141">
        <f>SUMIFS(Quality!$F$2:$F$1247,Quality!$A$2:$A$1247,$A141,Quality!$D$2:$D$1247,"infographic")</f>
        <v/>
      </c>
      <c r="F141">
        <f>SUMIFS(Quality!$G$2:$G$1247,Quality!$A$2:$A$1247,$A141,Quality!$D$2:$D$1247,"foodwaste_narrative")</f>
        <v/>
      </c>
      <c r="G141">
        <f>SUMIFS(Quality!$G$2:$G$1247,Quality!$A$2:$A$1247,$A141,Quality!$D$2:$D$1247,"foodwaste_visual")</f>
        <v/>
      </c>
      <c r="H141">
        <f>IF(C141&gt;$B$2,1,0)</f>
        <v/>
      </c>
      <c r="I141">
        <f>IF(D141&gt;$B$2,1,0)</f>
        <v/>
      </c>
      <c r="J141">
        <f>IF(E141&lt;$F$2,1,0)</f>
        <v/>
      </c>
      <c r="K141">
        <f>IF(OR(F141&lt;$H$2,G141&lt;$H$2),1,0)</f>
        <v/>
      </c>
      <c r="L141">
        <f>IF(SUM(H141:K141)&gt;0,"Exclude","Keep")</f>
        <v/>
      </c>
      <c r="M141">
        <f>IF(H141=1,"Pre-study accuracy",IF(I141=1,"Post-study accuracy",IF(J141=1,"Eye tracking quality",IF(K141=1,"Face quality",""))))</f>
        <v/>
      </c>
      <c r="N141">
        <f>MAX(C141:D141)</f>
        <v/>
      </c>
      <c r="O141">
        <f>IF(AND(L141="Keep",N141&lt;=$D$2),"Keep","Exclude")</f>
        <v/>
      </c>
      <c r="P141">
        <f>D141-C141</f>
        <v/>
      </c>
    </row>
    <row r="142">
      <c r="A142" t="inlineStr">
        <is>
          <t>RESP0197</t>
        </is>
      </c>
      <c r="B142">
        <f>INDEX(Session!$M$2:$M$261,MATCH($A142,Session!$A$2:$A$261,0))</f>
        <v/>
      </c>
      <c r="C142">
        <f>SUMIFS(Quality!$E$2:$E$1247,Quality!$A$2:$A$1247,$A142,Quality!$D$2:$D$1247,"Pre-study calibration")</f>
        <v/>
      </c>
      <c r="D142">
        <f>SUMIFS(Quality!$E$2:$E$1247,Quality!$A$2:$A$1247,$A142,Quality!$D$2:$D$1247,"Post-study calibration")</f>
        <v/>
      </c>
      <c r="E142">
        <f>SUMIFS(Quality!$F$2:$F$1247,Quality!$A$2:$A$1247,$A142,Quality!$D$2:$D$1247,"infographic")</f>
        <v/>
      </c>
      <c r="F142">
        <f>SUMIFS(Quality!$G$2:$G$1247,Quality!$A$2:$A$1247,$A142,Quality!$D$2:$D$1247,"foodwaste_narrative")</f>
        <v/>
      </c>
      <c r="G142">
        <f>SUMIFS(Quality!$G$2:$G$1247,Quality!$A$2:$A$1247,$A142,Quality!$D$2:$D$1247,"foodwaste_visual")</f>
        <v/>
      </c>
      <c r="H142">
        <f>IF(C142&gt;$B$2,1,0)</f>
        <v/>
      </c>
      <c r="I142">
        <f>IF(D142&gt;$B$2,1,0)</f>
        <v/>
      </c>
      <c r="J142">
        <f>IF(E142&lt;$F$2,1,0)</f>
        <v/>
      </c>
      <c r="K142">
        <f>IF(OR(F142&lt;$H$2,G142&lt;$H$2),1,0)</f>
        <v/>
      </c>
      <c r="L142">
        <f>IF(SUM(H142:K142)&gt;0,"Exclude","Keep")</f>
        <v/>
      </c>
      <c r="M142">
        <f>IF(H142=1,"Pre-study accuracy",IF(I142=1,"Post-study accuracy",IF(J142=1,"Eye tracking quality",IF(K142=1,"Face quality",""))))</f>
        <v/>
      </c>
      <c r="N142">
        <f>MAX(C142:D142)</f>
        <v/>
      </c>
      <c r="O142">
        <f>IF(AND(L142="Keep",N142&lt;=$D$2),"Keep","Exclude")</f>
        <v/>
      </c>
      <c r="P142">
        <f>D142-C142</f>
        <v/>
      </c>
    </row>
    <row r="143">
      <c r="A143" t="inlineStr">
        <is>
          <t>RESP0198</t>
        </is>
      </c>
      <c r="B143">
        <f>INDEX(Session!$M$2:$M$261,MATCH($A143,Session!$A$2:$A$261,0))</f>
        <v/>
      </c>
      <c r="C143">
        <f>SUMIFS(Quality!$E$2:$E$1247,Quality!$A$2:$A$1247,$A143,Quality!$D$2:$D$1247,"Pre-study calibration")</f>
        <v/>
      </c>
      <c r="D143">
        <f>SUMIFS(Quality!$E$2:$E$1247,Quality!$A$2:$A$1247,$A143,Quality!$D$2:$D$1247,"Post-study calibration")</f>
        <v/>
      </c>
      <c r="E143">
        <f>SUMIFS(Quality!$F$2:$F$1247,Quality!$A$2:$A$1247,$A143,Quality!$D$2:$D$1247,"infographic")</f>
        <v/>
      </c>
      <c r="F143">
        <f>SUMIFS(Quality!$G$2:$G$1247,Quality!$A$2:$A$1247,$A143,Quality!$D$2:$D$1247,"foodwaste_narrative")</f>
        <v/>
      </c>
      <c r="G143">
        <f>SUMIFS(Quality!$G$2:$G$1247,Quality!$A$2:$A$1247,$A143,Quality!$D$2:$D$1247,"foodwaste_visual")</f>
        <v/>
      </c>
      <c r="H143">
        <f>IF(C143&gt;$B$2,1,0)</f>
        <v/>
      </c>
      <c r="I143">
        <f>IF(D143&gt;$B$2,1,0)</f>
        <v/>
      </c>
      <c r="J143">
        <f>IF(E143&lt;$F$2,1,0)</f>
        <v/>
      </c>
      <c r="K143">
        <f>IF(OR(F143&lt;$H$2,G143&lt;$H$2),1,0)</f>
        <v/>
      </c>
      <c r="L143">
        <f>IF(SUM(H143:K143)&gt;0,"Exclude","Keep")</f>
        <v/>
      </c>
      <c r="M143">
        <f>IF(H143=1,"Pre-study accuracy",IF(I143=1,"Post-study accuracy",IF(J143=1,"Eye tracking quality",IF(K143=1,"Face quality",""))))</f>
        <v/>
      </c>
      <c r="N143">
        <f>MAX(C143:D143)</f>
        <v/>
      </c>
      <c r="O143">
        <f>IF(AND(L143="Keep",N143&lt;=$D$2),"Keep","Exclude")</f>
        <v/>
      </c>
      <c r="P143">
        <f>D143-C143</f>
        <v/>
      </c>
    </row>
    <row r="144">
      <c r="A144" t="inlineStr">
        <is>
          <t>RESP0199</t>
        </is>
      </c>
      <c r="B144">
        <f>INDEX(Session!$M$2:$M$261,MATCH($A144,Session!$A$2:$A$261,0))</f>
        <v/>
      </c>
      <c r="C144">
        <f>SUMIFS(Quality!$E$2:$E$1247,Quality!$A$2:$A$1247,$A144,Quality!$D$2:$D$1247,"Pre-study calibration")</f>
        <v/>
      </c>
      <c r="D144">
        <f>SUMIFS(Quality!$E$2:$E$1247,Quality!$A$2:$A$1247,$A144,Quality!$D$2:$D$1247,"Post-study calibration")</f>
        <v/>
      </c>
      <c r="E144">
        <f>SUMIFS(Quality!$F$2:$F$1247,Quality!$A$2:$A$1247,$A144,Quality!$D$2:$D$1247,"infographic")</f>
        <v/>
      </c>
      <c r="F144">
        <f>SUMIFS(Quality!$G$2:$G$1247,Quality!$A$2:$A$1247,$A144,Quality!$D$2:$D$1247,"foodwaste_narrative")</f>
        <v/>
      </c>
      <c r="G144">
        <f>SUMIFS(Quality!$G$2:$G$1247,Quality!$A$2:$A$1247,$A144,Quality!$D$2:$D$1247,"foodwaste_visual")</f>
        <v/>
      </c>
      <c r="H144">
        <f>IF(C144&gt;$B$2,1,0)</f>
        <v/>
      </c>
      <c r="I144">
        <f>IF(D144&gt;$B$2,1,0)</f>
        <v/>
      </c>
      <c r="J144">
        <f>IF(E144&lt;$F$2,1,0)</f>
        <v/>
      </c>
      <c r="K144">
        <f>IF(OR(F144&lt;$H$2,G144&lt;$H$2),1,0)</f>
        <v/>
      </c>
      <c r="L144">
        <f>IF(SUM(H144:K144)&gt;0,"Exclude","Keep")</f>
        <v/>
      </c>
      <c r="M144">
        <f>IF(H144=1,"Pre-study accuracy",IF(I144=1,"Post-study accuracy",IF(J144=1,"Eye tracking quality",IF(K144=1,"Face quality",""))))</f>
        <v/>
      </c>
      <c r="N144">
        <f>MAX(C144:D144)</f>
        <v/>
      </c>
      <c r="O144">
        <f>IF(AND(L144="Keep",N144&lt;=$D$2),"Keep","Exclude")</f>
        <v/>
      </c>
      <c r="P144">
        <f>D144-C144</f>
        <v/>
      </c>
    </row>
    <row r="145">
      <c r="A145" t="inlineStr">
        <is>
          <t>RESP0201</t>
        </is>
      </c>
      <c r="B145">
        <f>INDEX(Session!$M$2:$M$261,MATCH($A145,Session!$A$2:$A$261,0))</f>
        <v/>
      </c>
      <c r="C145">
        <f>SUMIFS(Quality!$E$2:$E$1247,Quality!$A$2:$A$1247,$A145,Quality!$D$2:$D$1247,"Pre-study calibration")</f>
        <v/>
      </c>
      <c r="D145">
        <f>SUMIFS(Quality!$E$2:$E$1247,Quality!$A$2:$A$1247,$A145,Quality!$D$2:$D$1247,"Post-study calibration")</f>
        <v/>
      </c>
      <c r="E145">
        <f>SUMIFS(Quality!$F$2:$F$1247,Quality!$A$2:$A$1247,$A145,Quality!$D$2:$D$1247,"infographic")</f>
        <v/>
      </c>
      <c r="F145">
        <f>SUMIFS(Quality!$G$2:$G$1247,Quality!$A$2:$A$1247,$A145,Quality!$D$2:$D$1247,"foodwaste_narrative")</f>
        <v/>
      </c>
      <c r="G145">
        <f>SUMIFS(Quality!$G$2:$G$1247,Quality!$A$2:$A$1247,$A145,Quality!$D$2:$D$1247,"foodwaste_visual")</f>
        <v/>
      </c>
      <c r="H145">
        <f>IF(C145&gt;$B$2,1,0)</f>
        <v/>
      </c>
      <c r="I145">
        <f>IF(D145&gt;$B$2,1,0)</f>
        <v/>
      </c>
      <c r="J145">
        <f>IF(E145&lt;$F$2,1,0)</f>
        <v/>
      </c>
      <c r="K145">
        <f>IF(OR(F145&lt;$H$2,G145&lt;$H$2),1,0)</f>
        <v/>
      </c>
      <c r="L145">
        <f>IF(SUM(H145:K145)&gt;0,"Exclude","Keep")</f>
        <v/>
      </c>
      <c r="M145">
        <f>IF(H145=1,"Pre-study accuracy",IF(I145=1,"Post-study accuracy",IF(J145=1,"Eye tracking quality",IF(K145=1,"Face quality",""))))</f>
        <v/>
      </c>
      <c r="N145">
        <f>MAX(C145:D145)</f>
        <v/>
      </c>
      <c r="O145">
        <f>IF(AND(L145="Keep",N145&lt;=$D$2),"Keep","Exclude")</f>
        <v/>
      </c>
      <c r="P145">
        <f>D145-C145</f>
        <v/>
      </c>
    </row>
    <row r="146">
      <c r="A146" t="inlineStr">
        <is>
          <t>RESP0202</t>
        </is>
      </c>
      <c r="B146">
        <f>INDEX(Session!$M$2:$M$261,MATCH($A146,Session!$A$2:$A$261,0))</f>
        <v/>
      </c>
      <c r="C146">
        <f>SUMIFS(Quality!$E$2:$E$1247,Quality!$A$2:$A$1247,$A146,Quality!$D$2:$D$1247,"Pre-study calibration")</f>
        <v/>
      </c>
      <c r="D146">
        <f>SUMIFS(Quality!$E$2:$E$1247,Quality!$A$2:$A$1247,$A146,Quality!$D$2:$D$1247,"Post-study calibration")</f>
        <v/>
      </c>
      <c r="E146">
        <f>SUMIFS(Quality!$F$2:$F$1247,Quality!$A$2:$A$1247,$A146,Quality!$D$2:$D$1247,"infographic")</f>
        <v/>
      </c>
      <c r="F146">
        <f>SUMIFS(Quality!$G$2:$G$1247,Quality!$A$2:$A$1247,$A146,Quality!$D$2:$D$1247,"foodwaste_narrative")</f>
        <v/>
      </c>
      <c r="G146">
        <f>SUMIFS(Quality!$G$2:$G$1247,Quality!$A$2:$A$1247,$A146,Quality!$D$2:$D$1247,"foodwaste_visual")</f>
        <v/>
      </c>
      <c r="H146">
        <f>IF(C146&gt;$B$2,1,0)</f>
        <v/>
      </c>
      <c r="I146">
        <f>IF(D146&gt;$B$2,1,0)</f>
        <v/>
      </c>
      <c r="J146">
        <f>IF(E146&lt;$F$2,1,0)</f>
        <v/>
      </c>
      <c r="K146">
        <f>IF(OR(F146&lt;$H$2,G146&lt;$H$2),1,0)</f>
        <v/>
      </c>
      <c r="L146">
        <f>IF(SUM(H146:K146)&gt;0,"Exclude","Keep")</f>
        <v/>
      </c>
      <c r="M146">
        <f>IF(H146=1,"Pre-study accuracy",IF(I146=1,"Post-study accuracy",IF(J146=1,"Eye tracking quality",IF(K146=1,"Face quality",""))))</f>
        <v/>
      </c>
      <c r="N146">
        <f>MAX(C146:D146)</f>
        <v/>
      </c>
      <c r="O146">
        <f>IF(AND(L146="Keep",N146&lt;=$D$2),"Keep","Exclude")</f>
        <v/>
      </c>
      <c r="P146">
        <f>D146-C146</f>
        <v/>
      </c>
    </row>
    <row r="147">
      <c r="A147" t="inlineStr">
        <is>
          <t>RESP0203</t>
        </is>
      </c>
      <c r="B147">
        <f>INDEX(Session!$M$2:$M$261,MATCH($A147,Session!$A$2:$A$261,0))</f>
        <v/>
      </c>
      <c r="C147">
        <f>SUMIFS(Quality!$E$2:$E$1247,Quality!$A$2:$A$1247,$A147,Quality!$D$2:$D$1247,"Pre-study calibration")</f>
        <v/>
      </c>
      <c r="D147">
        <f>SUMIFS(Quality!$E$2:$E$1247,Quality!$A$2:$A$1247,$A147,Quality!$D$2:$D$1247,"Post-study calibration")</f>
        <v/>
      </c>
      <c r="E147">
        <f>SUMIFS(Quality!$F$2:$F$1247,Quality!$A$2:$A$1247,$A147,Quality!$D$2:$D$1247,"infographic")</f>
        <v/>
      </c>
      <c r="F147">
        <f>SUMIFS(Quality!$G$2:$G$1247,Quality!$A$2:$A$1247,$A147,Quality!$D$2:$D$1247,"foodwaste_narrative")</f>
        <v/>
      </c>
      <c r="G147">
        <f>SUMIFS(Quality!$G$2:$G$1247,Quality!$A$2:$A$1247,$A147,Quality!$D$2:$D$1247,"foodwaste_visual")</f>
        <v/>
      </c>
      <c r="H147">
        <f>IF(C147&gt;$B$2,1,0)</f>
        <v/>
      </c>
      <c r="I147">
        <f>IF(D147&gt;$B$2,1,0)</f>
        <v/>
      </c>
      <c r="J147">
        <f>IF(E147&lt;$F$2,1,0)</f>
        <v/>
      </c>
      <c r="K147">
        <f>IF(OR(F147&lt;$H$2,G147&lt;$H$2),1,0)</f>
        <v/>
      </c>
      <c r="L147">
        <f>IF(SUM(H147:K147)&gt;0,"Exclude","Keep")</f>
        <v/>
      </c>
      <c r="M147">
        <f>IF(H147=1,"Pre-study accuracy",IF(I147=1,"Post-study accuracy",IF(J147=1,"Eye tracking quality",IF(K147=1,"Face quality",""))))</f>
        <v/>
      </c>
      <c r="N147">
        <f>MAX(C147:D147)</f>
        <v/>
      </c>
      <c r="O147">
        <f>IF(AND(L147="Keep",N147&lt;=$D$2),"Keep","Exclude")</f>
        <v/>
      </c>
      <c r="P147">
        <f>D147-C147</f>
        <v/>
      </c>
    </row>
    <row r="148">
      <c r="A148" t="inlineStr">
        <is>
          <t>RESP0204</t>
        </is>
      </c>
      <c r="B148">
        <f>INDEX(Session!$M$2:$M$261,MATCH($A148,Session!$A$2:$A$261,0))</f>
        <v/>
      </c>
      <c r="C148">
        <f>SUMIFS(Quality!$E$2:$E$1247,Quality!$A$2:$A$1247,$A148,Quality!$D$2:$D$1247,"Pre-study calibration")</f>
        <v/>
      </c>
      <c r="D148">
        <f>SUMIFS(Quality!$E$2:$E$1247,Quality!$A$2:$A$1247,$A148,Quality!$D$2:$D$1247,"Post-study calibration")</f>
        <v/>
      </c>
      <c r="E148">
        <f>SUMIFS(Quality!$F$2:$F$1247,Quality!$A$2:$A$1247,$A148,Quality!$D$2:$D$1247,"infographic")</f>
        <v/>
      </c>
      <c r="F148">
        <f>SUMIFS(Quality!$G$2:$G$1247,Quality!$A$2:$A$1247,$A148,Quality!$D$2:$D$1247,"foodwaste_narrative")</f>
        <v/>
      </c>
      <c r="G148">
        <f>SUMIFS(Quality!$G$2:$G$1247,Quality!$A$2:$A$1247,$A148,Quality!$D$2:$D$1247,"foodwaste_visual")</f>
        <v/>
      </c>
      <c r="H148">
        <f>IF(C148&gt;$B$2,1,0)</f>
        <v/>
      </c>
      <c r="I148">
        <f>IF(D148&gt;$B$2,1,0)</f>
        <v/>
      </c>
      <c r="J148">
        <f>IF(E148&lt;$F$2,1,0)</f>
        <v/>
      </c>
      <c r="K148">
        <f>IF(OR(F148&lt;$H$2,G148&lt;$H$2),1,0)</f>
        <v/>
      </c>
      <c r="L148">
        <f>IF(SUM(H148:K148)&gt;0,"Exclude","Keep")</f>
        <v/>
      </c>
      <c r="M148">
        <f>IF(H148=1,"Pre-study accuracy",IF(I148=1,"Post-study accuracy",IF(J148=1,"Eye tracking quality",IF(K148=1,"Face quality",""))))</f>
        <v/>
      </c>
      <c r="N148">
        <f>MAX(C148:D148)</f>
        <v/>
      </c>
      <c r="O148">
        <f>IF(AND(L148="Keep",N148&lt;=$D$2),"Keep","Exclude")</f>
        <v/>
      </c>
      <c r="P148">
        <f>D148-C148</f>
        <v/>
      </c>
    </row>
    <row r="149">
      <c r="A149" t="inlineStr">
        <is>
          <t>RESP0206</t>
        </is>
      </c>
      <c r="B149">
        <f>INDEX(Session!$M$2:$M$261,MATCH($A149,Session!$A$2:$A$261,0))</f>
        <v/>
      </c>
      <c r="C149">
        <f>SUMIFS(Quality!$E$2:$E$1247,Quality!$A$2:$A$1247,$A149,Quality!$D$2:$D$1247,"Pre-study calibration")</f>
        <v/>
      </c>
      <c r="D149">
        <f>SUMIFS(Quality!$E$2:$E$1247,Quality!$A$2:$A$1247,$A149,Quality!$D$2:$D$1247,"Post-study calibration")</f>
        <v/>
      </c>
      <c r="E149">
        <f>SUMIFS(Quality!$F$2:$F$1247,Quality!$A$2:$A$1247,$A149,Quality!$D$2:$D$1247,"infographic")</f>
        <v/>
      </c>
      <c r="F149">
        <f>SUMIFS(Quality!$G$2:$G$1247,Quality!$A$2:$A$1247,$A149,Quality!$D$2:$D$1247,"foodwaste_narrative")</f>
        <v/>
      </c>
      <c r="G149">
        <f>SUMIFS(Quality!$G$2:$G$1247,Quality!$A$2:$A$1247,$A149,Quality!$D$2:$D$1247,"foodwaste_visual")</f>
        <v/>
      </c>
      <c r="H149">
        <f>IF(C149&gt;$B$2,1,0)</f>
        <v/>
      </c>
      <c r="I149">
        <f>IF(D149&gt;$B$2,1,0)</f>
        <v/>
      </c>
      <c r="J149">
        <f>IF(E149&lt;$F$2,1,0)</f>
        <v/>
      </c>
      <c r="K149">
        <f>IF(OR(F149&lt;$H$2,G149&lt;$H$2),1,0)</f>
        <v/>
      </c>
      <c r="L149">
        <f>IF(SUM(H149:K149)&gt;0,"Exclude","Keep")</f>
        <v/>
      </c>
      <c r="M149">
        <f>IF(H149=1,"Pre-study accuracy",IF(I149=1,"Post-study accuracy",IF(J149=1,"Eye tracking quality",IF(K149=1,"Face quality",""))))</f>
        <v/>
      </c>
      <c r="N149">
        <f>MAX(C149:D149)</f>
        <v/>
      </c>
      <c r="O149">
        <f>IF(AND(L149="Keep",N149&lt;=$D$2),"Keep","Exclude")</f>
        <v/>
      </c>
      <c r="P149">
        <f>D149-C149</f>
        <v/>
      </c>
    </row>
    <row r="150">
      <c r="A150" t="inlineStr">
        <is>
          <t>RESP0207</t>
        </is>
      </c>
      <c r="B150">
        <f>INDEX(Session!$M$2:$M$261,MATCH($A150,Session!$A$2:$A$261,0))</f>
        <v/>
      </c>
      <c r="C150">
        <f>SUMIFS(Quality!$E$2:$E$1247,Quality!$A$2:$A$1247,$A150,Quality!$D$2:$D$1247,"Pre-study calibration")</f>
        <v/>
      </c>
      <c r="D150">
        <f>SUMIFS(Quality!$E$2:$E$1247,Quality!$A$2:$A$1247,$A150,Quality!$D$2:$D$1247,"Post-study calibration")</f>
        <v/>
      </c>
      <c r="E150">
        <f>SUMIFS(Quality!$F$2:$F$1247,Quality!$A$2:$A$1247,$A150,Quality!$D$2:$D$1247,"infographic")</f>
        <v/>
      </c>
      <c r="F150">
        <f>SUMIFS(Quality!$G$2:$G$1247,Quality!$A$2:$A$1247,$A150,Quality!$D$2:$D$1247,"foodwaste_narrative")</f>
        <v/>
      </c>
      <c r="G150">
        <f>SUMIFS(Quality!$G$2:$G$1247,Quality!$A$2:$A$1247,$A150,Quality!$D$2:$D$1247,"foodwaste_visual")</f>
        <v/>
      </c>
      <c r="H150">
        <f>IF(C150&gt;$B$2,1,0)</f>
        <v/>
      </c>
      <c r="I150">
        <f>IF(D150&gt;$B$2,1,0)</f>
        <v/>
      </c>
      <c r="J150">
        <f>IF(E150&lt;$F$2,1,0)</f>
        <v/>
      </c>
      <c r="K150">
        <f>IF(OR(F150&lt;$H$2,G150&lt;$H$2),1,0)</f>
        <v/>
      </c>
      <c r="L150">
        <f>IF(SUM(H150:K150)&gt;0,"Exclude","Keep")</f>
        <v/>
      </c>
      <c r="M150">
        <f>IF(H150=1,"Pre-study accuracy",IF(I150=1,"Post-study accuracy",IF(J150=1,"Eye tracking quality",IF(K150=1,"Face quality",""))))</f>
        <v/>
      </c>
      <c r="N150">
        <f>MAX(C150:D150)</f>
        <v/>
      </c>
      <c r="O150">
        <f>IF(AND(L150="Keep",N150&lt;=$D$2),"Keep","Exclude")</f>
        <v/>
      </c>
      <c r="P150">
        <f>D150-C150</f>
        <v/>
      </c>
    </row>
    <row r="151">
      <c r="A151" t="inlineStr">
        <is>
          <t>RESP0208</t>
        </is>
      </c>
      <c r="B151">
        <f>INDEX(Session!$M$2:$M$261,MATCH($A151,Session!$A$2:$A$261,0))</f>
        <v/>
      </c>
      <c r="C151">
        <f>SUMIFS(Quality!$E$2:$E$1247,Quality!$A$2:$A$1247,$A151,Quality!$D$2:$D$1247,"Pre-study calibration")</f>
        <v/>
      </c>
      <c r="D151">
        <f>SUMIFS(Quality!$E$2:$E$1247,Quality!$A$2:$A$1247,$A151,Quality!$D$2:$D$1247,"Post-study calibration")</f>
        <v/>
      </c>
      <c r="E151">
        <f>SUMIFS(Quality!$F$2:$F$1247,Quality!$A$2:$A$1247,$A151,Quality!$D$2:$D$1247,"infographic")</f>
        <v/>
      </c>
      <c r="F151">
        <f>SUMIFS(Quality!$G$2:$G$1247,Quality!$A$2:$A$1247,$A151,Quality!$D$2:$D$1247,"foodwaste_narrative")</f>
        <v/>
      </c>
      <c r="G151">
        <f>SUMIFS(Quality!$G$2:$G$1247,Quality!$A$2:$A$1247,$A151,Quality!$D$2:$D$1247,"foodwaste_visual")</f>
        <v/>
      </c>
      <c r="H151">
        <f>IF(C151&gt;$B$2,1,0)</f>
        <v/>
      </c>
      <c r="I151">
        <f>IF(D151&gt;$B$2,1,0)</f>
        <v/>
      </c>
      <c r="J151">
        <f>IF(E151&lt;$F$2,1,0)</f>
        <v/>
      </c>
      <c r="K151">
        <f>IF(OR(F151&lt;$H$2,G151&lt;$H$2),1,0)</f>
        <v/>
      </c>
      <c r="L151">
        <f>IF(SUM(H151:K151)&gt;0,"Exclude","Keep")</f>
        <v/>
      </c>
      <c r="M151">
        <f>IF(H151=1,"Pre-study accuracy",IF(I151=1,"Post-study accuracy",IF(J151=1,"Eye tracking quality",IF(K151=1,"Face quality",""))))</f>
        <v/>
      </c>
      <c r="N151">
        <f>MAX(C151:D151)</f>
        <v/>
      </c>
      <c r="O151">
        <f>IF(AND(L151="Keep",N151&lt;=$D$2),"Keep","Exclude")</f>
        <v/>
      </c>
      <c r="P151">
        <f>D151-C151</f>
        <v/>
      </c>
    </row>
    <row r="152">
      <c r="A152" t="inlineStr">
        <is>
          <t>RESP0210</t>
        </is>
      </c>
      <c r="B152">
        <f>INDEX(Session!$M$2:$M$261,MATCH($A152,Session!$A$2:$A$261,0))</f>
        <v/>
      </c>
      <c r="C152">
        <f>SUMIFS(Quality!$E$2:$E$1247,Quality!$A$2:$A$1247,$A152,Quality!$D$2:$D$1247,"Pre-study calibration")</f>
        <v/>
      </c>
      <c r="D152">
        <f>SUMIFS(Quality!$E$2:$E$1247,Quality!$A$2:$A$1247,$A152,Quality!$D$2:$D$1247,"Post-study calibration")</f>
        <v/>
      </c>
      <c r="E152">
        <f>SUMIFS(Quality!$F$2:$F$1247,Quality!$A$2:$A$1247,$A152,Quality!$D$2:$D$1247,"infographic")</f>
        <v/>
      </c>
      <c r="F152">
        <f>SUMIFS(Quality!$G$2:$G$1247,Quality!$A$2:$A$1247,$A152,Quality!$D$2:$D$1247,"foodwaste_narrative")</f>
        <v/>
      </c>
      <c r="G152">
        <f>SUMIFS(Quality!$G$2:$G$1247,Quality!$A$2:$A$1247,$A152,Quality!$D$2:$D$1247,"foodwaste_visual")</f>
        <v/>
      </c>
      <c r="H152">
        <f>IF(C152&gt;$B$2,1,0)</f>
        <v/>
      </c>
      <c r="I152">
        <f>IF(D152&gt;$B$2,1,0)</f>
        <v/>
      </c>
      <c r="J152">
        <f>IF(E152&lt;$F$2,1,0)</f>
        <v/>
      </c>
      <c r="K152">
        <f>IF(OR(F152&lt;$H$2,G152&lt;$H$2),1,0)</f>
        <v/>
      </c>
      <c r="L152">
        <f>IF(SUM(H152:K152)&gt;0,"Exclude","Keep")</f>
        <v/>
      </c>
      <c r="M152">
        <f>IF(H152=1,"Pre-study accuracy",IF(I152=1,"Post-study accuracy",IF(J152=1,"Eye tracking quality",IF(K152=1,"Face quality",""))))</f>
        <v/>
      </c>
      <c r="N152">
        <f>MAX(C152:D152)</f>
        <v/>
      </c>
      <c r="O152">
        <f>IF(AND(L152="Keep",N152&lt;=$D$2),"Keep","Exclude")</f>
        <v/>
      </c>
      <c r="P152">
        <f>D152-C152</f>
        <v/>
      </c>
    </row>
    <row r="153">
      <c r="A153" t="inlineStr">
        <is>
          <t>RESP0211</t>
        </is>
      </c>
      <c r="B153">
        <f>INDEX(Session!$M$2:$M$261,MATCH($A153,Session!$A$2:$A$261,0))</f>
        <v/>
      </c>
      <c r="C153">
        <f>SUMIFS(Quality!$E$2:$E$1247,Quality!$A$2:$A$1247,$A153,Quality!$D$2:$D$1247,"Pre-study calibration")</f>
        <v/>
      </c>
      <c r="D153">
        <f>SUMIFS(Quality!$E$2:$E$1247,Quality!$A$2:$A$1247,$A153,Quality!$D$2:$D$1247,"Post-study calibration")</f>
        <v/>
      </c>
      <c r="E153">
        <f>SUMIFS(Quality!$F$2:$F$1247,Quality!$A$2:$A$1247,$A153,Quality!$D$2:$D$1247,"infographic")</f>
        <v/>
      </c>
      <c r="F153">
        <f>SUMIFS(Quality!$G$2:$G$1247,Quality!$A$2:$A$1247,$A153,Quality!$D$2:$D$1247,"foodwaste_narrative")</f>
        <v/>
      </c>
      <c r="G153">
        <f>SUMIFS(Quality!$G$2:$G$1247,Quality!$A$2:$A$1247,$A153,Quality!$D$2:$D$1247,"foodwaste_visual")</f>
        <v/>
      </c>
      <c r="H153">
        <f>IF(C153&gt;$B$2,1,0)</f>
        <v/>
      </c>
      <c r="I153">
        <f>IF(D153&gt;$B$2,1,0)</f>
        <v/>
      </c>
      <c r="J153">
        <f>IF(E153&lt;$F$2,1,0)</f>
        <v/>
      </c>
      <c r="K153">
        <f>IF(OR(F153&lt;$H$2,G153&lt;$H$2),1,0)</f>
        <v/>
      </c>
      <c r="L153">
        <f>IF(SUM(H153:K153)&gt;0,"Exclude","Keep")</f>
        <v/>
      </c>
      <c r="M153">
        <f>IF(H153=1,"Pre-study accuracy",IF(I153=1,"Post-study accuracy",IF(J153=1,"Eye tracking quality",IF(K153=1,"Face quality",""))))</f>
        <v/>
      </c>
      <c r="N153">
        <f>MAX(C153:D153)</f>
        <v/>
      </c>
      <c r="O153">
        <f>IF(AND(L153="Keep",N153&lt;=$D$2),"Keep","Exclude")</f>
        <v/>
      </c>
      <c r="P153">
        <f>D153-C153</f>
        <v/>
      </c>
    </row>
    <row r="154">
      <c r="A154" t="inlineStr">
        <is>
          <t>RESP0212</t>
        </is>
      </c>
      <c r="B154">
        <f>INDEX(Session!$M$2:$M$261,MATCH($A154,Session!$A$2:$A$261,0))</f>
        <v/>
      </c>
      <c r="C154">
        <f>SUMIFS(Quality!$E$2:$E$1247,Quality!$A$2:$A$1247,$A154,Quality!$D$2:$D$1247,"Pre-study calibration")</f>
        <v/>
      </c>
      <c r="D154">
        <f>SUMIFS(Quality!$E$2:$E$1247,Quality!$A$2:$A$1247,$A154,Quality!$D$2:$D$1247,"Post-study calibration")</f>
        <v/>
      </c>
      <c r="E154">
        <f>SUMIFS(Quality!$F$2:$F$1247,Quality!$A$2:$A$1247,$A154,Quality!$D$2:$D$1247,"infographic")</f>
        <v/>
      </c>
      <c r="F154">
        <f>SUMIFS(Quality!$G$2:$G$1247,Quality!$A$2:$A$1247,$A154,Quality!$D$2:$D$1247,"foodwaste_narrative")</f>
        <v/>
      </c>
      <c r="G154">
        <f>SUMIFS(Quality!$G$2:$G$1247,Quality!$A$2:$A$1247,$A154,Quality!$D$2:$D$1247,"foodwaste_visual")</f>
        <v/>
      </c>
      <c r="H154">
        <f>IF(C154&gt;$B$2,1,0)</f>
        <v/>
      </c>
      <c r="I154">
        <f>IF(D154&gt;$B$2,1,0)</f>
        <v/>
      </c>
      <c r="J154">
        <f>IF(E154&lt;$F$2,1,0)</f>
        <v/>
      </c>
      <c r="K154">
        <f>IF(OR(F154&lt;$H$2,G154&lt;$H$2),1,0)</f>
        <v/>
      </c>
      <c r="L154">
        <f>IF(SUM(H154:K154)&gt;0,"Exclude","Keep")</f>
        <v/>
      </c>
      <c r="M154">
        <f>IF(H154=1,"Pre-study accuracy",IF(I154=1,"Post-study accuracy",IF(J154=1,"Eye tracking quality",IF(K154=1,"Face quality",""))))</f>
        <v/>
      </c>
      <c r="N154">
        <f>MAX(C154:D154)</f>
        <v/>
      </c>
      <c r="O154">
        <f>IF(AND(L154="Keep",N154&lt;=$D$2),"Keep","Exclude")</f>
        <v/>
      </c>
      <c r="P154">
        <f>D154-C154</f>
        <v/>
      </c>
    </row>
    <row r="155">
      <c r="A155" t="inlineStr">
        <is>
          <t>RESP0214</t>
        </is>
      </c>
      <c r="B155">
        <f>INDEX(Session!$M$2:$M$261,MATCH($A155,Session!$A$2:$A$261,0))</f>
        <v/>
      </c>
      <c r="C155">
        <f>SUMIFS(Quality!$E$2:$E$1247,Quality!$A$2:$A$1247,$A155,Quality!$D$2:$D$1247,"Pre-study calibration")</f>
        <v/>
      </c>
      <c r="D155">
        <f>SUMIFS(Quality!$E$2:$E$1247,Quality!$A$2:$A$1247,$A155,Quality!$D$2:$D$1247,"Post-study calibration")</f>
        <v/>
      </c>
      <c r="E155">
        <f>SUMIFS(Quality!$F$2:$F$1247,Quality!$A$2:$A$1247,$A155,Quality!$D$2:$D$1247,"infographic")</f>
        <v/>
      </c>
      <c r="F155">
        <f>SUMIFS(Quality!$G$2:$G$1247,Quality!$A$2:$A$1247,$A155,Quality!$D$2:$D$1247,"foodwaste_narrative")</f>
        <v/>
      </c>
      <c r="G155">
        <f>SUMIFS(Quality!$G$2:$G$1247,Quality!$A$2:$A$1247,$A155,Quality!$D$2:$D$1247,"foodwaste_visual")</f>
        <v/>
      </c>
      <c r="H155">
        <f>IF(C155&gt;$B$2,1,0)</f>
        <v/>
      </c>
      <c r="I155">
        <f>IF(D155&gt;$B$2,1,0)</f>
        <v/>
      </c>
      <c r="J155">
        <f>IF(E155&lt;$F$2,1,0)</f>
        <v/>
      </c>
      <c r="K155">
        <f>IF(OR(F155&lt;$H$2,G155&lt;$H$2),1,0)</f>
        <v/>
      </c>
      <c r="L155">
        <f>IF(SUM(H155:K155)&gt;0,"Exclude","Keep")</f>
        <v/>
      </c>
      <c r="M155">
        <f>IF(H155=1,"Pre-study accuracy",IF(I155=1,"Post-study accuracy",IF(J155=1,"Eye tracking quality",IF(K155=1,"Face quality",""))))</f>
        <v/>
      </c>
      <c r="N155">
        <f>MAX(C155:D155)</f>
        <v/>
      </c>
      <c r="O155">
        <f>IF(AND(L155="Keep",N155&lt;=$D$2),"Keep","Exclude")</f>
        <v/>
      </c>
      <c r="P155">
        <f>D155-C155</f>
        <v/>
      </c>
    </row>
    <row r="156">
      <c r="A156" t="inlineStr">
        <is>
          <t>RESP0218</t>
        </is>
      </c>
      <c r="B156">
        <f>INDEX(Session!$M$2:$M$261,MATCH($A156,Session!$A$2:$A$261,0))</f>
        <v/>
      </c>
      <c r="C156">
        <f>SUMIFS(Quality!$E$2:$E$1247,Quality!$A$2:$A$1247,$A156,Quality!$D$2:$D$1247,"Pre-study calibration")</f>
        <v/>
      </c>
      <c r="D156">
        <f>SUMIFS(Quality!$E$2:$E$1247,Quality!$A$2:$A$1247,$A156,Quality!$D$2:$D$1247,"Post-study calibration")</f>
        <v/>
      </c>
      <c r="E156">
        <f>SUMIFS(Quality!$F$2:$F$1247,Quality!$A$2:$A$1247,$A156,Quality!$D$2:$D$1247,"infographic")</f>
        <v/>
      </c>
      <c r="F156">
        <f>SUMIFS(Quality!$G$2:$G$1247,Quality!$A$2:$A$1247,$A156,Quality!$D$2:$D$1247,"foodwaste_narrative")</f>
        <v/>
      </c>
      <c r="G156">
        <f>SUMIFS(Quality!$G$2:$G$1247,Quality!$A$2:$A$1247,$A156,Quality!$D$2:$D$1247,"foodwaste_visual")</f>
        <v/>
      </c>
      <c r="H156">
        <f>IF(C156&gt;$B$2,1,0)</f>
        <v/>
      </c>
      <c r="I156">
        <f>IF(D156&gt;$B$2,1,0)</f>
        <v/>
      </c>
      <c r="J156">
        <f>IF(E156&lt;$F$2,1,0)</f>
        <v/>
      </c>
      <c r="K156">
        <f>IF(OR(F156&lt;$H$2,G156&lt;$H$2),1,0)</f>
        <v/>
      </c>
      <c r="L156">
        <f>IF(SUM(H156:K156)&gt;0,"Exclude","Keep")</f>
        <v/>
      </c>
      <c r="M156">
        <f>IF(H156=1,"Pre-study accuracy",IF(I156=1,"Post-study accuracy",IF(J156=1,"Eye tracking quality",IF(K156=1,"Face quality",""))))</f>
        <v/>
      </c>
      <c r="N156">
        <f>MAX(C156:D156)</f>
        <v/>
      </c>
      <c r="O156">
        <f>IF(AND(L156="Keep",N156&lt;=$D$2),"Keep","Exclude")</f>
        <v/>
      </c>
      <c r="P156">
        <f>D156-C156</f>
        <v/>
      </c>
    </row>
    <row r="157">
      <c r="A157" t="inlineStr">
        <is>
          <t>RESP0219</t>
        </is>
      </c>
      <c r="B157">
        <f>INDEX(Session!$M$2:$M$261,MATCH($A157,Session!$A$2:$A$261,0))</f>
        <v/>
      </c>
      <c r="C157">
        <f>SUMIFS(Quality!$E$2:$E$1247,Quality!$A$2:$A$1247,$A157,Quality!$D$2:$D$1247,"Pre-study calibration")</f>
        <v/>
      </c>
      <c r="D157">
        <f>SUMIFS(Quality!$E$2:$E$1247,Quality!$A$2:$A$1247,$A157,Quality!$D$2:$D$1247,"Post-study calibration")</f>
        <v/>
      </c>
      <c r="E157">
        <f>SUMIFS(Quality!$F$2:$F$1247,Quality!$A$2:$A$1247,$A157,Quality!$D$2:$D$1247,"infographic")</f>
        <v/>
      </c>
      <c r="F157">
        <f>SUMIFS(Quality!$G$2:$G$1247,Quality!$A$2:$A$1247,$A157,Quality!$D$2:$D$1247,"foodwaste_narrative")</f>
        <v/>
      </c>
      <c r="G157">
        <f>SUMIFS(Quality!$G$2:$G$1247,Quality!$A$2:$A$1247,$A157,Quality!$D$2:$D$1247,"foodwaste_visual")</f>
        <v/>
      </c>
      <c r="H157">
        <f>IF(C157&gt;$B$2,1,0)</f>
        <v/>
      </c>
      <c r="I157">
        <f>IF(D157&gt;$B$2,1,0)</f>
        <v/>
      </c>
      <c r="J157">
        <f>IF(E157&lt;$F$2,1,0)</f>
        <v/>
      </c>
      <c r="K157">
        <f>IF(OR(F157&lt;$H$2,G157&lt;$H$2),1,0)</f>
        <v/>
      </c>
      <c r="L157">
        <f>IF(SUM(H157:K157)&gt;0,"Exclude","Keep")</f>
        <v/>
      </c>
      <c r="M157">
        <f>IF(H157=1,"Pre-study accuracy",IF(I157=1,"Post-study accuracy",IF(J157=1,"Eye tracking quality",IF(K157=1,"Face quality",""))))</f>
        <v/>
      </c>
      <c r="N157">
        <f>MAX(C157:D157)</f>
        <v/>
      </c>
      <c r="O157">
        <f>IF(AND(L157="Keep",N157&lt;=$D$2),"Keep","Exclude")</f>
        <v/>
      </c>
      <c r="P157">
        <f>D157-C157</f>
        <v/>
      </c>
    </row>
    <row r="158">
      <c r="A158" t="inlineStr">
        <is>
          <t>RESP0222</t>
        </is>
      </c>
      <c r="B158">
        <f>INDEX(Session!$M$2:$M$261,MATCH($A158,Session!$A$2:$A$261,0))</f>
        <v/>
      </c>
      <c r="C158">
        <f>SUMIFS(Quality!$E$2:$E$1247,Quality!$A$2:$A$1247,$A158,Quality!$D$2:$D$1247,"Pre-study calibration")</f>
        <v/>
      </c>
      <c r="D158">
        <f>SUMIFS(Quality!$E$2:$E$1247,Quality!$A$2:$A$1247,$A158,Quality!$D$2:$D$1247,"Post-study calibration")</f>
        <v/>
      </c>
      <c r="E158">
        <f>SUMIFS(Quality!$F$2:$F$1247,Quality!$A$2:$A$1247,$A158,Quality!$D$2:$D$1247,"infographic")</f>
        <v/>
      </c>
      <c r="F158">
        <f>SUMIFS(Quality!$G$2:$G$1247,Quality!$A$2:$A$1247,$A158,Quality!$D$2:$D$1247,"foodwaste_narrative")</f>
        <v/>
      </c>
      <c r="G158">
        <f>SUMIFS(Quality!$G$2:$G$1247,Quality!$A$2:$A$1247,$A158,Quality!$D$2:$D$1247,"foodwaste_visual")</f>
        <v/>
      </c>
      <c r="H158">
        <f>IF(C158&gt;$B$2,1,0)</f>
        <v/>
      </c>
      <c r="I158">
        <f>IF(D158&gt;$B$2,1,0)</f>
        <v/>
      </c>
      <c r="J158">
        <f>IF(E158&lt;$F$2,1,0)</f>
        <v/>
      </c>
      <c r="K158">
        <f>IF(OR(F158&lt;$H$2,G158&lt;$H$2),1,0)</f>
        <v/>
      </c>
      <c r="L158">
        <f>IF(SUM(H158:K158)&gt;0,"Exclude","Keep")</f>
        <v/>
      </c>
      <c r="M158">
        <f>IF(H158=1,"Pre-study accuracy",IF(I158=1,"Post-study accuracy",IF(J158=1,"Eye tracking quality",IF(K158=1,"Face quality",""))))</f>
        <v/>
      </c>
      <c r="N158">
        <f>MAX(C158:D158)</f>
        <v/>
      </c>
      <c r="O158">
        <f>IF(AND(L158="Keep",N158&lt;=$D$2),"Keep","Exclude")</f>
        <v/>
      </c>
      <c r="P158">
        <f>D158-C158</f>
        <v/>
      </c>
    </row>
    <row r="159">
      <c r="A159" t="inlineStr">
        <is>
          <t>RESP0223</t>
        </is>
      </c>
      <c r="B159">
        <f>INDEX(Session!$M$2:$M$261,MATCH($A159,Session!$A$2:$A$261,0))</f>
        <v/>
      </c>
      <c r="C159">
        <f>SUMIFS(Quality!$E$2:$E$1247,Quality!$A$2:$A$1247,$A159,Quality!$D$2:$D$1247,"Pre-study calibration")</f>
        <v/>
      </c>
      <c r="D159">
        <f>SUMIFS(Quality!$E$2:$E$1247,Quality!$A$2:$A$1247,$A159,Quality!$D$2:$D$1247,"Post-study calibration")</f>
        <v/>
      </c>
      <c r="E159">
        <f>SUMIFS(Quality!$F$2:$F$1247,Quality!$A$2:$A$1247,$A159,Quality!$D$2:$D$1247,"infographic")</f>
        <v/>
      </c>
      <c r="F159">
        <f>SUMIFS(Quality!$G$2:$G$1247,Quality!$A$2:$A$1247,$A159,Quality!$D$2:$D$1247,"foodwaste_narrative")</f>
        <v/>
      </c>
      <c r="G159">
        <f>SUMIFS(Quality!$G$2:$G$1247,Quality!$A$2:$A$1247,$A159,Quality!$D$2:$D$1247,"foodwaste_visual")</f>
        <v/>
      </c>
      <c r="H159">
        <f>IF(C159&gt;$B$2,1,0)</f>
        <v/>
      </c>
      <c r="I159">
        <f>IF(D159&gt;$B$2,1,0)</f>
        <v/>
      </c>
      <c r="J159">
        <f>IF(E159&lt;$F$2,1,0)</f>
        <v/>
      </c>
      <c r="K159">
        <f>IF(OR(F159&lt;$H$2,G159&lt;$H$2),1,0)</f>
        <v/>
      </c>
      <c r="L159">
        <f>IF(SUM(H159:K159)&gt;0,"Exclude","Keep")</f>
        <v/>
      </c>
      <c r="M159">
        <f>IF(H159=1,"Pre-study accuracy",IF(I159=1,"Post-study accuracy",IF(J159=1,"Eye tracking quality",IF(K159=1,"Face quality",""))))</f>
        <v/>
      </c>
      <c r="N159">
        <f>MAX(C159:D159)</f>
        <v/>
      </c>
      <c r="O159">
        <f>IF(AND(L159="Keep",N159&lt;=$D$2),"Keep","Exclude")</f>
        <v/>
      </c>
      <c r="P159">
        <f>D159-C159</f>
        <v/>
      </c>
    </row>
    <row r="160">
      <c r="A160" t="inlineStr">
        <is>
          <t>RESP0224</t>
        </is>
      </c>
      <c r="B160">
        <f>INDEX(Session!$M$2:$M$261,MATCH($A160,Session!$A$2:$A$261,0))</f>
        <v/>
      </c>
      <c r="C160">
        <f>SUMIFS(Quality!$E$2:$E$1247,Quality!$A$2:$A$1247,$A160,Quality!$D$2:$D$1247,"Pre-study calibration")</f>
        <v/>
      </c>
      <c r="D160">
        <f>SUMIFS(Quality!$E$2:$E$1247,Quality!$A$2:$A$1247,$A160,Quality!$D$2:$D$1247,"Post-study calibration")</f>
        <v/>
      </c>
      <c r="E160">
        <f>SUMIFS(Quality!$F$2:$F$1247,Quality!$A$2:$A$1247,$A160,Quality!$D$2:$D$1247,"infographic")</f>
        <v/>
      </c>
      <c r="F160">
        <f>SUMIFS(Quality!$G$2:$G$1247,Quality!$A$2:$A$1247,$A160,Quality!$D$2:$D$1247,"foodwaste_narrative")</f>
        <v/>
      </c>
      <c r="G160">
        <f>SUMIFS(Quality!$G$2:$G$1247,Quality!$A$2:$A$1247,$A160,Quality!$D$2:$D$1247,"foodwaste_visual")</f>
        <v/>
      </c>
      <c r="H160">
        <f>IF(C160&gt;$B$2,1,0)</f>
        <v/>
      </c>
      <c r="I160">
        <f>IF(D160&gt;$B$2,1,0)</f>
        <v/>
      </c>
      <c r="J160">
        <f>IF(E160&lt;$F$2,1,0)</f>
        <v/>
      </c>
      <c r="K160">
        <f>IF(OR(F160&lt;$H$2,G160&lt;$H$2),1,0)</f>
        <v/>
      </c>
      <c r="L160">
        <f>IF(SUM(H160:K160)&gt;0,"Exclude","Keep")</f>
        <v/>
      </c>
      <c r="M160">
        <f>IF(H160=1,"Pre-study accuracy",IF(I160=1,"Post-study accuracy",IF(J160=1,"Eye tracking quality",IF(K160=1,"Face quality",""))))</f>
        <v/>
      </c>
      <c r="N160">
        <f>MAX(C160:D160)</f>
        <v/>
      </c>
      <c r="O160">
        <f>IF(AND(L160="Keep",N160&lt;=$D$2),"Keep","Exclude")</f>
        <v/>
      </c>
      <c r="P160">
        <f>D160-C160</f>
        <v/>
      </c>
    </row>
    <row r="161">
      <c r="A161" t="inlineStr">
        <is>
          <t>RESP0226</t>
        </is>
      </c>
      <c r="B161">
        <f>INDEX(Session!$M$2:$M$261,MATCH($A161,Session!$A$2:$A$261,0))</f>
        <v/>
      </c>
      <c r="C161">
        <f>SUMIFS(Quality!$E$2:$E$1247,Quality!$A$2:$A$1247,$A161,Quality!$D$2:$D$1247,"Pre-study calibration")</f>
        <v/>
      </c>
      <c r="D161">
        <f>SUMIFS(Quality!$E$2:$E$1247,Quality!$A$2:$A$1247,$A161,Quality!$D$2:$D$1247,"Post-study calibration")</f>
        <v/>
      </c>
      <c r="E161">
        <f>SUMIFS(Quality!$F$2:$F$1247,Quality!$A$2:$A$1247,$A161,Quality!$D$2:$D$1247,"infographic")</f>
        <v/>
      </c>
      <c r="F161">
        <f>SUMIFS(Quality!$G$2:$G$1247,Quality!$A$2:$A$1247,$A161,Quality!$D$2:$D$1247,"foodwaste_narrative")</f>
        <v/>
      </c>
      <c r="G161">
        <f>SUMIFS(Quality!$G$2:$G$1247,Quality!$A$2:$A$1247,$A161,Quality!$D$2:$D$1247,"foodwaste_visual")</f>
        <v/>
      </c>
      <c r="H161">
        <f>IF(C161&gt;$B$2,1,0)</f>
        <v/>
      </c>
      <c r="I161">
        <f>IF(D161&gt;$B$2,1,0)</f>
        <v/>
      </c>
      <c r="J161">
        <f>IF(E161&lt;$F$2,1,0)</f>
        <v/>
      </c>
      <c r="K161">
        <f>IF(OR(F161&lt;$H$2,G161&lt;$H$2),1,0)</f>
        <v/>
      </c>
      <c r="L161">
        <f>IF(SUM(H161:K161)&gt;0,"Exclude","Keep")</f>
        <v/>
      </c>
      <c r="M161">
        <f>IF(H161=1,"Pre-study accuracy",IF(I161=1,"Post-study accuracy",IF(J161=1,"Eye tracking quality",IF(K161=1,"Face quality",""))))</f>
        <v/>
      </c>
      <c r="N161">
        <f>MAX(C161:D161)</f>
        <v/>
      </c>
      <c r="O161">
        <f>IF(AND(L161="Keep",N161&lt;=$D$2),"Keep","Exclude")</f>
        <v/>
      </c>
      <c r="P161">
        <f>D161-C161</f>
        <v/>
      </c>
    </row>
    <row r="162">
      <c r="A162" t="inlineStr">
        <is>
          <t>RESP0227</t>
        </is>
      </c>
      <c r="B162">
        <f>INDEX(Session!$M$2:$M$261,MATCH($A162,Session!$A$2:$A$261,0))</f>
        <v/>
      </c>
      <c r="C162">
        <f>SUMIFS(Quality!$E$2:$E$1247,Quality!$A$2:$A$1247,$A162,Quality!$D$2:$D$1247,"Pre-study calibration")</f>
        <v/>
      </c>
      <c r="D162">
        <f>SUMIFS(Quality!$E$2:$E$1247,Quality!$A$2:$A$1247,$A162,Quality!$D$2:$D$1247,"Post-study calibration")</f>
        <v/>
      </c>
      <c r="E162">
        <f>SUMIFS(Quality!$F$2:$F$1247,Quality!$A$2:$A$1247,$A162,Quality!$D$2:$D$1247,"infographic")</f>
        <v/>
      </c>
      <c r="F162">
        <f>SUMIFS(Quality!$G$2:$G$1247,Quality!$A$2:$A$1247,$A162,Quality!$D$2:$D$1247,"foodwaste_narrative")</f>
        <v/>
      </c>
      <c r="G162">
        <f>SUMIFS(Quality!$G$2:$G$1247,Quality!$A$2:$A$1247,$A162,Quality!$D$2:$D$1247,"foodwaste_visual")</f>
        <v/>
      </c>
      <c r="H162">
        <f>IF(C162&gt;$B$2,1,0)</f>
        <v/>
      </c>
      <c r="I162">
        <f>IF(D162&gt;$B$2,1,0)</f>
        <v/>
      </c>
      <c r="J162">
        <f>IF(E162&lt;$F$2,1,0)</f>
        <v/>
      </c>
      <c r="K162">
        <f>IF(OR(F162&lt;$H$2,G162&lt;$H$2),1,0)</f>
        <v/>
      </c>
      <c r="L162">
        <f>IF(SUM(H162:K162)&gt;0,"Exclude","Keep")</f>
        <v/>
      </c>
      <c r="M162">
        <f>IF(H162=1,"Pre-study accuracy",IF(I162=1,"Post-study accuracy",IF(J162=1,"Eye tracking quality",IF(K162=1,"Face quality",""))))</f>
        <v/>
      </c>
      <c r="N162">
        <f>MAX(C162:D162)</f>
        <v/>
      </c>
      <c r="O162">
        <f>IF(AND(L162="Keep",N162&lt;=$D$2),"Keep","Exclude")</f>
        <v/>
      </c>
      <c r="P162">
        <f>D162-C162</f>
        <v/>
      </c>
    </row>
    <row r="163">
      <c r="A163" t="inlineStr">
        <is>
          <t>RESP0228</t>
        </is>
      </c>
      <c r="B163">
        <f>INDEX(Session!$M$2:$M$261,MATCH($A163,Session!$A$2:$A$261,0))</f>
        <v/>
      </c>
      <c r="C163">
        <f>SUMIFS(Quality!$E$2:$E$1247,Quality!$A$2:$A$1247,$A163,Quality!$D$2:$D$1247,"Pre-study calibration")</f>
        <v/>
      </c>
      <c r="D163">
        <f>SUMIFS(Quality!$E$2:$E$1247,Quality!$A$2:$A$1247,$A163,Quality!$D$2:$D$1247,"Post-study calibration")</f>
        <v/>
      </c>
      <c r="E163">
        <f>SUMIFS(Quality!$F$2:$F$1247,Quality!$A$2:$A$1247,$A163,Quality!$D$2:$D$1247,"infographic")</f>
        <v/>
      </c>
      <c r="F163">
        <f>SUMIFS(Quality!$G$2:$G$1247,Quality!$A$2:$A$1247,$A163,Quality!$D$2:$D$1247,"foodwaste_narrative")</f>
        <v/>
      </c>
      <c r="G163">
        <f>SUMIFS(Quality!$G$2:$G$1247,Quality!$A$2:$A$1247,$A163,Quality!$D$2:$D$1247,"foodwaste_visual")</f>
        <v/>
      </c>
      <c r="H163">
        <f>IF(C163&gt;$B$2,1,0)</f>
        <v/>
      </c>
      <c r="I163">
        <f>IF(D163&gt;$B$2,1,0)</f>
        <v/>
      </c>
      <c r="J163">
        <f>IF(E163&lt;$F$2,1,0)</f>
        <v/>
      </c>
      <c r="K163">
        <f>IF(OR(F163&lt;$H$2,G163&lt;$H$2),1,0)</f>
        <v/>
      </c>
      <c r="L163">
        <f>IF(SUM(H163:K163)&gt;0,"Exclude","Keep")</f>
        <v/>
      </c>
      <c r="M163">
        <f>IF(H163=1,"Pre-study accuracy",IF(I163=1,"Post-study accuracy",IF(J163=1,"Eye tracking quality",IF(K163=1,"Face quality",""))))</f>
        <v/>
      </c>
      <c r="N163">
        <f>MAX(C163:D163)</f>
        <v/>
      </c>
      <c r="O163">
        <f>IF(AND(L163="Keep",N163&lt;=$D$2),"Keep","Exclude")</f>
        <v/>
      </c>
      <c r="P163">
        <f>D163-C163</f>
        <v/>
      </c>
    </row>
    <row r="164">
      <c r="A164" t="inlineStr">
        <is>
          <t>RESP0229</t>
        </is>
      </c>
      <c r="B164">
        <f>INDEX(Session!$M$2:$M$261,MATCH($A164,Session!$A$2:$A$261,0))</f>
        <v/>
      </c>
      <c r="C164">
        <f>SUMIFS(Quality!$E$2:$E$1247,Quality!$A$2:$A$1247,$A164,Quality!$D$2:$D$1247,"Pre-study calibration")</f>
        <v/>
      </c>
      <c r="D164">
        <f>SUMIFS(Quality!$E$2:$E$1247,Quality!$A$2:$A$1247,$A164,Quality!$D$2:$D$1247,"Post-study calibration")</f>
        <v/>
      </c>
      <c r="E164">
        <f>SUMIFS(Quality!$F$2:$F$1247,Quality!$A$2:$A$1247,$A164,Quality!$D$2:$D$1247,"infographic")</f>
        <v/>
      </c>
      <c r="F164">
        <f>SUMIFS(Quality!$G$2:$G$1247,Quality!$A$2:$A$1247,$A164,Quality!$D$2:$D$1247,"foodwaste_narrative")</f>
        <v/>
      </c>
      <c r="G164">
        <f>SUMIFS(Quality!$G$2:$G$1247,Quality!$A$2:$A$1247,$A164,Quality!$D$2:$D$1247,"foodwaste_visual")</f>
        <v/>
      </c>
      <c r="H164">
        <f>IF(C164&gt;$B$2,1,0)</f>
        <v/>
      </c>
      <c r="I164">
        <f>IF(D164&gt;$B$2,1,0)</f>
        <v/>
      </c>
      <c r="J164">
        <f>IF(E164&lt;$F$2,1,0)</f>
        <v/>
      </c>
      <c r="K164">
        <f>IF(OR(F164&lt;$H$2,G164&lt;$H$2),1,0)</f>
        <v/>
      </c>
      <c r="L164">
        <f>IF(SUM(H164:K164)&gt;0,"Exclude","Keep")</f>
        <v/>
      </c>
      <c r="M164">
        <f>IF(H164=1,"Pre-study accuracy",IF(I164=1,"Post-study accuracy",IF(J164=1,"Eye tracking quality",IF(K164=1,"Face quality",""))))</f>
        <v/>
      </c>
      <c r="N164">
        <f>MAX(C164:D164)</f>
        <v/>
      </c>
      <c r="O164">
        <f>IF(AND(L164="Keep",N164&lt;=$D$2),"Keep","Exclude")</f>
        <v/>
      </c>
      <c r="P164">
        <f>D164-C164</f>
        <v/>
      </c>
    </row>
    <row r="165">
      <c r="A165" t="inlineStr">
        <is>
          <t>RESP0234</t>
        </is>
      </c>
      <c r="B165">
        <f>INDEX(Session!$M$2:$M$261,MATCH($A165,Session!$A$2:$A$261,0))</f>
        <v/>
      </c>
      <c r="C165">
        <f>SUMIFS(Quality!$E$2:$E$1247,Quality!$A$2:$A$1247,$A165,Quality!$D$2:$D$1247,"Pre-study calibration")</f>
        <v/>
      </c>
      <c r="D165">
        <f>SUMIFS(Quality!$E$2:$E$1247,Quality!$A$2:$A$1247,$A165,Quality!$D$2:$D$1247,"Post-study calibration")</f>
        <v/>
      </c>
      <c r="E165">
        <f>SUMIFS(Quality!$F$2:$F$1247,Quality!$A$2:$A$1247,$A165,Quality!$D$2:$D$1247,"infographic")</f>
        <v/>
      </c>
      <c r="F165">
        <f>SUMIFS(Quality!$G$2:$G$1247,Quality!$A$2:$A$1247,$A165,Quality!$D$2:$D$1247,"foodwaste_narrative")</f>
        <v/>
      </c>
      <c r="G165">
        <f>SUMIFS(Quality!$G$2:$G$1247,Quality!$A$2:$A$1247,$A165,Quality!$D$2:$D$1247,"foodwaste_visual")</f>
        <v/>
      </c>
      <c r="H165">
        <f>IF(C165&gt;$B$2,1,0)</f>
        <v/>
      </c>
      <c r="I165">
        <f>IF(D165&gt;$B$2,1,0)</f>
        <v/>
      </c>
      <c r="J165">
        <f>IF(E165&lt;$F$2,1,0)</f>
        <v/>
      </c>
      <c r="K165">
        <f>IF(OR(F165&lt;$H$2,G165&lt;$H$2),1,0)</f>
        <v/>
      </c>
      <c r="L165">
        <f>IF(SUM(H165:K165)&gt;0,"Exclude","Keep")</f>
        <v/>
      </c>
      <c r="M165">
        <f>IF(H165=1,"Pre-study accuracy",IF(I165=1,"Post-study accuracy",IF(J165=1,"Eye tracking quality",IF(K165=1,"Face quality",""))))</f>
        <v/>
      </c>
      <c r="N165">
        <f>MAX(C165:D165)</f>
        <v/>
      </c>
      <c r="O165">
        <f>IF(AND(L165="Keep",N165&lt;=$D$2),"Keep","Exclude")</f>
        <v/>
      </c>
      <c r="P165">
        <f>D165-C165</f>
        <v/>
      </c>
    </row>
    <row r="166">
      <c r="A166" t="inlineStr">
        <is>
          <t>RESP0236</t>
        </is>
      </c>
      <c r="B166">
        <f>INDEX(Session!$M$2:$M$261,MATCH($A166,Session!$A$2:$A$261,0))</f>
        <v/>
      </c>
      <c r="C166">
        <f>SUMIFS(Quality!$E$2:$E$1247,Quality!$A$2:$A$1247,$A166,Quality!$D$2:$D$1247,"Pre-study calibration")</f>
        <v/>
      </c>
      <c r="D166">
        <f>SUMIFS(Quality!$E$2:$E$1247,Quality!$A$2:$A$1247,$A166,Quality!$D$2:$D$1247,"Post-study calibration")</f>
        <v/>
      </c>
      <c r="E166">
        <f>SUMIFS(Quality!$F$2:$F$1247,Quality!$A$2:$A$1247,$A166,Quality!$D$2:$D$1247,"infographic")</f>
        <v/>
      </c>
      <c r="F166">
        <f>SUMIFS(Quality!$G$2:$G$1247,Quality!$A$2:$A$1247,$A166,Quality!$D$2:$D$1247,"foodwaste_narrative")</f>
        <v/>
      </c>
      <c r="G166">
        <f>SUMIFS(Quality!$G$2:$G$1247,Quality!$A$2:$A$1247,$A166,Quality!$D$2:$D$1247,"foodwaste_visual")</f>
        <v/>
      </c>
      <c r="H166">
        <f>IF(C166&gt;$B$2,1,0)</f>
        <v/>
      </c>
      <c r="I166">
        <f>IF(D166&gt;$B$2,1,0)</f>
        <v/>
      </c>
      <c r="J166">
        <f>IF(E166&lt;$F$2,1,0)</f>
        <v/>
      </c>
      <c r="K166">
        <f>IF(OR(F166&lt;$H$2,G166&lt;$H$2),1,0)</f>
        <v/>
      </c>
      <c r="L166">
        <f>IF(SUM(H166:K166)&gt;0,"Exclude","Keep")</f>
        <v/>
      </c>
      <c r="M166">
        <f>IF(H166=1,"Pre-study accuracy",IF(I166=1,"Post-study accuracy",IF(J166=1,"Eye tracking quality",IF(K166=1,"Face quality",""))))</f>
        <v/>
      </c>
      <c r="N166">
        <f>MAX(C166:D166)</f>
        <v/>
      </c>
      <c r="O166">
        <f>IF(AND(L166="Keep",N166&lt;=$D$2),"Keep","Exclude")</f>
        <v/>
      </c>
      <c r="P166">
        <f>D166-C166</f>
        <v/>
      </c>
    </row>
    <row r="167">
      <c r="A167" t="inlineStr">
        <is>
          <t>RESP0237</t>
        </is>
      </c>
      <c r="B167">
        <f>INDEX(Session!$M$2:$M$261,MATCH($A167,Session!$A$2:$A$261,0))</f>
        <v/>
      </c>
      <c r="C167">
        <f>SUMIFS(Quality!$E$2:$E$1247,Quality!$A$2:$A$1247,$A167,Quality!$D$2:$D$1247,"Pre-study calibration")</f>
        <v/>
      </c>
      <c r="D167">
        <f>SUMIFS(Quality!$E$2:$E$1247,Quality!$A$2:$A$1247,$A167,Quality!$D$2:$D$1247,"Post-study calibration")</f>
        <v/>
      </c>
      <c r="E167">
        <f>SUMIFS(Quality!$F$2:$F$1247,Quality!$A$2:$A$1247,$A167,Quality!$D$2:$D$1247,"infographic")</f>
        <v/>
      </c>
      <c r="F167">
        <f>SUMIFS(Quality!$G$2:$G$1247,Quality!$A$2:$A$1247,$A167,Quality!$D$2:$D$1247,"foodwaste_narrative")</f>
        <v/>
      </c>
      <c r="G167">
        <f>SUMIFS(Quality!$G$2:$G$1247,Quality!$A$2:$A$1247,$A167,Quality!$D$2:$D$1247,"foodwaste_visual")</f>
        <v/>
      </c>
      <c r="H167">
        <f>IF(C167&gt;$B$2,1,0)</f>
        <v/>
      </c>
      <c r="I167">
        <f>IF(D167&gt;$B$2,1,0)</f>
        <v/>
      </c>
      <c r="J167">
        <f>IF(E167&lt;$F$2,1,0)</f>
        <v/>
      </c>
      <c r="K167">
        <f>IF(OR(F167&lt;$H$2,G167&lt;$H$2),1,0)</f>
        <v/>
      </c>
      <c r="L167">
        <f>IF(SUM(H167:K167)&gt;0,"Exclude","Keep")</f>
        <v/>
      </c>
      <c r="M167">
        <f>IF(H167=1,"Pre-study accuracy",IF(I167=1,"Post-study accuracy",IF(J167=1,"Eye tracking quality",IF(K167=1,"Face quality",""))))</f>
        <v/>
      </c>
      <c r="N167">
        <f>MAX(C167:D167)</f>
        <v/>
      </c>
      <c r="O167">
        <f>IF(AND(L167="Keep",N167&lt;=$D$2),"Keep","Exclude")</f>
        <v/>
      </c>
      <c r="P167">
        <f>D167-C167</f>
        <v/>
      </c>
    </row>
    <row r="168">
      <c r="A168" t="inlineStr">
        <is>
          <t>RESP0238</t>
        </is>
      </c>
      <c r="B168">
        <f>INDEX(Session!$M$2:$M$261,MATCH($A168,Session!$A$2:$A$261,0))</f>
        <v/>
      </c>
      <c r="C168">
        <f>SUMIFS(Quality!$E$2:$E$1247,Quality!$A$2:$A$1247,$A168,Quality!$D$2:$D$1247,"Pre-study calibration")</f>
        <v/>
      </c>
      <c r="D168">
        <f>SUMIFS(Quality!$E$2:$E$1247,Quality!$A$2:$A$1247,$A168,Quality!$D$2:$D$1247,"Post-study calibration")</f>
        <v/>
      </c>
      <c r="E168">
        <f>SUMIFS(Quality!$F$2:$F$1247,Quality!$A$2:$A$1247,$A168,Quality!$D$2:$D$1247,"infographic")</f>
        <v/>
      </c>
      <c r="F168">
        <f>SUMIFS(Quality!$G$2:$G$1247,Quality!$A$2:$A$1247,$A168,Quality!$D$2:$D$1247,"foodwaste_narrative")</f>
        <v/>
      </c>
      <c r="G168">
        <f>SUMIFS(Quality!$G$2:$G$1247,Quality!$A$2:$A$1247,$A168,Quality!$D$2:$D$1247,"foodwaste_visual")</f>
        <v/>
      </c>
      <c r="H168">
        <f>IF(C168&gt;$B$2,1,0)</f>
        <v/>
      </c>
      <c r="I168">
        <f>IF(D168&gt;$B$2,1,0)</f>
        <v/>
      </c>
      <c r="J168">
        <f>IF(E168&lt;$F$2,1,0)</f>
        <v/>
      </c>
      <c r="K168">
        <f>IF(OR(F168&lt;$H$2,G168&lt;$H$2),1,0)</f>
        <v/>
      </c>
      <c r="L168">
        <f>IF(SUM(H168:K168)&gt;0,"Exclude","Keep")</f>
        <v/>
      </c>
      <c r="M168">
        <f>IF(H168=1,"Pre-study accuracy",IF(I168=1,"Post-study accuracy",IF(J168=1,"Eye tracking quality",IF(K168=1,"Face quality",""))))</f>
        <v/>
      </c>
      <c r="N168">
        <f>MAX(C168:D168)</f>
        <v/>
      </c>
      <c r="O168">
        <f>IF(AND(L168="Keep",N168&lt;=$D$2),"Keep","Exclude")</f>
        <v/>
      </c>
      <c r="P168">
        <f>D168-C168</f>
        <v/>
      </c>
    </row>
    <row r="169">
      <c r="A169" t="inlineStr">
        <is>
          <t>RESP0240</t>
        </is>
      </c>
      <c r="B169">
        <f>INDEX(Session!$M$2:$M$261,MATCH($A169,Session!$A$2:$A$261,0))</f>
        <v/>
      </c>
      <c r="C169">
        <f>SUMIFS(Quality!$E$2:$E$1247,Quality!$A$2:$A$1247,$A169,Quality!$D$2:$D$1247,"Pre-study calibration")</f>
        <v/>
      </c>
      <c r="D169">
        <f>SUMIFS(Quality!$E$2:$E$1247,Quality!$A$2:$A$1247,$A169,Quality!$D$2:$D$1247,"Post-study calibration")</f>
        <v/>
      </c>
      <c r="E169">
        <f>SUMIFS(Quality!$F$2:$F$1247,Quality!$A$2:$A$1247,$A169,Quality!$D$2:$D$1247,"infographic")</f>
        <v/>
      </c>
      <c r="F169">
        <f>SUMIFS(Quality!$G$2:$G$1247,Quality!$A$2:$A$1247,$A169,Quality!$D$2:$D$1247,"foodwaste_narrative")</f>
        <v/>
      </c>
      <c r="G169">
        <f>SUMIFS(Quality!$G$2:$G$1247,Quality!$A$2:$A$1247,$A169,Quality!$D$2:$D$1247,"foodwaste_visual")</f>
        <v/>
      </c>
      <c r="H169">
        <f>IF(C169&gt;$B$2,1,0)</f>
        <v/>
      </c>
      <c r="I169">
        <f>IF(D169&gt;$B$2,1,0)</f>
        <v/>
      </c>
      <c r="J169">
        <f>IF(E169&lt;$F$2,1,0)</f>
        <v/>
      </c>
      <c r="K169">
        <f>IF(OR(F169&lt;$H$2,G169&lt;$H$2),1,0)</f>
        <v/>
      </c>
      <c r="L169">
        <f>IF(SUM(H169:K169)&gt;0,"Exclude","Keep")</f>
        <v/>
      </c>
      <c r="M169">
        <f>IF(H169=1,"Pre-study accuracy",IF(I169=1,"Post-study accuracy",IF(J169=1,"Eye tracking quality",IF(K169=1,"Face quality",""))))</f>
        <v/>
      </c>
      <c r="N169">
        <f>MAX(C169:D169)</f>
        <v/>
      </c>
      <c r="O169">
        <f>IF(AND(L169="Keep",N169&lt;=$D$2),"Keep","Exclude")</f>
        <v/>
      </c>
      <c r="P169">
        <f>D169-C169</f>
        <v/>
      </c>
    </row>
    <row r="170">
      <c r="A170" t="inlineStr">
        <is>
          <t>RESP0243</t>
        </is>
      </c>
      <c r="B170">
        <f>INDEX(Session!$M$2:$M$261,MATCH($A170,Session!$A$2:$A$261,0))</f>
        <v/>
      </c>
      <c r="C170">
        <f>SUMIFS(Quality!$E$2:$E$1247,Quality!$A$2:$A$1247,$A170,Quality!$D$2:$D$1247,"Pre-study calibration")</f>
        <v/>
      </c>
      <c r="D170">
        <f>SUMIFS(Quality!$E$2:$E$1247,Quality!$A$2:$A$1247,$A170,Quality!$D$2:$D$1247,"Post-study calibration")</f>
        <v/>
      </c>
      <c r="E170">
        <f>SUMIFS(Quality!$F$2:$F$1247,Quality!$A$2:$A$1247,$A170,Quality!$D$2:$D$1247,"infographic")</f>
        <v/>
      </c>
      <c r="F170">
        <f>SUMIFS(Quality!$G$2:$G$1247,Quality!$A$2:$A$1247,$A170,Quality!$D$2:$D$1247,"foodwaste_narrative")</f>
        <v/>
      </c>
      <c r="G170">
        <f>SUMIFS(Quality!$G$2:$G$1247,Quality!$A$2:$A$1247,$A170,Quality!$D$2:$D$1247,"foodwaste_visual")</f>
        <v/>
      </c>
      <c r="H170">
        <f>IF(C170&gt;$B$2,1,0)</f>
        <v/>
      </c>
      <c r="I170">
        <f>IF(D170&gt;$B$2,1,0)</f>
        <v/>
      </c>
      <c r="J170">
        <f>IF(E170&lt;$F$2,1,0)</f>
        <v/>
      </c>
      <c r="K170">
        <f>IF(OR(F170&lt;$H$2,G170&lt;$H$2),1,0)</f>
        <v/>
      </c>
      <c r="L170">
        <f>IF(SUM(H170:K170)&gt;0,"Exclude","Keep")</f>
        <v/>
      </c>
      <c r="M170">
        <f>IF(H170=1,"Pre-study accuracy",IF(I170=1,"Post-study accuracy",IF(J170=1,"Eye tracking quality",IF(K170=1,"Face quality",""))))</f>
        <v/>
      </c>
      <c r="N170">
        <f>MAX(C170:D170)</f>
        <v/>
      </c>
      <c r="O170">
        <f>IF(AND(L170="Keep",N170&lt;=$D$2),"Keep","Exclude")</f>
        <v/>
      </c>
      <c r="P170">
        <f>D170-C170</f>
        <v/>
      </c>
    </row>
    <row r="171">
      <c r="A171" t="inlineStr">
        <is>
          <t>RESP0245</t>
        </is>
      </c>
      <c r="B171">
        <f>INDEX(Session!$M$2:$M$261,MATCH($A171,Session!$A$2:$A$261,0))</f>
        <v/>
      </c>
      <c r="C171">
        <f>SUMIFS(Quality!$E$2:$E$1247,Quality!$A$2:$A$1247,$A171,Quality!$D$2:$D$1247,"Pre-study calibration")</f>
        <v/>
      </c>
      <c r="D171">
        <f>SUMIFS(Quality!$E$2:$E$1247,Quality!$A$2:$A$1247,$A171,Quality!$D$2:$D$1247,"Post-study calibration")</f>
        <v/>
      </c>
      <c r="E171">
        <f>SUMIFS(Quality!$F$2:$F$1247,Quality!$A$2:$A$1247,$A171,Quality!$D$2:$D$1247,"infographic")</f>
        <v/>
      </c>
      <c r="F171">
        <f>SUMIFS(Quality!$G$2:$G$1247,Quality!$A$2:$A$1247,$A171,Quality!$D$2:$D$1247,"foodwaste_narrative")</f>
        <v/>
      </c>
      <c r="G171">
        <f>SUMIFS(Quality!$G$2:$G$1247,Quality!$A$2:$A$1247,$A171,Quality!$D$2:$D$1247,"foodwaste_visual")</f>
        <v/>
      </c>
      <c r="H171">
        <f>IF(C171&gt;$B$2,1,0)</f>
        <v/>
      </c>
      <c r="I171">
        <f>IF(D171&gt;$B$2,1,0)</f>
        <v/>
      </c>
      <c r="J171">
        <f>IF(E171&lt;$F$2,1,0)</f>
        <v/>
      </c>
      <c r="K171">
        <f>IF(OR(F171&lt;$H$2,G171&lt;$H$2),1,0)</f>
        <v/>
      </c>
      <c r="L171">
        <f>IF(SUM(H171:K171)&gt;0,"Exclude","Keep")</f>
        <v/>
      </c>
      <c r="M171">
        <f>IF(H171=1,"Pre-study accuracy",IF(I171=1,"Post-study accuracy",IF(J171=1,"Eye tracking quality",IF(K171=1,"Face quality",""))))</f>
        <v/>
      </c>
      <c r="N171">
        <f>MAX(C171:D171)</f>
        <v/>
      </c>
      <c r="O171">
        <f>IF(AND(L171="Keep",N171&lt;=$D$2),"Keep","Exclude")</f>
        <v/>
      </c>
      <c r="P171">
        <f>D171-C171</f>
        <v/>
      </c>
    </row>
    <row r="172">
      <c r="A172" t="inlineStr">
        <is>
          <t>RESP0247</t>
        </is>
      </c>
      <c r="B172">
        <f>INDEX(Session!$M$2:$M$261,MATCH($A172,Session!$A$2:$A$261,0))</f>
        <v/>
      </c>
      <c r="C172">
        <f>SUMIFS(Quality!$E$2:$E$1247,Quality!$A$2:$A$1247,$A172,Quality!$D$2:$D$1247,"Pre-study calibration")</f>
        <v/>
      </c>
      <c r="D172">
        <f>SUMIFS(Quality!$E$2:$E$1247,Quality!$A$2:$A$1247,$A172,Quality!$D$2:$D$1247,"Post-study calibration")</f>
        <v/>
      </c>
      <c r="E172">
        <f>SUMIFS(Quality!$F$2:$F$1247,Quality!$A$2:$A$1247,$A172,Quality!$D$2:$D$1247,"infographic")</f>
        <v/>
      </c>
      <c r="F172">
        <f>SUMIFS(Quality!$G$2:$G$1247,Quality!$A$2:$A$1247,$A172,Quality!$D$2:$D$1247,"foodwaste_narrative")</f>
        <v/>
      </c>
      <c r="G172">
        <f>SUMIFS(Quality!$G$2:$G$1247,Quality!$A$2:$A$1247,$A172,Quality!$D$2:$D$1247,"foodwaste_visual")</f>
        <v/>
      </c>
      <c r="H172">
        <f>IF(C172&gt;$B$2,1,0)</f>
        <v/>
      </c>
      <c r="I172">
        <f>IF(D172&gt;$B$2,1,0)</f>
        <v/>
      </c>
      <c r="J172">
        <f>IF(E172&lt;$F$2,1,0)</f>
        <v/>
      </c>
      <c r="K172">
        <f>IF(OR(F172&lt;$H$2,G172&lt;$H$2),1,0)</f>
        <v/>
      </c>
      <c r="L172">
        <f>IF(SUM(H172:K172)&gt;0,"Exclude","Keep")</f>
        <v/>
      </c>
      <c r="M172">
        <f>IF(H172=1,"Pre-study accuracy",IF(I172=1,"Post-study accuracy",IF(J172=1,"Eye tracking quality",IF(K172=1,"Face quality",""))))</f>
        <v/>
      </c>
      <c r="N172">
        <f>MAX(C172:D172)</f>
        <v/>
      </c>
      <c r="O172">
        <f>IF(AND(L172="Keep",N172&lt;=$D$2),"Keep","Exclude")</f>
        <v/>
      </c>
      <c r="P172">
        <f>D172-C172</f>
        <v/>
      </c>
    </row>
    <row r="173">
      <c r="A173" t="inlineStr">
        <is>
          <t>RESP0248</t>
        </is>
      </c>
      <c r="B173">
        <f>INDEX(Session!$M$2:$M$261,MATCH($A173,Session!$A$2:$A$261,0))</f>
        <v/>
      </c>
      <c r="C173">
        <f>SUMIFS(Quality!$E$2:$E$1247,Quality!$A$2:$A$1247,$A173,Quality!$D$2:$D$1247,"Pre-study calibration")</f>
        <v/>
      </c>
      <c r="D173">
        <f>SUMIFS(Quality!$E$2:$E$1247,Quality!$A$2:$A$1247,$A173,Quality!$D$2:$D$1247,"Post-study calibration")</f>
        <v/>
      </c>
      <c r="E173">
        <f>SUMIFS(Quality!$F$2:$F$1247,Quality!$A$2:$A$1247,$A173,Quality!$D$2:$D$1247,"infographic")</f>
        <v/>
      </c>
      <c r="F173">
        <f>SUMIFS(Quality!$G$2:$G$1247,Quality!$A$2:$A$1247,$A173,Quality!$D$2:$D$1247,"foodwaste_narrative")</f>
        <v/>
      </c>
      <c r="G173">
        <f>SUMIFS(Quality!$G$2:$G$1247,Quality!$A$2:$A$1247,$A173,Quality!$D$2:$D$1247,"foodwaste_visual")</f>
        <v/>
      </c>
      <c r="H173">
        <f>IF(C173&gt;$B$2,1,0)</f>
        <v/>
      </c>
      <c r="I173">
        <f>IF(D173&gt;$B$2,1,0)</f>
        <v/>
      </c>
      <c r="J173">
        <f>IF(E173&lt;$F$2,1,0)</f>
        <v/>
      </c>
      <c r="K173">
        <f>IF(OR(F173&lt;$H$2,G173&lt;$H$2),1,0)</f>
        <v/>
      </c>
      <c r="L173">
        <f>IF(SUM(H173:K173)&gt;0,"Exclude","Keep")</f>
        <v/>
      </c>
      <c r="M173">
        <f>IF(H173=1,"Pre-study accuracy",IF(I173=1,"Post-study accuracy",IF(J173=1,"Eye tracking quality",IF(K173=1,"Face quality",""))))</f>
        <v/>
      </c>
      <c r="N173">
        <f>MAX(C173:D173)</f>
        <v/>
      </c>
      <c r="O173">
        <f>IF(AND(L173="Keep",N173&lt;=$D$2),"Keep","Exclude")</f>
        <v/>
      </c>
      <c r="P173">
        <f>D173-C173</f>
        <v/>
      </c>
    </row>
    <row r="174">
      <c r="A174" t="inlineStr">
        <is>
          <t>RESP0249</t>
        </is>
      </c>
      <c r="B174">
        <f>INDEX(Session!$M$2:$M$261,MATCH($A174,Session!$A$2:$A$261,0))</f>
        <v/>
      </c>
      <c r="C174">
        <f>SUMIFS(Quality!$E$2:$E$1247,Quality!$A$2:$A$1247,$A174,Quality!$D$2:$D$1247,"Pre-study calibration")</f>
        <v/>
      </c>
      <c r="D174">
        <f>SUMIFS(Quality!$E$2:$E$1247,Quality!$A$2:$A$1247,$A174,Quality!$D$2:$D$1247,"Post-study calibration")</f>
        <v/>
      </c>
      <c r="E174">
        <f>SUMIFS(Quality!$F$2:$F$1247,Quality!$A$2:$A$1247,$A174,Quality!$D$2:$D$1247,"infographic")</f>
        <v/>
      </c>
      <c r="F174">
        <f>SUMIFS(Quality!$G$2:$G$1247,Quality!$A$2:$A$1247,$A174,Quality!$D$2:$D$1247,"foodwaste_narrative")</f>
        <v/>
      </c>
      <c r="G174">
        <f>SUMIFS(Quality!$G$2:$G$1247,Quality!$A$2:$A$1247,$A174,Quality!$D$2:$D$1247,"foodwaste_visual")</f>
        <v/>
      </c>
      <c r="H174">
        <f>IF(C174&gt;$B$2,1,0)</f>
        <v/>
      </c>
      <c r="I174">
        <f>IF(D174&gt;$B$2,1,0)</f>
        <v/>
      </c>
      <c r="J174">
        <f>IF(E174&lt;$F$2,1,0)</f>
        <v/>
      </c>
      <c r="K174">
        <f>IF(OR(F174&lt;$H$2,G174&lt;$H$2),1,0)</f>
        <v/>
      </c>
      <c r="L174">
        <f>IF(SUM(H174:K174)&gt;0,"Exclude","Keep")</f>
        <v/>
      </c>
      <c r="M174">
        <f>IF(H174=1,"Pre-study accuracy",IF(I174=1,"Post-study accuracy",IF(J174=1,"Eye tracking quality",IF(K174=1,"Face quality",""))))</f>
        <v/>
      </c>
      <c r="N174">
        <f>MAX(C174:D174)</f>
        <v/>
      </c>
      <c r="O174">
        <f>IF(AND(L174="Keep",N174&lt;=$D$2),"Keep","Exclude")</f>
        <v/>
      </c>
      <c r="P174">
        <f>D174-C174</f>
        <v/>
      </c>
    </row>
    <row r="175">
      <c r="A175" t="inlineStr">
        <is>
          <t>RESP0251</t>
        </is>
      </c>
      <c r="B175">
        <f>INDEX(Session!$M$2:$M$261,MATCH($A175,Session!$A$2:$A$261,0))</f>
        <v/>
      </c>
      <c r="C175">
        <f>SUMIFS(Quality!$E$2:$E$1247,Quality!$A$2:$A$1247,$A175,Quality!$D$2:$D$1247,"Pre-study calibration")</f>
        <v/>
      </c>
      <c r="D175">
        <f>SUMIFS(Quality!$E$2:$E$1247,Quality!$A$2:$A$1247,$A175,Quality!$D$2:$D$1247,"Post-study calibration")</f>
        <v/>
      </c>
      <c r="E175">
        <f>SUMIFS(Quality!$F$2:$F$1247,Quality!$A$2:$A$1247,$A175,Quality!$D$2:$D$1247,"infographic")</f>
        <v/>
      </c>
      <c r="F175">
        <f>SUMIFS(Quality!$G$2:$G$1247,Quality!$A$2:$A$1247,$A175,Quality!$D$2:$D$1247,"foodwaste_narrative")</f>
        <v/>
      </c>
      <c r="G175">
        <f>SUMIFS(Quality!$G$2:$G$1247,Quality!$A$2:$A$1247,$A175,Quality!$D$2:$D$1247,"foodwaste_visual")</f>
        <v/>
      </c>
      <c r="H175">
        <f>IF(C175&gt;$B$2,1,0)</f>
        <v/>
      </c>
      <c r="I175">
        <f>IF(D175&gt;$B$2,1,0)</f>
        <v/>
      </c>
      <c r="J175">
        <f>IF(E175&lt;$F$2,1,0)</f>
        <v/>
      </c>
      <c r="K175">
        <f>IF(OR(F175&lt;$H$2,G175&lt;$H$2),1,0)</f>
        <v/>
      </c>
      <c r="L175">
        <f>IF(SUM(H175:K175)&gt;0,"Exclude","Keep")</f>
        <v/>
      </c>
      <c r="M175">
        <f>IF(H175=1,"Pre-study accuracy",IF(I175=1,"Post-study accuracy",IF(J175=1,"Eye tracking quality",IF(K175=1,"Face quality",""))))</f>
        <v/>
      </c>
      <c r="N175">
        <f>MAX(C175:D175)</f>
        <v/>
      </c>
      <c r="O175">
        <f>IF(AND(L175="Keep",N175&lt;=$D$2),"Keep","Exclude")</f>
        <v/>
      </c>
      <c r="P175">
        <f>D175-C175</f>
        <v/>
      </c>
    </row>
    <row r="176">
      <c r="A176" t="inlineStr">
        <is>
          <t>RESP0252</t>
        </is>
      </c>
      <c r="B176">
        <f>INDEX(Session!$M$2:$M$261,MATCH($A176,Session!$A$2:$A$261,0))</f>
        <v/>
      </c>
      <c r="C176">
        <f>SUMIFS(Quality!$E$2:$E$1247,Quality!$A$2:$A$1247,$A176,Quality!$D$2:$D$1247,"Pre-study calibration")</f>
        <v/>
      </c>
      <c r="D176">
        <f>SUMIFS(Quality!$E$2:$E$1247,Quality!$A$2:$A$1247,$A176,Quality!$D$2:$D$1247,"Post-study calibration")</f>
        <v/>
      </c>
      <c r="E176">
        <f>SUMIFS(Quality!$F$2:$F$1247,Quality!$A$2:$A$1247,$A176,Quality!$D$2:$D$1247,"infographic")</f>
        <v/>
      </c>
      <c r="F176">
        <f>SUMIFS(Quality!$G$2:$G$1247,Quality!$A$2:$A$1247,$A176,Quality!$D$2:$D$1247,"foodwaste_narrative")</f>
        <v/>
      </c>
      <c r="G176">
        <f>SUMIFS(Quality!$G$2:$G$1247,Quality!$A$2:$A$1247,$A176,Quality!$D$2:$D$1247,"foodwaste_visual")</f>
        <v/>
      </c>
      <c r="H176">
        <f>IF(C176&gt;$B$2,1,0)</f>
        <v/>
      </c>
      <c r="I176">
        <f>IF(D176&gt;$B$2,1,0)</f>
        <v/>
      </c>
      <c r="J176">
        <f>IF(E176&lt;$F$2,1,0)</f>
        <v/>
      </c>
      <c r="K176">
        <f>IF(OR(F176&lt;$H$2,G176&lt;$H$2),1,0)</f>
        <v/>
      </c>
      <c r="L176">
        <f>IF(SUM(H176:K176)&gt;0,"Exclude","Keep")</f>
        <v/>
      </c>
      <c r="M176">
        <f>IF(H176=1,"Pre-study accuracy",IF(I176=1,"Post-study accuracy",IF(J176=1,"Eye tracking quality",IF(K176=1,"Face quality",""))))</f>
        <v/>
      </c>
      <c r="N176">
        <f>MAX(C176:D176)</f>
        <v/>
      </c>
      <c r="O176">
        <f>IF(AND(L176="Keep",N176&lt;=$D$2),"Keep","Exclude")</f>
        <v/>
      </c>
      <c r="P176">
        <f>D176-C176</f>
        <v/>
      </c>
    </row>
    <row r="177">
      <c r="A177" t="inlineStr">
        <is>
          <t>RESP0253</t>
        </is>
      </c>
      <c r="B177">
        <f>INDEX(Session!$M$2:$M$261,MATCH($A177,Session!$A$2:$A$261,0))</f>
        <v/>
      </c>
      <c r="C177">
        <f>SUMIFS(Quality!$E$2:$E$1247,Quality!$A$2:$A$1247,$A177,Quality!$D$2:$D$1247,"Pre-study calibration")</f>
        <v/>
      </c>
      <c r="D177">
        <f>SUMIFS(Quality!$E$2:$E$1247,Quality!$A$2:$A$1247,$A177,Quality!$D$2:$D$1247,"Post-study calibration")</f>
        <v/>
      </c>
      <c r="E177">
        <f>SUMIFS(Quality!$F$2:$F$1247,Quality!$A$2:$A$1247,$A177,Quality!$D$2:$D$1247,"infographic")</f>
        <v/>
      </c>
      <c r="F177">
        <f>SUMIFS(Quality!$G$2:$G$1247,Quality!$A$2:$A$1247,$A177,Quality!$D$2:$D$1247,"foodwaste_narrative")</f>
        <v/>
      </c>
      <c r="G177">
        <f>SUMIFS(Quality!$G$2:$G$1247,Quality!$A$2:$A$1247,$A177,Quality!$D$2:$D$1247,"foodwaste_visual")</f>
        <v/>
      </c>
      <c r="H177">
        <f>IF(C177&gt;$B$2,1,0)</f>
        <v/>
      </c>
      <c r="I177">
        <f>IF(D177&gt;$B$2,1,0)</f>
        <v/>
      </c>
      <c r="J177">
        <f>IF(E177&lt;$F$2,1,0)</f>
        <v/>
      </c>
      <c r="K177">
        <f>IF(OR(F177&lt;$H$2,G177&lt;$H$2),1,0)</f>
        <v/>
      </c>
      <c r="L177">
        <f>IF(SUM(H177:K177)&gt;0,"Exclude","Keep")</f>
        <v/>
      </c>
      <c r="M177">
        <f>IF(H177=1,"Pre-study accuracy",IF(I177=1,"Post-study accuracy",IF(J177=1,"Eye tracking quality",IF(K177=1,"Face quality",""))))</f>
        <v/>
      </c>
      <c r="N177">
        <f>MAX(C177:D177)</f>
        <v/>
      </c>
      <c r="O177">
        <f>IF(AND(L177="Keep",N177&lt;=$D$2),"Keep","Exclude")</f>
        <v/>
      </c>
      <c r="P177">
        <f>D177-C177</f>
        <v/>
      </c>
    </row>
    <row r="178">
      <c r="A178" t="inlineStr">
        <is>
          <t>RESP0254</t>
        </is>
      </c>
      <c r="B178">
        <f>INDEX(Session!$M$2:$M$261,MATCH($A178,Session!$A$2:$A$261,0))</f>
        <v/>
      </c>
      <c r="C178">
        <f>SUMIFS(Quality!$E$2:$E$1247,Quality!$A$2:$A$1247,$A178,Quality!$D$2:$D$1247,"Pre-study calibration")</f>
        <v/>
      </c>
      <c r="D178">
        <f>SUMIFS(Quality!$E$2:$E$1247,Quality!$A$2:$A$1247,$A178,Quality!$D$2:$D$1247,"Post-study calibration")</f>
        <v/>
      </c>
      <c r="E178">
        <f>SUMIFS(Quality!$F$2:$F$1247,Quality!$A$2:$A$1247,$A178,Quality!$D$2:$D$1247,"infographic")</f>
        <v/>
      </c>
      <c r="F178">
        <f>SUMIFS(Quality!$G$2:$G$1247,Quality!$A$2:$A$1247,$A178,Quality!$D$2:$D$1247,"foodwaste_narrative")</f>
        <v/>
      </c>
      <c r="G178">
        <f>SUMIFS(Quality!$G$2:$G$1247,Quality!$A$2:$A$1247,$A178,Quality!$D$2:$D$1247,"foodwaste_visual")</f>
        <v/>
      </c>
      <c r="H178">
        <f>IF(C178&gt;$B$2,1,0)</f>
        <v/>
      </c>
      <c r="I178">
        <f>IF(D178&gt;$B$2,1,0)</f>
        <v/>
      </c>
      <c r="J178">
        <f>IF(E178&lt;$F$2,1,0)</f>
        <v/>
      </c>
      <c r="K178">
        <f>IF(OR(F178&lt;$H$2,G178&lt;$H$2),1,0)</f>
        <v/>
      </c>
      <c r="L178">
        <f>IF(SUM(H178:K178)&gt;0,"Exclude","Keep")</f>
        <v/>
      </c>
      <c r="M178">
        <f>IF(H178=1,"Pre-study accuracy",IF(I178=1,"Post-study accuracy",IF(J178=1,"Eye tracking quality",IF(K178=1,"Face quality",""))))</f>
        <v/>
      </c>
      <c r="N178">
        <f>MAX(C178:D178)</f>
        <v/>
      </c>
      <c r="O178">
        <f>IF(AND(L178="Keep",N178&lt;=$D$2),"Keep","Exclude")</f>
        <v/>
      </c>
      <c r="P178">
        <f>D178-C178</f>
        <v/>
      </c>
    </row>
    <row r="179">
      <c r="A179" t="inlineStr">
        <is>
          <t>RESP0255</t>
        </is>
      </c>
      <c r="B179">
        <f>INDEX(Session!$M$2:$M$261,MATCH($A179,Session!$A$2:$A$261,0))</f>
        <v/>
      </c>
      <c r="C179">
        <f>SUMIFS(Quality!$E$2:$E$1247,Quality!$A$2:$A$1247,$A179,Quality!$D$2:$D$1247,"Pre-study calibration")</f>
        <v/>
      </c>
      <c r="D179">
        <f>SUMIFS(Quality!$E$2:$E$1247,Quality!$A$2:$A$1247,$A179,Quality!$D$2:$D$1247,"Post-study calibration")</f>
        <v/>
      </c>
      <c r="E179">
        <f>SUMIFS(Quality!$F$2:$F$1247,Quality!$A$2:$A$1247,$A179,Quality!$D$2:$D$1247,"infographic")</f>
        <v/>
      </c>
      <c r="F179">
        <f>SUMIFS(Quality!$G$2:$G$1247,Quality!$A$2:$A$1247,$A179,Quality!$D$2:$D$1247,"foodwaste_narrative")</f>
        <v/>
      </c>
      <c r="G179">
        <f>SUMIFS(Quality!$G$2:$G$1247,Quality!$A$2:$A$1247,$A179,Quality!$D$2:$D$1247,"foodwaste_visual")</f>
        <v/>
      </c>
      <c r="H179">
        <f>IF(C179&gt;$B$2,1,0)</f>
        <v/>
      </c>
      <c r="I179">
        <f>IF(D179&gt;$B$2,1,0)</f>
        <v/>
      </c>
      <c r="J179">
        <f>IF(E179&lt;$F$2,1,0)</f>
        <v/>
      </c>
      <c r="K179">
        <f>IF(OR(F179&lt;$H$2,G179&lt;$H$2),1,0)</f>
        <v/>
      </c>
      <c r="L179">
        <f>IF(SUM(H179:K179)&gt;0,"Exclude","Keep")</f>
        <v/>
      </c>
      <c r="M179">
        <f>IF(H179=1,"Pre-study accuracy",IF(I179=1,"Post-study accuracy",IF(J179=1,"Eye tracking quality",IF(K179=1,"Face quality",""))))</f>
        <v/>
      </c>
      <c r="N179">
        <f>MAX(C179:D179)</f>
        <v/>
      </c>
      <c r="O179">
        <f>IF(AND(L179="Keep",N179&lt;=$D$2),"Keep","Exclude")</f>
        <v/>
      </c>
      <c r="P179">
        <f>D179-C179</f>
        <v/>
      </c>
    </row>
    <row r="180">
      <c r="A180" t="inlineStr">
        <is>
          <t>RESP0256</t>
        </is>
      </c>
      <c r="B180">
        <f>INDEX(Session!$M$2:$M$261,MATCH($A180,Session!$A$2:$A$261,0))</f>
        <v/>
      </c>
      <c r="C180">
        <f>SUMIFS(Quality!$E$2:$E$1247,Quality!$A$2:$A$1247,$A180,Quality!$D$2:$D$1247,"Pre-study calibration")</f>
        <v/>
      </c>
      <c r="D180">
        <f>SUMIFS(Quality!$E$2:$E$1247,Quality!$A$2:$A$1247,$A180,Quality!$D$2:$D$1247,"Post-study calibration")</f>
        <v/>
      </c>
      <c r="E180">
        <f>SUMIFS(Quality!$F$2:$F$1247,Quality!$A$2:$A$1247,$A180,Quality!$D$2:$D$1247,"infographic")</f>
        <v/>
      </c>
      <c r="F180">
        <f>SUMIFS(Quality!$G$2:$G$1247,Quality!$A$2:$A$1247,$A180,Quality!$D$2:$D$1247,"foodwaste_narrative")</f>
        <v/>
      </c>
      <c r="G180">
        <f>SUMIFS(Quality!$G$2:$G$1247,Quality!$A$2:$A$1247,$A180,Quality!$D$2:$D$1247,"foodwaste_visual")</f>
        <v/>
      </c>
      <c r="H180">
        <f>IF(C180&gt;$B$2,1,0)</f>
        <v/>
      </c>
      <c r="I180">
        <f>IF(D180&gt;$B$2,1,0)</f>
        <v/>
      </c>
      <c r="J180">
        <f>IF(E180&lt;$F$2,1,0)</f>
        <v/>
      </c>
      <c r="K180">
        <f>IF(OR(F180&lt;$H$2,G180&lt;$H$2),1,0)</f>
        <v/>
      </c>
      <c r="L180">
        <f>IF(SUM(H180:K180)&gt;0,"Exclude","Keep")</f>
        <v/>
      </c>
      <c r="M180">
        <f>IF(H180=1,"Pre-study accuracy",IF(I180=1,"Post-study accuracy",IF(J180=1,"Eye tracking quality",IF(K180=1,"Face quality",""))))</f>
        <v/>
      </c>
      <c r="N180">
        <f>MAX(C180:D180)</f>
        <v/>
      </c>
      <c r="O180">
        <f>IF(AND(L180="Keep",N180&lt;=$D$2),"Keep","Exclude")</f>
        <v/>
      </c>
      <c r="P180">
        <f>D180-C180</f>
        <v/>
      </c>
    </row>
    <row r="181">
      <c r="A181" t="inlineStr">
        <is>
          <t>RESP0258</t>
        </is>
      </c>
      <c r="B181">
        <f>INDEX(Session!$M$2:$M$261,MATCH($A181,Session!$A$2:$A$261,0))</f>
        <v/>
      </c>
      <c r="C181">
        <f>SUMIFS(Quality!$E$2:$E$1247,Quality!$A$2:$A$1247,$A181,Quality!$D$2:$D$1247,"Pre-study calibration")</f>
        <v/>
      </c>
      <c r="D181">
        <f>SUMIFS(Quality!$E$2:$E$1247,Quality!$A$2:$A$1247,$A181,Quality!$D$2:$D$1247,"Post-study calibration")</f>
        <v/>
      </c>
      <c r="E181">
        <f>SUMIFS(Quality!$F$2:$F$1247,Quality!$A$2:$A$1247,$A181,Quality!$D$2:$D$1247,"infographic")</f>
        <v/>
      </c>
      <c r="F181">
        <f>SUMIFS(Quality!$G$2:$G$1247,Quality!$A$2:$A$1247,$A181,Quality!$D$2:$D$1247,"foodwaste_narrative")</f>
        <v/>
      </c>
      <c r="G181">
        <f>SUMIFS(Quality!$G$2:$G$1247,Quality!$A$2:$A$1247,$A181,Quality!$D$2:$D$1247,"foodwaste_visual")</f>
        <v/>
      </c>
      <c r="H181">
        <f>IF(C181&gt;$B$2,1,0)</f>
        <v/>
      </c>
      <c r="I181">
        <f>IF(D181&gt;$B$2,1,0)</f>
        <v/>
      </c>
      <c r="J181">
        <f>IF(E181&lt;$F$2,1,0)</f>
        <v/>
      </c>
      <c r="K181">
        <f>IF(OR(F181&lt;$H$2,G181&lt;$H$2),1,0)</f>
        <v/>
      </c>
      <c r="L181">
        <f>IF(SUM(H181:K181)&gt;0,"Exclude","Keep")</f>
        <v/>
      </c>
      <c r="M181">
        <f>IF(H181=1,"Pre-study accuracy",IF(I181=1,"Post-study accuracy",IF(J181=1,"Eye tracking quality",IF(K181=1,"Face quality",""))))</f>
        <v/>
      </c>
      <c r="N181">
        <f>MAX(C181:D181)</f>
        <v/>
      </c>
      <c r="O181">
        <f>IF(AND(L181="Keep",N181&lt;=$D$2),"Keep","Exclude")</f>
        <v/>
      </c>
      <c r="P181">
        <f>D181-C181</f>
        <v/>
      </c>
    </row>
    <row r="182">
      <c r="A182" t="inlineStr">
        <is>
          <t>RESP0260</t>
        </is>
      </c>
      <c r="B182">
        <f>INDEX(Session!$M$2:$M$261,MATCH($A182,Session!$A$2:$A$261,0))</f>
        <v/>
      </c>
      <c r="C182">
        <f>SUMIFS(Quality!$E$2:$E$1247,Quality!$A$2:$A$1247,$A182,Quality!$D$2:$D$1247,"Pre-study calibration")</f>
        <v/>
      </c>
      <c r="D182">
        <f>SUMIFS(Quality!$E$2:$E$1247,Quality!$A$2:$A$1247,$A182,Quality!$D$2:$D$1247,"Post-study calibration")</f>
        <v/>
      </c>
      <c r="E182">
        <f>SUMIFS(Quality!$F$2:$F$1247,Quality!$A$2:$A$1247,$A182,Quality!$D$2:$D$1247,"infographic")</f>
        <v/>
      </c>
      <c r="F182">
        <f>SUMIFS(Quality!$G$2:$G$1247,Quality!$A$2:$A$1247,$A182,Quality!$D$2:$D$1247,"foodwaste_narrative")</f>
        <v/>
      </c>
      <c r="G182">
        <f>SUMIFS(Quality!$G$2:$G$1247,Quality!$A$2:$A$1247,$A182,Quality!$D$2:$D$1247,"foodwaste_visual")</f>
        <v/>
      </c>
      <c r="H182">
        <f>IF(C182&gt;$B$2,1,0)</f>
        <v/>
      </c>
      <c r="I182">
        <f>IF(D182&gt;$B$2,1,0)</f>
        <v/>
      </c>
      <c r="J182">
        <f>IF(E182&lt;$F$2,1,0)</f>
        <v/>
      </c>
      <c r="K182">
        <f>IF(OR(F182&lt;$H$2,G182&lt;$H$2),1,0)</f>
        <v/>
      </c>
      <c r="L182">
        <f>IF(SUM(H182:K182)&gt;0,"Exclude","Keep")</f>
        <v/>
      </c>
      <c r="M182">
        <f>IF(H182=1,"Pre-study accuracy",IF(I182=1,"Post-study accuracy",IF(J182=1,"Eye tracking quality",IF(K182=1,"Face quality",""))))</f>
        <v/>
      </c>
      <c r="N182">
        <f>MAX(C182:D182)</f>
        <v/>
      </c>
      <c r="O182">
        <f>IF(AND(L182="Keep",N182&lt;=$D$2),"Keep","Exclude")</f>
        <v/>
      </c>
      <c r="P182">
        <f>D182-C182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2" customWidth="1" min="4" max="4"/>
    <col width="12" customWidth="1" min="5" max="5"/>
    <col width="13" customWidth="1" min="6" max="6"/>
    <col width="3" customWidth="1" min="7" max="7"/>
    <col width="52" customWidth="1" min="8" max="8"/>
    <col width="14" customWidth="1" min="9" max="9"/>
    <col width="62" customWidth="1" min="10" max="10"/>
    <col width="50" customWidth="1" min="11" max="11"/>
  </cols>
  <sheetData>
    <row r="1">
      <c r="A1" s="5" t="inlineStr">
        <is>
          <t>H1. Percent of time Engaged (AFFDEX Engagement above 50), foodwaste_visual versus foodwaste_narrative, kept respondents. SIMULATED data.</t>
        </is>
      </c>
    </row>
    <row r="2">
      <c r="A2" s="6" t="inlineStr">
        <is>
          <t>One row per kept respondent. Rows 5 to 129 are also kept under the 3.0 degree sensitivity rule; rows 130 to 146 are removed by it. Columns D and E look the value up in the FEA sheet (respondent, video, expression).</t>
        </is>
      </c>
    </row>
    <row r="4" ht="46" customHeight="1">
      <c r="A4" s="2" t="inlineStr">
        <is>
          <t>Respondent Name</t>
        </is>
      </c>
      <c r="B4" s="2" t="inlineStr">
        <is>
          <t>Order</t>
        </is>
      </c>
      <c r="C4" s="2" t="inlineStr">
        <is>
          <t>Decision at 3.0</t>
        </is>
      </c>
      <c r="D4" s="2" t="inlineStr">
        <is>
          <t>Engagement, narrative (%)</t>
        </is>
      </c>
      <c r="E4" s="2" t="inlineStr">
        <is>
          <t>Engagement, visual (%)</t>
        </is>
      </c>
      <c r="F4" s="2" t="inlineStr">
        <is>
          <t>Difference (visual minus narrative)</t>
        </is>
      </c>
    </row>
    <row r="5">
      <c r="A5" t="inlineStr">
        <is>
          <t>RESP0001</t>
        </is>
      </c>
      <c r="B5">
        <f>INDEX(Session!$M$2:$M$261,MATCH($A5,Session!$A$2:$A$261,0))</f>
        <v/>
      </c>
      <c r="C5">
        <f>INDEX(Screening!$O$5:$O$182,MATCH($A5,Screening!$A$5:$A$182,0))</f>
        <v/>
      </c>
      <c r="D5" s="11">
        <f>SUMIFS(FEA!$H$2:$H$1781,FEA!$B$2:$B$1781,$A5,FEA!$D$2:$D$1781,"foodwaste_narrative",FEA!$F$2:$F$1781,"Engagement")</f>
        <v/>
      </c>
      <c r="E5" s="11">
        <f>SUMIFS(FEA!$H$2:$H$1781,FEA!$B$2:$B$1781,$A5,FEA!$D$2:$D$1781,"foodwaste_visual",FEA!$F$2:$F$1781,"Engagement")</f>
        <v/>
      </c>
      <c r="F5" s="11">
        <f>E5-D5</f>
        <v/>
      </c>
      <c r="H5" s="10" t="inlineStr">
        <is>
          <t>Statistic</t>
        </is>
      </c>
      <c r="I5" s="10" t="inlineStr">
        <is>
          <t>Value</t>
        </is>
      </c>
      <c r="J5" s="10" t="inlineStr">
        <is>
          <t>Formula shown</t>
        </is>
      </c>
      <c r="K5" s="10" t="inlineStr">
        <is>
          <t>Note</t>
        </is>
      </c>
    </row>
    <row r="6">
      <c r="A6" t="inlineStr">
        <is>
          <t>RESP0005</t>
        </is>
      </c>
      <c r="B6">
        <f>INDEX(Session!$M$2:$M$261,MATCH($A6,Session!$A$2:$A$261,0))</f>
        <v/>
      </c>
      <c r="C6">
        <f>INDEX(Screening!$O$5:$O$182,MATCH($A6,Screening!$A$5:$A$182,0))</f>
        <v/>
      </c>
      <c r="D6" s="11">
        <f>SUMIFS(FEA!$H$2:$H$1781,FEA!$B$2:$B$1781,$A6,FEA!$D$2:$D$1781,"foodwaste_narrative",FEA!$F$2:$F$1781,"Engagement")</f>
        <v/>
      </c>
      <c r="E6" s="11">
        <f>SUMIFS(FEA!$H$2:$H$1781,FEA!$B$2:$B$1781,$A6,FEA!$D$2:$D$1781,"foodwaste_visual",FEA!$F$2:$F$1781,"Engagement")</f>
        <v/>
      </c>
      <c r="F6" s="11">
        <f>E6-D6</f>
        <v/>
      </c>
      <c r="H6" s="12" t="inlineStr">
        <is>
          <t>H1: Engagement, visual minus narrative (kept, n = 142)</t>
        </is>
      </c>
    </row>
    <row r="7">
      <c r="A7" t="inlineStr">
        <is>
          <t>RESP0006</t>
        </is>
      </c>
      <c r="B7">
        <f>INDEX(Session!$M$2:$M$261,MATCH($A7,Session!$A$2:$A$261,0))</f>
        <v/>
      </c>
      <c r="C7">
        <f>INDEX(Screening!$O$5:$O$182,MATCH($A7,Screening!$A$5:$A$182,0))</f>
        <v/>
      </c>
      <c r="D7" s="11">
        <f>SUMIFS(FEA!$H$2:$H$1781,FEA!$B$2:$B$1781,$A7,FEA!$D$2:$D$1781,"foodwaste_narrative",FEA!$F$2:$F$1781,"Engagement")</f>
        <v/>
      </c>
      <c r="E7" s="11">
        <f>SUMIFS(FEA!$H$2:$H$1781,FEA!$B$2:$B$1781,$A7,FEA!$D$2:$D$1781,"foodwaste_visual",FEA!$F$2:$F$1781,"Engagement")</f>
        <v/>
      </c>
      <c r="F7" s="11">
        <f>E7-D7</f>
        <v/>
      </c>
      <c r="H7" t="inlineStr">
        <is>
          <t>Narrative mean (% of time)</t>
        </is>
      </c>
      <c r="I7" s="13">
        <f>AVERAGE(D5:D146)</f>
        <v/>
      </c>
      <c r="J7" s="14" t="inlineStr">
        <is>
          <t>=AVERAGE(D5:D146)</t>
        </is>
      </c>
      <c r="K7" s="6" t="inlineStr">
        <is>
          <t>AVERAGE of the first column</t>
        </is>
      </c>
    </row>
    <row r="8">
      <c r="A8" t="inlineStr">
        <is>
          <t>RESP0007</t>
        </is>
      </c>
      <c r="B8">
        <f>INDEX(Session!$M$2:$M$261,MATCH($A8,Session!$A$2:$A$261,0))</f>
        <v/>
      </c>
      <c r="C8">
        <f>INDEX(Screening!$O$5:$O$182,MATCH($A8,Screening!$A$5:$A$182,0))</f>
        <v/>
      </c>
      <c r="D8" s="11">
        <f>SUMIFS(FEA!$H$2:$H$1781,FEA!$B$2:$B$1781,$A8,FEA!$D$2:$D$1781,"foodwaste_narrative",FEA!$F$2:$F$1781,"Engagement")</f>
        <v/>
      </c>
      <c r="E8" s="11">
        <f>SUMIFS(FEA!$H$2:$H$1781,FEA!$B$2:$B$1781,$A8,FEA!$D$2:$D$1781,"foodwaste_visual",FEA!$F$2:$F$1781,"Engagement")</f>
        <v/>
      </c>
      <c r="F8" s="11">
        <f>E8-D8</f>
        <v/>
      </c>
      <c r="H8" t="inlineStr">
        <is>
          <t>Narrative SD</t>
        </is>
      </c>
      <c r="I8" s="13">
        <f>_xlfn.STDEV.S(D5:D146)</f>
        <v/>
      </c>
      <c r="J8" s="14" t="inlineStr">
        <is>
          <t>=STDEV.S(D5:D146)</t>
        </is>
      </c>
      <c r="K8" s="6" t="inlineStr">
        <is>
          <t>STDEV.S = sample standard deviation</t>
        </is>
      </c>
    </row>
    <row r="9">
      <c r="A9" t="inlineStr">
        <is>
          <t>RESP0010</t>
        </is>
      </c>
      <c r="B9">
        <f>INDEX(Session!$M$2:$M$261,MATCH($A9,Session!$A$2:$A$261,0))</f>
        <v/>
      </c>
      <c r="C9">
        <f>INDEX(Screening!$O$5:$O$182,MATCH($A9,Screening!$A$5:$A$182,0))</f>
        <v/>
      </c>
      <c r="D9" s="11">
        <f>SUMIFS(FEA!$H$2:$H$1781,FEA!$B$2:$B$1781,$A9,FEA!$D$2:$D$1781,"foodwaste_narrative",FEA!$F$2:$F$1781,"Engagement")</f>
        <v/>
      </c>
      <c r="E9" s="11">
        <f>SUMIFS(FEA!$H$2:$H$1781,FEA!$B$2:$B$1781,$A9,FEA!$D$2:$D$1781,"foodwaste_visual",FEA!$F$2:$F$1781,"Engagement")</f>
        <v/>
      </c>
      <c r="F9" s="11">
        <f>E9-D9</f>
        <v/>
      </c>
      <c r="H9" t="inlineStr">
        <is>
          <t>Visual mean (% of time)</t>
        </is>
      </c>
      <c r="I9" s="13">
        <f>AVERAGE(E5:E146)</f>
        <v/>
      </c>
      <c r="J9" s="14" t="inlineStr">
        <is>
          <t>=AVERAGE(E5:E146)</t>
        </is>
      </c>
    </row>
    <row r="10">
      <c r="A10" t="inlineStr">
        <is>
          <t>RESP0012</t>
        </is>
      </c>
      <c r="B10">
        <f>INDEX(Session!$M$2:$M$261,MATCH($A10,Session!$A$2:$A$261,0))</f>
        <v/>
      </c>
      <c r="C10">
        <f>INDEX(Screening!$O$5:$O$182,MATCH($A10,Screening!$A$5:$A$182,0))</f>
        <v/>
      </c>
      <c r="D10" s="11">
        <f>SUMIFS(FEA!$H$2:$H$1781,FEA!$B$2:$B$1781,$A10,FEA!$D$2:$D$1781,"foodwaste_narrative",FEA!$F$2:$F$1781,"Engagement")</f>
        <v/>
      </c>
      <c r="E10" s="11">
        <f>SUMIFS(FEA!$H$2:$H$1781,FEA!$B$2:$B$1781,$A10,FEA!$D$2:$D$1781,"foodwaste_visual",FEA!$F$2:$F$1781,"Engagement")</f>
        <v/>
      </c>
      <c r="F10" s="11">
        <f>E10-D10</f>
        <v/>
      </c>
      <c r="H10" t="inlineStr">
        <is>
          <t>Visual SD</t>
        </is>
      </c>
      <c r="I10" s="13">
        <f>_xlfn.STDEV.S(E5:E146)</f>
        <v/>
      </c>
      <c r="J10" s="14" t="inlineStr">
        <is>
          <t>=STDEV.S(E5:E146)</t>
        </is>
      </c>
    </row>
    <row r="11">
      <c r="A11" t="inlineStr">
        <is>
          <t>RESP0013</t>
        </is>
      </c>
      <c r="B11">
        <f>INDEX(Session!$M$2:$M$261,MATCH($A11,Session!$A$2:$A$261,0))</f>
        <v/>
      </c>
      <c r="C11">
        <f>INDEX(Screening!$O$5:$O$182,MATCH($A11,Screening!$A$5:$A$182,0))</f>
        <v/>
      </c>
      <c r="D11" s="11">
        <f>SUMIFS(FEA!$H$2:$H$1781,FEA!$B$2:$B$1781,$A11,FEA!$D$2:$D$1781,"foodwaste_narrative",FEA!$F$2:$F$1781,"Engagement")</f>
        <v/>
      </c>
      <c r="E11" s="11">
        <f>SUMIFS(FEA!$H$2:$H$1781,FEA!$B$2:$B$1781,$A11,FEA!$D$2:$D$1781,"foodwaste_visual",FEA!$F$2:$F$1781,"Engagement")</f>
        <v/>
      </c>
      <c r="F11" s="11">
        <f>E11-D11</f>
        <v/>
      </c>
      <c r="H11" t="inlineStr">
        <is>
          <t>n (respondents)</t>
        </is>
      </c>
      <c r="I11" s="7">
        <f>COUNT(F5:F146)</f>
        <v/>
      </c>
      <c r="J11" s="14" t="inlineStr">
        <is>
          <t>=COUNT(F5:F146)</t>
        </is>
      </c>
    </row>
    <row r="12">
      <c r="A12" t="inlineStr">
        <is>
          <t>RESP0014</t>
        </is>
      </c>
      <c r="B12">
        <f>INDEX(Session!$M$2:$M$261,MATCH($A12,Session!$A$2:$A$261,0))</f>
        <v/>
      </c>
      <c r="C12">
        <f>INDEX(Screening!$O$5:$O$182,MATCH($A12,Screening!$A$5:$A$182,0))</f>
        <v/>
      </c>
      <c r="D12" s="11">
        <f>SUMIFS(FEA!$H$2:$H$1781,FEA!$B$2:$B$1781,$A12,FEA!$D$2:$D$1781,"foodwaste_narrative",FEA!$F$2:$F$1781,"Engagement")</f>
        <v/>
      </c>
      <c r="E12" s="11">
        <f>SUMIFS(FEA!$H$2:$H$1781,FEA!$B$2:$B$1781,$A12,FEA!$D$2:$D$1781,"foodwaste_visual",FEA!$F$2:$F$1781,"Engagement")</f>
        <v/>
      </c>
      <c r="F12" s="11">
        <f>E12-D12</f>
        <v/>
      </c>
      <c r="H12" t="inlineStr">
        <is>
          <t>Mean difference, Visual minus Narrative</t>
        </is>
      </c>
      <c r="I12" s="13">
        <f>AVERAGE(F5:F146)</f>
        <v/>
      </c>
      <c r="J12" s="14" t="inlineStr">
        <is>
          <t>=AVERAGE(F5:F146)</t>
        </is>
      </c>
    </row>
    <row r="13">
      <c r="A13" t="inlineStr">
        <is>
          <t>RESP0015</t>
        </is>
      </c>
      <c r="B13">
        <f>INDEX(Session!$M$2:$M$261,MATCH($A13,Session!$A$2:$A$261,0))</f>
        <v/>
      </c>
      <c r="C13">
        <f>INDEX(Screening!$O$5:$O$182,MATCH($A13,Screening!$A$5:$A$182,0))</f>
        <v/>
      </c>
      <c r="D13" s="11">
        <f>SUMIFS(FEA!$H$2:$H$1781,FEA!$B$2:$B$1781,$A13,FEA!$D$2:$D$1781,"foodwaste_narrative",FEA!$F$2:$F$1781,"Engagement")</f>
        <v/>
      </c>
      <c r="E13" s="11">
        <f>SUMIFS(FEA!$H$2:$H$1781,FEA!$B$2:$B$1781,$A13,FEA!$D$2:$D$1781,"foodwaste_visual",FEA!$F$2:$F$1781,"Engagement")</f>
        <v/>
      </c>
      <c r="F13" s="11">
        <f>E13-D13</f>
        <v/>
      </c>
      <c r="H13" t="inlineStr">
        <is>
          <t>SD of the differences</t>
        </is>
      </c>
      <c r="I13" s="13">
        <f>_xlfn.STDEV.S(F5:F146)</f>
        <v/>
      </c>
      <c r="J13" s="14" t="inlineStr">
        <is>
          <t>=STDEV.S(F5:F146)</t>
        </is>
      </c>
      <c r="K13" s="6" t="inlineStr">
        <is>
          <t>the SD that matters in a paired design</t>
        </is>
      </c>
    </row>
    <row r="14">
      <c r="A14" t="inlineStr">
        <is>
          <t>RESP0016</t>
        </is>
      </c>
      <c r="B14">
        <f>INDEX(Session!$M$2:$M$261,MATCH($A14,Session!$A$2:$A$261,0))</f>
        <v/>
      </c>
      <c r="C14">
        <f>INDEX(Screening!$O$5:$O$182,MATCH($A14,Screening!$A$5:$A$182,0))</f>
        <v/>
      </c>
      <c r="D14" s="11">
        <f>SUMIFS(FEA!$H$2:$H$1781,FEA!$B$2:$B$1781,$A14,FEA!$D$2:$D$1781,"foodwaste_narrative",FEA!$F$2:$F$1781,"Engagement")</f>
        <v/>
      </c>
      <c r="E14" s="11">
        <f>SUMIFS(FEA!$H$2:$H$1781,FEA!$B$2:$B$1781,$A14,FEA!$D$2:$D$1781,"foodwaste_visual",FEA!$F$2:$F$1781,"Engagement")</f>
        <v/>
      </c>
      <c r="F14" s="11">
        <f>E14-D14</f>
        <v/>
      </c>
      <c r="H14" t="inlineStr">
        <is>
          <t>SE of the mean difference</t>
        </is>
      </c>
      <c r="I14" s="13">
        <f>I13/SQRT(I11)</f>
        <v/>
      </c>
      <c r="J14" s="14" t="inlineStr">
        <is>
          <t>=I13/SQRT(I11)</t>
        </is>
      </c>
      <c r="K14" s="6" t="inlineStr">
        <is>
          <t>SD of the differences / sqrt(n)</t>
        </is>
      </c>
    </row>
    <row r="15">
      <c r="A15" t="inlineStr">
        <is>
          <t>RESP0022</t>
        </is>
      </c>
      <c r="B15">
        <f>INDEX(Session!$M$2:$M$261,MATCH($A15,Session!$A$2:$A$261,0))</f>
        <v/>
      </c>
      <c r="C15">
        <f>INDEX(Screening!$O$5:$O$182,MATCH($A15,Screening!$A$5:$A$182,0))</f>
        <v/>
      </c>
      <c r="D15" s="11">
        <f>SUMIFS(FEA!$H$2:$H$1781,FEA!$B$2:$B$1781,$A15,FEA!$D$2:$D$1781,"foodwaste_narrative",FEA!$F$2:$F$1781,"Engagement")</f>
        <v/>
      </c>
      <c r="E15" s="11">
        <f>SUMIFS(FEA!$H$2:$H$1781,FEA!$B$2:$B$1781,$A15,FEA!$D$2:$D$1781,"foodwaste_visual",FEA!$F$2:$F$1781,"Engagement")</f>
        <v/>
      </c>
      <c r="F15" s="11">
        <f>E15-D15</f>
        <v/>
      </c>
      <c r="H15" t="inlineStr">
        <is>
          <t>t</t>
        </is>
      </c>
      <c r="I15" s="13">
        <f>I12/I14</f>
        <v/>
      </c>
      <c r="J15" s="14" t="inlineStr">
        <is>
          <t>=I12/I14</t>
        </is>
      </c>
      <c r="K15" s="6" t="inlineStr">
        <is>
          <t>t = mean difference / SE</t>
        </is>
      </c>
    </row>
    <row r="16">
      <c r="A16" t="inlineStr">
        <is>
          <t>RESP0023</t>
        </is>
      </c>
      <c r="B16">
        <f>INDEX(Session!$M$2:$M$261,MATCH($A16,Session!$A$2:$A$261,0))</f>
        <v/>
      </c>
      <c r="C16">
        <f>INDEX(Screening!$O$5:$O$182,MATCH($A16,Screening!$A$5:$A$182,0))</f>
        <v/>
      </c>
      <c r="D16" s="11">
        <f>SUMIFS(FEA!$H$2:$H$1781,FEA!$B$2:$B$1781,$A16,FEA!$D$2:$D$1781,"foodwaste_narrative",FEA!$F$2:$F$1781,"Engagement")</f>
        <v/>
      </c>
      <c r="E16" s="11">
        <f>SUMIFS(FEA!$H$2:$H$1781,FEA!$B$2:$B$1781,$A16,FEA!$D$2:$D$1781,"foodwaste_visual",FEA!$F$2:$F$1781,"Engagement")</f>
        <v/>
      </c>
      <c r="F16" s="11">
        <f>E16-D16</f>
        <v/>
      </c>
      <c r="H16" t="inlineStr">
        <is>
          <t>df</t>
        </is>
      </c>
      <c r="I16" s="7">
        <f>I11-1</f>
        <v/>
      </c>
      <c r="J16" s="14" t="inlineStr">
        <is>
          <t>=I11-1</t>
        </is>
      </c>
      <c r="K16" s="6" t="inlineStr">
        <is>
          <t>n minus 1</t>
        </is>
      </c>
    </row>
    <row r="17">
      <c r="A17" t="inlineStr">
        <is>
          <t>RESP0024</t>
        </is>
      </c>
      <c r="B17">
        <f>INDEX(Session!$M$2:$M$261,MATCH($A17,Session!$A$2:$A$261,0))</f>
        <v/>
      </c>
      <c r="C17">
        <f>INDEX(Screening!$O$5:$O$182,MATCH($A17,Screening!$A$5:$A$182,0))</f>
        <v/>
      </c>
      <c r="D17" s="11">
        <f>SUMIFS(FEA!$H$2:$H$1781,FEA!$B$2:$B$1781,$A17,FEA!$D$2:$D$1781,"foodwaste_narrative",FEA!$F$2:$F$1781,"Engagement")</f>
        <v/>
      </c>
      <c r="E17" s="11">
        <f>SUMIFS(FEA!$H$2:$H$1781,FEA!$B$2:$B$1781,$A17,FEA!$D$2:$D$1781,"foodwaste_visual",FEA!$F$2:$F$1781,"Engagement")</f>
        <v/>
      </c>
      <c r="F17" s="11">
        <f>E17-D17</f>
        <v/>
      </c>
      <c r="H17" t="inlineStr">
        <is>
          <t>p, two tailed (T.TEST type 1)</t>
        </is>
      </c>
      <c r="I17" s="17">
        <f>_xlfn.T.TEST(D5:D146,E5:E146,2,1)</f>
        <v/>
      </c>
      <c r="J17" s="14" t="inlineStr">
        <is>
          <t>=T.TEST(D5:D146,E5:E146,2,1)</t>
        </is>
      </c>
      <c r="K17" s="6" t="inlineStr">
        <is>
          <t>tails = 2, type = 1 means paired</t>
        </is>
      </c>
    </row>
    <row r="18">
      <c r="A18" t="inlineStr">
        <is>
          <t>RESP0025</t>
        </is>
      </c>
      <c r="B18">
        <f>INDEX(Session!$M$2:$M$261,MATCH($A18,Session!$A$2:$A$261,0))</f>
        <v/>
      </c>
      <c r="C18">
        <f>INDEX(Screening!$O$5:$O$182,MATCH($A18,Screening!$A$5:$A$182,0))</f>
        <v/>
      </c>
      <c r="D18" s="11">
        <f>SUMIFS(FEA!$H$2:$H$1781,FEA!$B$2:$B$1781,$A18,FEA!$D$2:$D$1781,"foodwaste_narrative",FEA!$F$2:$F$1781,"Engagement")</f>
        <v/>
      </c>
      <c r="E18" s="11">
        <f>SUMIFS(FEA!$H$2:$H$1781,FEA!$B$2:$B$1781,$A18,FEA!$D$2:$D$1781,"foodwaste_visual",FEA!$F$2:$F$1781,"Engagement")</f>
        <v/>
      </c>
      <c r="F18" s="11">
        <f>E18-D18</f>
        <v/>
      </c>
      <c r="H18" t="inlineStr">
        <is>
          <t>p from the hand computed t</t>
        </is>
      </c>
      <c r="I18" s="17">
        <f>_xlfn.T.DIST.2T(ABS(I15),I16)</f>
        <v/>
      </c>
      <c r="J18" s="14" t="inlineStr">
        <is>
          <t>=T.DIST.2T(ABS(I15),I16)</t>
        </is>
      </c>
      <c r="K18" s="6" t="inlineStr">
        <is>
          <t>must match the T.TEST cell</t>
        </is>
      </c>
    </row>
    <row r="19">
      <c r="A19" t="inlineStr">
        <is>
          <t>RESP0026</t>
        </is>
      </c>
      <c r="B19">
        <f>INDEX(Session!$M$2:$M$261,MATCH($A19,Session!$A$2:$A$261,0))</f>
        <v/>
      </c>
      <c r="C19">
        <f>INDEX(Screening!$O$5:$O$182,MATCH($A19,Screening!$A$5:$A$182,0))</f>
        <v/>
      </c>
      <c r="D19" s="11">
        <f>SUMIFS(FEA!$H$2:$H$1781,FEA!$B$2:$B$1781,$A19,FEA!$D$2:$D$1781,"foodwaste_narrative",FEA!$F$2:$F$1781,"Engagement")</f>
        <v/>
      </c>
      <c r="E19" s="11">
        <f>SUMIFS(FEA!$H$2:$H$1781,FEA!$B$2:$B$1781,$A19,FEA!$D$2:$D$1781,"foodwaste_visual",FEA!$F$2:$F$1781,"Engagement")</f>
        <v/>
      </c>
      <c r="F19" s="11">
        <f>E19-D19</f>
        <v/>
      </c>
      <c r="H19" t="inlineStr">
        <is>
          <t>Critical t (95%)</t>
        </is>
      </c>
      <c r="I19" s="13">
        <f>_xlfn.T.INV.2T(0.05,I16)</f>
        <v/>
      </c>
      <c r="J19" s="14" t="inlineStr">
        <is>
          <t>=T.INV.2T(0.05,I16)</t>
        </is>
      </c>
      <c r="K19" s="6" t="inlineStr">
        <is>
          <t>two tailed, alpha = .05</t>
        </is>
      </c>
    </row>
    <row r="20">
      <c r="A20" t="inlineStr">
        <is>
          <t>RESP0035</t>
        </is>
      </c>
      <c r="B20">
        <f>INDEX(Session!$M$2:$M$261,MATCH($A20,Session!$A$2:$A$261,0))</f>
        <v/>
      </c>
      <c r="C20">
        <f>INDEX(Screening!$O$5:$O$182,MATCH($A20,Screening!$A$5:$A$182,0))</f>
        <v/>
      </c>
      <c r="D20" s="11">
        <f>SUMIFS(FEA!$H$2:$H$1781,FEA!$B$2:$B$1781,$A20,FEA!$D$2:$D$1781,"foodwaste_narrative",FEA!$F$2:$F$1781,"Engagement")</f>
        <v/>
      </c>
      <c r="E20" s="11">
        <f>SUMIFS(FEA!$H$2:$H$1781,FEA!$B$2:$B$1781,$A20,FEA!$D$2:$D$1781,"foodwaste_visual",FEA!$F$2:$F$1781,"Engagement")</f>
        <v/>
      </c>
      <c r="F20" s="11">
        <f>E20-D20</f>
        <v/>
      </c>
      <c r="H20" t="inlineStr">
        <is>
          <t>Mean difference 95% CI lower</t>
        </is>
      </c>
      <c r="I20" s="13">
        <f>I12-I19*I14</f>
        <v/>
      </c>
      <c r="J20" s="14" t="inlineStr">
        <is>
          <t>=I12-I19*I14</t>
        </is>
      </c>
    </row>
    <row r="21">
      <c r="A21" t="inlineStr">
        <is>
          <t>RESP0036</t>
        </is>
      </c>
      <c r="B21">
        <f>INDEX(Session!$M$2:$M$261,MATCH($A21,Session!$A$2:$A$261,0))</f>
        <v/>
      </c>
      <c r="C21">
        <f>INDEX(Screening!$O$5:$O$182,MATCH($A21,Screening!$A$5:$A$182,0))</f>
        <v/>
      </c>
      <c r="D21" s="11">
        <f>SUMIFS(FEA!$H$2:$H$1781,FEA!$B$2:$B$1781,$A21,FEA!$D$2:$D$1781,"foodwaste_narrative",FEA!$F$2:$F$1781,"Engagement")</f>
        <v/>
      </c>
      <c r="E21" s="11">
        <f>SUMIFS(FEA!$H$2:$H$1781,FEA!$B$2:$B$1781,$A21,FEA!$D$2:$D$1781,"foodwaste_visual",FEA!$F$2:$F$1781,"Engagement")</f>
        <v/>
      </c>
      <c r="F21" s="11">
        <f>E21-D21</f>
        <v/>
      </c>
      <c r="H21" t="inlineStr">
        <is>
          <t>Mean difference 95% CI upper</t>
        </is>
      </c>
      <c r="I21" s="13">
        <f>I12+I19*I14</f>
        <v/>
      </c>
      <c r="J21" s="14" t="inlineStr">
        <is>
          <t>=I12+I19*I14</t>
        </is>
      </c>
    </row>
    <row r="22">
      <c r="A22" t="inlineStr">
        <is>
          <t>RESP0037</t>
        </is>
      </c>
      <c r="B22">
        <f>INDEX(Session!$M$2:$M$261,MATCH($A22,Session!$A$2:$A$261,0))</f>
        <v/>
      </c>
      <c r="C22">
        <f>INDEX(Screening!$O$5:$O$182,MATCH($A22,Screening!$A$5:$A$182,0))</f>
        <v/>
      </c>
      <c r="D22" s="11">
        <f>SUMIFS(FEA!$H$2:$H$1781,FEA!$B$2:$B$1781,$A22,FEA!$D$2:$D$1781,"foodwaste_narrative",FEA!$F$2:$F$1781,"Engagement")</f>
        <v/>
      </c>
      <c r="E22" s="11">
        <f>SUMIFS(FEA!$H$2:$H$1781,FEA!$B$2:$B$1781,$A22,FEA!$D$2:$D$1781,"foodwaste_visual",FEA!$F$2:$F$1781,"Engagement")</f>
        <v/>
      </c>
      <c r="F22" s="11">
        <f>E22-D22</f>
        <v/>
      </c>
      <c r="H22" t="inlineStr">
        <is>
          <t>Cohen's d_z</t>
        </is>
      </c>
      <c r="I22" s="13">
        <f>I12/I13</f>
        <v/>
      </c>
      <c r="J22" s="14" t="inlineStr">
        <is>
          <t>=I12/I13</t>
        </is>
      </c>
      <c r="K22" s="6" t="inlineStr">
        <is>
          <t>d_z = mean difference / SD of the differences</t>
        </is>
      </c>
    </row>
    <row r="23">
      <c r="A23" t="inlineStr">
        <is>
          <t>RESP0038</t>
        </is>
      </c>
      <c r="B23">
        <f>INDEX(Session!$M$2:$M$261,MATCH($A23,Session!$A$2:$A$261,0))</f>
        <v/>
      </c>
      <c r="C23">
        <f>INDEX(Screening!$O$5:$O$182,MATCH($A23,Screening!$A$5:$A$182,0))</f>
        <v/>
      </c>
      <c r="D23" s="11">
        <f>SUMIFS(FEA!$H$2:$H$1781,FEA!$B$2:$B$1781,$A23,FEA!$D$2:$D$1781,"foodwaste_narrative",FEA!$F$2:$F$1781,"Engagement")</f>
        <v/>
      </c>
      <c r="E23" s="11">
        <f>SUMIFS(FEA!$H$2:$H$1781,FEA!$B$2:$B$1781,$A23,FEA!$D$2:$D$1781,"foodwaste_visual",FEA!$F$2:$F$1781,"Engagement")</f>
        <v/>
      </c>
      <c r="F23" s="11">
        <f>E23-D23</f>
        <v/>
      </c>
      <c r="H23" t="inlineStr">
        <is>
          <t>SE of d_z (approximation)</t>
        </is>
      </c>
      <c r="I23" s="13">
        <f>SQRT(1/I11+I22^2/(2*I11))</f>
        <v/>
      </c>
      <c r="J23" s="14" t="inlineStr">
        <is>
          <t>=SQRT(1/I11+I22^2/(2*I11))</t>
        </is>
      </c>
      <c r="K23" s="6" t="inlineStr">
        <is>
          <t>sqrt(1/n + d_z^2 / (2 n))</t>
        </is>
      </c>
    </row>
    <row r="24">
      <c r="A24" t="inlineStr">
        <is>
          <t>RESP0040</t>
        </is>
      </c>
      <c r="B24">
        <f>INDEX(Session!$M$2:$M$261,MATCH($A24,Session!$A$2:$A$261,0))</f>
        <v/>
      </c>
      <c r="C24">
        <f>INDEX(Screening!$O$5:$O$182,MATCH($A24,Screening!$A$5:$A$182,0))</f>
        <v/>
      </c>
      <c r="D24" s="11">
        <f>SUMIFS(FEA!$H$2:$H$1781,FEA!$B$2:$B$1781,$A24,FEA!$D$2:$D$1781,"foodwaste_narrative",FEA!$F$2:$F$1781,"Engagement")</f>
        <v/>
      </c>
      <c r="E24" s="11">
        <f>SUMIFS(FEA!$H$2:$H$1781,FEA!$B$2:$B$1781,$A24,FEA!$D$2:$D$1781,"foodwaste_visual",FEA!$F$2:$F$1781,"Engagement")</f>
        <v/>
      </c>
      <c r="F24" s="11">
        <f>E24-D24</f>
        <v/>
      </c>
      <c r="H24" t="inlineStr">
        <is>
          <t>d_z 95% CI lower (approximation)</t>
        </is>
      </c>
      <c r="I24" s="13">
        <f>I22-1.96*I23</f>
        <v/>
      </c>
      <c r="J24" s="14" t="inlineStr">
        <is>
          <t>=I22-1.96*I23</t>
        </is>
      </c>
      <c r="K24" s="6" t="inlineStr">
        <is>
          <t>R also gives the exact noncentral t interval</t>
        </is>
      </c>
    </row>
    <row r="25">
      <c r="A25" t="inlineStr">
        <is>
          <t>RESP0044</t>
        </is>
      </c>
      <c r="B25">
        <f>INDEX(Session!$M$2:$M$261,MATCH($A25,Session!$A$2:$A$261,0))</f>
        <v/>
      </c>
      <c r="C25">
        <f>INDEX(Screening!$O$5:$O$182,MATCH($A25,Screening!$A$5:$A$182,0))</f>
        <v/>
      </c>
      <c r="D25" s="11">
        <f>SUMIFS(FEA!$H$2:$H$1781,FEA!$B$2:$B$1781,$A25,FEA!$D$2:$D$1781,"foodwaste_narrative",FEA!$F$2:$F$1781,"Engagement")</f>
        <v/>
      </c>
      <c r="E25" s="11">
        <f>SUMIFS(FEA!$H$2:$H$1781,FEA!$B$2:$B$1781,$A25,FEA!$D$2:$D$1781,"foodwaste_visual",FEA!$F$2:$F$1781,"Engagement")</f>
        <v/>
      </c>
      <c r="F25" s="11">
        <f>E25-D25</f>
        <v/>
      </c>
      <c r="H25" t="inlineStr">
        <is>
          <t>d_z 95% CI upper (approximation)</t>
        </is>
      </c>
      <c r="I25" s="13">
        <f>I22+1.96*I23</f>
        <v/>
      </c>
      <c r="J25" s="14" t="inlineStr">
        <is>
          <t>=I22+1.96*I23</t>
        </is>
      </c>
    </row>
    <row r="26">
      <c r="A26" t="inlineStr">
        <is>
          <t>RESP0046</t>
        </is>
      </c>
      <c r="B26">
        <f>INDEX(Session!$M$2:$M$261,MATCH($A26,Session!$A$2:$A$261,0))</f>
        <v/>
      </c>
      <c r="C26">
        <f>INDEX(Screening!$O$5:$O$182,MATCH($A26,Screening!$A$5:$A$182,0))</f>
        <v/>
      </c>
      <c r="D26" s="11">
        <f>SUMIFS(FEA!$H$2:$H$1781,FEA!$B$2:$B$1781,$A26,FEA!$D$2:$D$1781,"foodwaste_narrative",FEA!$F$2:$F$1781,"Engagement")</f>
        <v/>
      </c>
      <c r="E26" s="11">
        <f>SUMIFS(FEA!$H$2:$H$1781,FEA!$B$2:$B$1781,$A26,FEA!$D$2:$D$1781,"foodwaste_visual",FEA!$F$2:$F$1781,"Engagement")</f>
        <v/>
      </c>
      <c r="F26" s="11">
        <f>E26-D26</f>
        <v/>
      </c>
      <c r="H26" t="inlineStr">
        <is>
          <t>Correlation of the two columns</t>
        </is>
      </c>
      <c r="I26" s="13">
        <f>CORREL(D5:D146,E5:E146)</f>
        <v/>
      </c>
      <c r="J26" s="14" t="inlineStr">
        <is>
          <t>=CORREL(D5:D146,E5:E146)</t>
        </is>
      </c>
      <c r="K26" s="6" t="inlineStr">
        <is>
          <t>how stable a respondent is from one column to the other</t>
        </is>
      </c>
    </row>
    <row r="27">
      <c r="A27" t="inlineStr">
        <is>
          <t>RESP0048</t>
        </is>
      </c>
      <c r="B27">
        <f>INDEX(Session!$M$2:$M$261,MATCH($A27,Session!$A$2:$A$261,0))</f>
        <v/>
      </c>
      <c r="C27">
        <f>INDEX(Screening!$O$5:$O$182,MATCH($A27,Screening!$A$5:$A$182,0))</f>
        <v/>
      </c>
      <c r="D27" s="11">
        <f>SUMIFS(FEA!$H$2:$H$1781,FEA!$B$2:$B$1781,$A27,FEA!$D$2:$D$1781,"foodwaste_narrative",FEA!$F$2:$F$1781,"Engagement")</f>
        <v/>
      </c>
      <c r="E27" s="11">
        <f>SUMIFS(FEA!$H$2:$H$1781,FEA!$B$2:$B$1781,$A27,FEA!$D$2:$D$1781,"foodwaste_visual",FEA!$F$2:$F$1781,"Engagement")</f>
        <v/>
      </c>
      <c r="F27" s="11">
        <f>E27-D27</f>
        <v/>
      </c>
      <c r="H27" t="inlineStr">
        <is>
          <t>Respondents with a positive difference</t>
        </is>
      </c>
      <c r="I27" s="7">
        <f>COUNTIF(F5:F146,"&gt;0")</f>
        <v/>
      </c>
      <c r="J27" s="14" t="inlineStr">
        <is>
          <t>=COUNTIF(F5:F146,"&gt;0")</t>
        </is>
      </c>
    </row>
    <row r="28">
      <c r="A28" t="inlineStr">
        <is>
          <t>RESP0050</t>
        </is>
      </c>
      <c r="B28">
        <f>INDEX(Session!$M$2:$M$261,MATCH($A28,Session!$A$2:$A$261,0))</f>
        <v/>
      </c>
      <c r="C28">
        <f>INDEX(Screening!$O$5:$O$182,MATCH($A28,Screening!$A$5:$A$182,0))</f>
        <v/>
      </c>
      <c r="D28" s="11">
        <f>SUMIFS(FEA!$H$2:$H$1781,FEA!$B$2:$B$1781,$A28,FEA!$D$2:$D$1781,"foodwaste_narrative",FEA!$F$2:$F$1781,"Engagement")</f>
        <v/>
      </c>
      <c r="E28" s="11">
        <f>SUMIFS(FEA!$H$2:$H$1781,FEA!$B$2:$B$1781,$A28,FEA!$D$2:$D$1781,"foodwaste_visual",FEA!$F$2:$F$1781,"Engagement")</f>
        <v/>
      </c>
      <c r="F28" s="11">
        <f>E28-D28</f>
        <v/>
      </c>
    </row>
    <row r="29">
      <c r="A29" t="inlineStr">
        <is>
          <t>RESP0052</t>
        </is>
      </c>
      <c r="B29">
        <f>INDEX(Session!$M$2:$M$261,MATCH($A29,Session!$A$2:$A$261,0))</f>
        <v/>
      </c>
      <c r="C29">
        <f>INDEX(Screening!$O$5:$O$182,MATCH($A29,Screening!$A$5:$A$182,0))</f>
        <v/>
      </c>
      <c r="D29" s="11">
        <f>SUMIFS(FEA!$H$2:$H$1781,FEA!$B$2:$B$1781,$A29,FEA!$D$2:$D$1781,"foodwaste_narrative",FEA!$F$2:$F$1781,"Engagement")</f>
        <v/>
      </c>
      <c r="E29" s="11">
        <f>SUMIFS(FEA!$H$2:$H$1781,FEA!$B$2:$B$1781,$A29,FEA!$D$2:$D$1781,"foodwaste_visual",FEA!$F$2:$F$1781,"Engagement")</f>
        <v/>
      </c>
      <c r="F29" s="11">
        <f>E29-D29</f>
        <v/>
      </c>
      <c r="H29" t="inlineStr">
        <is>
          <t>Respondents at exactly 0, narrative</t>
        </is>
      </c>
      <c r="I29" s="7">
        <f>COUNTIF(D5:D146,0)</f>
        <v/>
      </c>
      <c r="J29" s="14" t="inlineStr">
        <is>
          <t>=COUNTIF(D5:D146,0)</t>
        </is>
      </c>
      <c r="K29" s="6" t="inlineStr">
        <is>
          <t>never above the threshold</t>
        </is>
      </c>
    </row>
    <row r="30">
      <c r="A30" t="inlineStr">
        <is>
          <t>RESP0053</t>
        </is>
      </c>
      <c r="B30">
        <f>INDEX(Session!$M$2:$M$261,MATCH($A30,Session!$A$2:$A$261,0))</f>
        <v/>
      </c>
      <c r="C30">
        <f>INDEX(Screening!$O$5:$O$182,MATCH($A30,Screening!$A$5:$A$182,0))</f>
        <v/>
      </c>
      <c r="D30" s="11">
        <f>SUMIFS(FEA!$H$2:$H$1781,FEA!$B$2:$B$1781,$A30,FEA!$D$2:$D$1781,"foodwaste_narrative",FEA!$F$2:$F$1781,"Engagement")</f>
        <v/>
      </c>
      <c r="E30" s="11">
        <f>SUMIFS(FEA!$H$2:$H$1781,FEA!$B$2:$B$1781,$A30,FEA!$D$2:$D$1781,"foodwaste_visual",FEA!$F$2:$F$1781,"Engagement")</f>
        <v/>
      </c>
      <c r="F30" s="11">
        <f>E30-D30</f>
        <v/>
      </c>
      <c r="H30" t="inlineStr">
        <is>
          <t>Respondents at exactly 0, visual</t>
        </is>
      </c>
      <c r="I30" s="7">
        <f>COUNTIF(E5:E146,0)</f>
        <v/>
      </c>
      <c r="J30" s="14" t="inlineStr">
        <is>
          <t>=COUNTIF(E5:E146,0)</t>
        </is>
      </c>
    </row>
    <row r="31">
      <c r="A31" t="inlineStr">
        <is>
          <t>RESP0055</t>
        </is>
      </c>
      <c r="B31">
        <f>INDEX(Session!$M$2:$M$261,MATCH($A31,Session!$A$2:$A$261,0))</f>
        <v/>
      </c>
      <c r="C31">
        <f>INDEX(Screening!$O$5:$O$182,MATCH($A31,Screening!$A$5:$A$182,0))</f>
        <v/>
      </c>
      <c r="D31" s="11">
        <f>SUMIFS(FEA!$H$2:$H$1781,FEA!$B$2:$B$1781,$A31,FEA!$D$2:$D$1781,"foodwaste_narrative",FEA!$F$2:$F$1781,"Engagement")</f>
        <v/>
      </c>
      <c r="E31" s="11">
        <f>SUMIFS(FEA!$H$2:$H$1781,FEA!$B$2:$B$1781,$A31,FEA!$D$2:$D$1781,"foodwaste_visual",FEA!$F$2:$F$1781,"Engagement")</f>
        <v/>
      </c>
      <c r="F31" s="11">
        <f>E31-D31</f>
        <v/>
      </c>
      <c r="H31" t="inlineStr">
        <is>
          <t>Median, narrative</t>
        </is>
      </c>
      <c r="I31" s="11">
        <f>MEDIAN(D5:D146)</f>
        <v/>
      </c>
      <c r="J31" s="14" t="inlineStr">
        <is>
          <t>=MEDIAN(D5:D146)</t>
        </is>
      </c>
      <c r="K31" s="6" t="inlineStr">
        <is>
          <t>mean above median = right skew</t>
        </is>
      </c>
    </row>
    <row r="32">
      <c r="A32" t="inlineStr">
        <is>
          <t>RESP0058</t>
        </is>
      </c>
      <c r="B32">
        <f>INDEX(Session!$M$2:$M$261,MATCH($A32,Session!$A$2:$A$261,0))</f>
        <v/>
      </c>
      <c r="C32">
        <f>INDEX(Screening!$O$5:$O$182,MATCH($A32,Screening!$A$5:$A$182,0))</f>
        <v/>
      </c>
      <c r="D32" s="11">
        <f>SUMIFS(FEA!$H$2:$H$1781,FEA!$B$2:$B$1781,$A32,FEA!$D$2:$D$1781,"foodwaste_narrative",FEA!$F$2:$F$1781,"Engagement")</f>
        <v/>
      </c>
      <c r="E32" s="11">
        <f>SUMIFS(FEA!$H$2:$H$1781,FEA!$B$2:$B$1781,$A32,FEA!$D$2:$D$1781,"foodwaste_visual",FEA!$F$2:$F$1781,"Engagement")</f>
        <v/>
      </c>
      <c r="F32" s="11">
        <f>E32-D32</f>
        <v/>
      </c>
      <c r="H32" t="inlineStr">
        <is>
          <t>Median, visual</t>
        </is>
      </c>
      <c r="I32" s="11">
        <f>MEDIAN(E5:E146)</f>
        <v/>
      </c>
      <c r="J32" s="14" t="inlineStr">
        <is>
          <t>=MEDIAN(E5:E146)</t>
        </is>
      </c>
    </row>
    <row r="33">
      <c r="A33" t="inlineStr">
        <is>
          <t>RESP0059</t>
        </is>
      </c>
      <c r="B33">
        <f>INDEX(Session!$M$2:$M$261,MATCH($A33,Session!$A$2:$A$261,0))</f>
        <v/>
      </c>
      <c r="C33">
        <f>INDEX(Screening!$O$5:$O$182,MATCH($A33,Screening!$A$5:$A$182,0))</f>
        <v/>
      </c>
      <c r="D33" s="11">
        <f>SUMIFS(FEA!$H$2:$H$1781,FEA!$B$2:$B$1781,$A33,FEA!$D$2:$D$1781,"foodwaste_narrative",FEA!$F$2:$F$1781,"Engagement")</f>
        <v/>
      </c>
      <c r="E33" s="11">
        <f>SUMIFS(FEA!$H$2:$H$1781,FEA!$B$2:$B$1781,$A33,FEA!$D$2:$D$1781,"foodwaste_visual",FEA!$F$2:$F$1781,"Engagement")</f>
        <v/>
      </c>
      <c r="F33" s="11">
        <f>E33-D33</f>
        <v/>
      </c>
      <c r="H33" t="inlineStr">
        <is>
          <t>Median difference</t>
        </is>
      </c>
      <c r="I33" s="11">
        <f>MEDIAN(F5:F146)</f>
        <v/>
      </c>
      <c r="J33" s="14" t="inlineStr">
        <is>
          <t>=MEDIAN(F5:F146)</t>
        </is>
      </c>
    </row>
    <row r="34">
      <c r="A34" t="inlineStr">
        <is>
          <t>RESP0061</t>
        </is>
      </c>
      <c r="B34">
        <f>INDEX(Session!$M$2:$M$261,MATCH($A34,Session!$A$2:$A$261,0))</f>
        <v/>
      </c>
      <c r="C34">
        <f>INDEX(Screening!$O$5:$O$182,MATCH($A34,Screening!$A$5:$A$182,0))</f>
        <v/>
      </c>
      <c r="D34" s="11">
        <f>SUMIFS(FEA!$H$2:$H$1781,FEA!$B$2:$B$1781,$A34,FEA!$D$2:$D$1781,"foodwaste_narrative",FEA!$F$2:$F$1781,"Engagement")</f>
        <v/>
      </c>
      <c r="E34" s="11">
        <f>SUMIFS(FEA!$H$2:$H$1781,FEA!$B$2:$B$1781,$A34,FEA!$D$2:$D$1781,"foodwaste_visual",FEA!$F$2:$F$1781,"Engagement")</f>
        <v/>
      </c>
      <c r="F34" s="11">
        <f>E34-D34</f>
        <v/>
      </c>
    </row>
    <row r="35">
      <c r="A35" t="inlineStr">
        <is>
          <t>RESP0062</t>
        </is>
      </c>
      <c r="B35">
        <f>INDEX(Session!$M$2:$M$261,MATCH($A35,Session!$A$2:$A$261,0))</f>
        <v/>
      </c>
      <c r="C35">
        <f>INDEX(Screening!$O$5:$O$182,MATCH($A35,Screening!$A$5:$A$182,0))</f>
        <v/>
      </c>
      <c r="D35" s="11">
        <f>SUMIFS(FEA!$H$2:$H$1781,FEA!$B$2:$B$1781,$A35,FEA!$D$2:$D$1781,"foodwaste_narrative",FEA!$F$2:$F$1781,"Engagement")</f>
        <v/>
      </c>
      <c r="E35" s="11">
        <f>SUMIFS(FEA!$H$2:$H$1781,FEA!$B$2:$B$1781,$A35,FEA!$D$2:$D$1781,"foodwaste_visual",FEA!$F$2:$F$1781,"Engagement")</f>
        <v/>
      </c>
      <c r="F35" s="11">
        <f>E35-D35</f>
        <v/>
      </c>
    </row>
    <row r="36">
      <c r="A36" t="inlineStr">
        <is>
          <t>RESP0064</t>
        </is>
      </c>
      <c r="B36">
        <f>INDEX(Session!$M$2:$M$261,MATCH($A36,Session!$A$2:$A$261,0))</f>
        <v/>
      </c>
      <c r="C36">
        <f>INDEX(Screening!$O$5:$O$182,MATCH($A36,Screening!$A$5:$A$182,0))</f>
        <v/>
      </c>
      <c r="D36" s="11">
        <f>SUMIFS(FEA!$H$2:$H$1781,FEA!$B$2:$B$1781,$A36,FEA!$D$2:$D$1781,"foodwaste_narrative",FEA!$F$2:$F$1781,"Engagement")</f>
        <v/>
      </c>
      <c r="E36" s="11">
        <f>SUMIFS(FEA!$H$2:$H$1781,FEA!$B$2:$B$1781,$A36,FEA!$D$2:$D$1781,"foodwaste_visual",FEA!$F$2:$F$1781,"Engagement")</f>
        <v/>
      </c>
      <c r="F36" s="11">
        <f>E36-D36</f>
        <v/>
      </c>
      <c r="H36" s="10" t="inlineStr">
        <is>
          <t>Statistic</t>
        </is>
      </c>
      <c r="I36" s="10" t="inlineStr">
        <is>
          <t>Value</t>
        </is>
      </c>
      <c r="J36" s="10" t="inlineStr">
        <is>
          <t>Formula shown</t>
        </is>
      </c>
      <c r="K36" s="10" t="inlineStr">
        <is>
          <t>Note</t>
        </is>
      </c>
    </row>
    <row r="37">
      <c r="A37" t="inlineStr">
        <is>
          <t>RESP0067</t>
        </is>
      </c>
      <c r="B37">
        <f>INDEX(Session!$M$2:$M$261,MATCH($A37,Session!$A$2:$A$261,0))</f>
        <v/>
      </c>
      <c r="C37">
        <f>INDEX(Screening!$O$5:$O$182,MATCH($A37,Screening!$A$5:$A$182,0))</f>
        <v/>
      </c>
      <c r="D37" s="11">
        <f>SUMIFS(FEA!$H$2:$H$1781,FEA!$B$2:$B$1781,$A37,FEA!$D$2:$D$1781,"foodwaste_narrative",FEA!$F$2:$F$1781,"Engagement")</f>
        <v/>
      </c>
      <c r="E37" s="11">
        <f>SUMIFS(FEA!$H$2:$H$1781,FEA!$B$2:$B$1781,$A37,FEA!$D$2:$D$1781,"foodwaste_visual",FEA!$F$2:$F$1781,"Engagement")</f>
        <v/>
      </c>
      <c r="F37" s="11">
        <f>E37-D37</f>
        <v/>
      </c>
      <c r="H37" s="12" t="inlineStr">
        <is>
          <t>Sensitivity: H1 at 3.0 degrees (rows 5 to 129, n = 125)</t>
        </is>
      </c>
    </row>
    <row r="38">
      <c r="A38" t="inlineStr">
        <is>
          <t>RESP0069</t>
        </is>
      </c>
      <c r="B38">
        <f>INDEX(Session!$M$2:$M$261,MATCH($A38,Session!$A$2:$A$261,0))</f>
        <v/>
      </c>
      <c r="C38">
        <f>INDEX(Screening!$O$5:$O$182,MATCH($A38,Screening!$A$5:$A$182,0))</f>
        <v/>
      </c>
      <c r="D38" s="11">
        <f>SUMIFS(FEA!$H$2:$H$1781,FEA!$B$2:$B$1781,$A38,FEA!$D$2:$D$1781,"foodwaste_narrative",FEA!$F$2:$F$1781,"Engagement")</f>
        <v/>
      </c>
      <c r="E38" s="11">
        <f>SUMIFS(FEA!$H$2:$H$1781,FEA!$B$2:$B$1781,$A38,FEA!$D$2:$D$1781,"foodwaste_visual",FEA!$F$2:$F$1781,"Engagement")</f>
        <v/>
      </c>
      <c r="F38" s="11">
        <f>E38-D38</f>
        <v/>
      </c>
      <c r="H38" t="inlineStr">
        <is>
          <t>Narrative mean (% of time)</t>
        </is>
      </c>
      <c r="I38" s="13">
        <f>AVERAGE(D5:D129)</f>
        <v/>
      </c>
      <c r="J38" s="14" t="inlineStr">
        <is>
          <t>=AVERAGE(D5:D129)</t>
        </is>
      </c>
      <c r="K38" s="6" t="inlineStr">
        <is>
          <t>AVERAGE of the first column</t>
        </is>
      </c>
    </row>
    <row r="39">
      <c r="A39" t="inlineStr">
        <is>
          <t>RESP0071</t>
        </is>
      </c>
      <c r="B39">
        <f>INDEX(Session!$M$2:$M$261,MATCH($A39,Session!$A$2:$A$261,0))</f>
        <v/>
      </c>
      <c r="C39">
        <f>INDEX(Screening!$O$5:$O$182,MATCH($A39,Screening!$A$5:$A$182,0))</f>
        <v/>
      </c>
      <c r="D39" s="11">
        <f>SUMIFS(FEA!$H$2:$H$1781,FEA!$B$2:$B$1781,$A39,FEA!$D$2:$D$1781,"foodwaste_narrative",FEA!$F$2:$F$1781,"Engagement")</f>
        <v/>
      </c>
      <c r="E39" s="11">
        <f>SUMIFS(FEA!$H$2:$H$1781,FEA!$B$2:$B$1781,$A39,FEA!$D$2:$D$1781,"foodwaste_visual",FEA!$F$2:$F$1781,"Engagement")</f>
        <v/>
      </c>
      <c r="F39" s="11">
        <f>E39-D39</f>
        <v/>
      </c>
      <c r="H39" t="inlineStr">
        <is>
          <t>Narrative SD</t>
        </is>
      </c>
      <c r="I39" s="13">
        <f>_xlfn.STDEV.S(D5:D129)</f>
        <v/>
      </c>
      <c r="J39" s="14" t="inlineStr">
        <is>
          <t>=STDEV.S(D5:D129)</t>
        </is>
      </c>
      <c r="K39" s="6" t="inlineStr">
        <is>
          <t>STDEV.S = sample standard deviation</t>
        </is>
      </c>
    </row>
    <row r="40">
      <c r="A40" t="inlineStr">
        <is>
          <t>RESP0072</t>
        </is>
      </c>
      <c r="B40">
        <f>INDEX(Session!$M$2:$M$261,MATCH($A40,Session!$A$2:$A$261,0))</f>
        <v/>
      </c>
      <c r="C40">
        <f>INDEX(Screening!$O$5:$O$182,MATCH($A40,Screening!$A$5:$A$182,0))</f>
        <v/>
      </c>
      <c r="D40" s="11">
        <f>SUMIFS(FEA!$H$2:$H$1781,FEA!$B$2:$B$1781,$A40,FEA!$D$2:$D$1781,"foodwaste_narrative",FEA!$F$2:$F$1781,"Engagement")</f>
        <v/>
      </c>
      <c r="E40" s="11">
        <f>SUMIFS(FEA!$H$2:$H$1781,FEA!$B$2:$B$1781,$A40,FEA!$D$2:$D$1781,"foodwaste_visual",FEA!$F$2:$F$1781,"Engagement")</f>
        <v/>
      </c>
      <c r="F40" s="11">
        <f>E40-D40</f>
        <v/>
      </c>
      <c r="H40" t="inlineStr">
        <is>
          <t>Visual mean (% of time)</t>
        </is>
      </c>
      <c r="I40" s="13">
        <f>AVERAGE(E5:E129)</f>
        <v/>
      </c>
      <c r="J40" s="14" t="inlineStr">
        <is>
          <t>=AVERAGE(E5:E129)</t>
        </is>
      </c>
    </row>
    <row r="41">
      <c r="A41" t="inlineStr">
        <is>
          <t>RESP0073</t>
        </is>
      </c>
      <c r="B41">
        <f>INDEX(Session!$M$2:$M$261,MATCH($A41,Session!$A$2:$A$261,0))</f>
        <v/>
      </c>
      <c r="C41">
        <f>INDEX(Screening!$O$5:$O$182,MATCH($A41,Screening!$A$5:$A$182,0))</f>
        <v/>
      </c>
      <c r="D41" s="11">
        <f>SUMIFS(FEA!$H$2:$H$1781,FEA!$B$2:$B$1781,$A41,FEA!$D$2:$D$1781,"foodwaste_narrative",FEA!$F$2:$F$1781,"Engagement")</f>
        <v/>
      </c>
      <c r="E41" s="11">
        <f>SUMIFS(FEA!$H$2:$H$1781,FEA!$B$2:$B$1781,$A41,FEA!$D$2:$D$1781,"foodwaste_visual",FEA!$F$2:$F$1781,"Engagement")</f>
        <v/>
      </c>
      <c r="F41" s="11">
        <f>E41-D41</f>
        <v/>
      </c>
      <c r="H41" t="inlineStr">
        <is>
          <t>Visual SD</t>
        </is>
      </c>
      <c r="I41" s="13">
        <f>_xlfn.STDEV.S(E5:E129)</f>
        <v/>
      </c>
      <c r="J41" s="14" t="inlineStr">
        <is>
          <t>=STDEV.S(E5:E129)</t>
        </is>
      </c>
    </row>
    <row r="42">
      <c r="A42" t="inlineStr">
        <is>
          <t>RESP0074</t>
        </is>
      </c>
      <c r="B42">
        <f>INDEX(Session!$M$2:$M$261,MATCH($A42,Session!$A$2:$A$261,0))</f>
        <v/>
      </c>
      <c r="C42">
        <f>INDEX(Screening!$O$5:$O$182,MATCH($A42,Screening!$A$5:$A$182,0))</f>
        <v/>
      </c>
      <c r="D42" s="11">
        <f>SUMIFS(FEA!$H$2:$H$1781,FEA!$B$2:$B$1781,$A42,FEA!$D$2:$D$1781,"foodwaste_narrative",FEA!$F$2:$F$1781,"Engagement")</f>
        <v/>
      </c>
      <c r="E42" s="11">
        <f>SUMIFS(FEA!$H$2:$H$1781,FEA!$B$2:$B$1781,$A42,FEA!$D$2:$D$1781,"foodwaste_visual",FEA!$F$2:$F$1781,"Engagement")</f>
        <v/>
      </c>
      <c r="F42" s="11">
        <f>E42-D42</f>
        <v/>
      </c>
      <c r="H42" t="inlineStr">
        <is>
          <t>n (respondents)</t>
        </is>
      </c>
      <c r="I42" s="7">
        <f>COUNT(F5:F129)</f>
        <v/>
      </c>
      <c r="J42" s="14" t="inlineStr">
        <is>
          <t>=COUNT(F5:F129)</t>
        </is>
      </c>
    </row>
    <row r="43">
      <c r="A43" t="inlineStr">
        <is>
          <t>RESP0079</t>
        </is>
      </c>
      <c r="B43">
        <f>INDEX(Session!$M$2:$M$261,MATCH($A43,Session!$A$2:$A$261,0))</f>
        <v/>
      </c>
      <c r="C43">
        <f>INDEX(Screening!$O$5:$O$182,MATCH($A43,Screening!$A$5:$A$182,0))</f>
        <v/>
      </c>
      <c r="D43" s="11">
        <f>SUMIFS(FEA!$H$2:$H$1781,FEA!$B$2:$B$1781,$A43,FEA!$D$2:$D$1781,"foodwaste_narrative",FEA!$F$2:$F$1781,"Engagement")</f>
        <v/>
      </c>
      <c r="E43" s="11">
        <f>SUMIFS(FEA!$H$2:$H$1781,FEA!$B$2:$B$1781,$A43,FEA!$D$2:$D$1781,"foodwaste_visual",FEA!$F$2:$F$1781,"Engagement")</f>
        <v/>
      </c>
      <c r="F43" s="11">
        <f>E43-D43</f>
        <v/>
      </c>
      <c r="H43" t="inlineStr">
        <is>
          <t>Mean difference, Visual minus Narrative</t>
        </is>
      </c>
      <c r="I43" s="13">
        <f>AVERAGE(F5:F129)</f>
        <v/>
      </c>
      <c r="J43" s="14" t="inlineStr">
        <is>
          <t>=AVERAGE(F5:F129)</t>
        </is>
      </c>
    </row>
    <row r="44">
      <c r="A44" t="inlineStr">
        <is>
          <t>RESP0081</t>
        </is>
      </c>
      <c r="B44">
        <f>INDEX(Session!$M$2:$M$261,MATCH($A44,Session!$A$2:$A$261,0))</f>
        <v/>
      </c>
      <c r="C44">
        <f>INDEX(Screening!$O$5:$O$182,MATCH($A44,Screening!$A$5:$A$182,0))</f>
        <v/>
      </c>
      <c r="D44" s="11">
        <f>SUMIFS(FEA!$H$2:$H$1781,FEA!$B$2:$B$1781,$A44,FEA!$D$2:$D$1781,"foodwaste_narrative",FEA!$F$2:$F$1781,"Engagement")</f>
        <v/>
      </c>
      <c r="E44" s="11">
        <f>SUMIFS(FEA!$H$2:$H$1781,FEA!$B$2:$B$1781,$A44,FEA!$D$2:$D$1781,"foodwaste_visual",FEA!$F$2:$F$1781,"Engagement")</f>
        <v/>
      </c>
      <c r="F44" s="11">
        <f>E44-D44</f>
        <v/>
      </c>
      <c r="H44" t="inlineStr">
        <is>
          <t>SD of the differences</t>
        </is>
      </c>
      <c r="I44" s="13">
        <f>_xlfn.STDEV.S(F5:F129)</f>
        <v/>
      </c>
      <c r="J44" s="14" t="inlineStr">
        <is>
          <t>=STDEV.S(F5:F129)</t>
        </is>
      </c>
      <c r="K44" s="6" t="inlineStr">
        <is>
          <t>the SD that matters in a paired design</t>
        </is>
      </c>
    </row>
    <row r="45">
      <c r="A45" t="inlineStr">
        <is>
          <t>RESP0082</t>
        </is>
      </c>
      <c r="B45">
        <f>INDEX(Session!$M$2:$M$261,MATCH($A45,Session!$A$2:$A$261,0))</f>
        <v/>
      </c>
      <c r="C45">
        <f>INDEX(Screening!$O$5:$O$182,MATCH($A45,Screening!$A$5:$A$182,0))</f>
        <v/>
      </c>
      <c r="D45" s="11">
        <f>SUMIFS(FEA!$H$2:$H$1781,FEA!$B$2:$B$1781,$A45,FEA!$D$2:$D$1781,"foodwaste_narrative",FEA!$F$2:$F$1781,"Engagement")</f>
        <v/>
      </c>
      <c r="E45" s="11">
        <f>SUMIFS(FEA!$H$2:$H$1781,FEA!$B$2:$B$1781,$A45,FEA!$D$2:$D$1781,"foodwaste_visual",FEA!$F$2:$F$1781,"Engagement")</f>
        <v/>
      </c>
      <c r="F45" s="11">
        <f>E45-D45</f>
        <v/>
      </c>
      <c r="H45" t="inlineStr">
        <is>
          <t>SE of the mean difference</t>
        </is>
      </c>
      <c r="I45" s="13">
        <f>I44/SQRT(I42)</f>
        <v/>
      </c>
      <c r="J45" s="14" t="inlineStr">
        <is>
          <t>=I44/SQRT(I42)</t>
        </is>
      </c>
      <c r="K45" s="6" t="inlineStr">
        <is>
          <t>SD of the differences / sqrt(n)</t>
        </is>
      </c>
    </row>
    <row r="46">
      <c r="A46" t="inlineStr">
        <is>
          <t>RESP0090</t>
        </is>
      </c>
      <c r="B46">
        <f>INDEX(Session!$M$2:$M$261,MATCH($A46,Session!$A$2:$A$261,0))</f>
        <v/>
      </c>
      <c r="C46">
        <f>INDEX(Screening!$O$5:$O$182,MATCH($A46,Screening!$A$5:$A$182,0))</f>
        <v/>
      </c>
      <c r="D46" s="11">
        <f>SUMIFS(FEA!$H$2:$H$1781,FEA!$B$2:$B$1781,$A46,FEA!$D$2:$D$1781,"foodwaste_narrative",FEA!$F$2:$F$1781,"Engagement")</f>
        <v/>
      </c>
      <c r="E46" s="11">
        <f>SUMIFS(FEA!$H$2:$H$1781,FEA!$B$2:$B$1781,$A46,FEA!$D$2:$D$1781,"foodwaste_visual",FEA!$F$2:$F$1781,"Engagement")</f>
        <v/>
      </c>
      <c r="F46" s="11">
        <f>E46-D46</f>
        <v/>
      </c>
      <c r="H46" t="inlineStr">
        <is>
          <t>t</t>
        </is>
      </c>
      <c r="I46" s="13">
        <f>I43/I45</f>
        <v/>
      </c>
      <c r="J46" s="14" t="inlineStr">
        <is>
          <t>=I43/I45</t>
        </is>
      </c>
      <c r="K46" s="6" t="inlineStr">
        <is>
          <t>t = mean difference / SE</t>
        </is>
      </c>
    </row>
    <row r="47">
      <c r="A47" t="inlineStr">
        <is>
          <t>RESP0093</t>
        </is>
      </c>
      <c r="B47">
        <f>INDEX(Session!$M$2:$M$261,MATCH($A47,Session!$A$2:$A$261,0))</f>
        <v/>
      </c>
      <c r="C47">
        <f>INDEX(Screening!$O$5:$O$182,MATCH($A47,Screening!$A$5:$A$182,0))</f>
        <v/>
      </c>
      <c r="D47" s="11">
        <f>SUMIFS(FEA!$H$2:$H$1781,FEA!$B$2:$B$1781,$A47,FEA!$D$2:$D$1781,"foodwaste_narrative",FEA!$F$2:$F$1781,"Engagement")</f>
        <v/>
      </c>
      <c r="E47" s="11">
        <f>SUMIFS(FEA!$H$2:$H$1781,FEA!$B$2:$B$1781,$A47,FEA!$D$2:$D$1781,"foodwaste_visual",FEA!$F$2:$F$1781,"Engagement")</f>
        <v/>
      </c>
      <c r="F47" s="11">
        <f>E47-D47</f>
        <v/>
      </c>
      <c r="H47" t="inlineStr">
        <is>
          <t>df</t>
        </is>
      </c>
      <c r="I47" s="7">
        <f>I42-1</f>
        <v/>
      </c>
      <c r="J47" s="14" t="inlineStr">
        <is>
          <t>=I42-1</t>
        </is>
      </c>
      <c r="K47" s="6" t="inlineStr">
        <is>
          <t>n minus 1</t>
        </is>
      </c>
    </row>
    <row r="48">
      <c r="A48" t="inlineStr">
        <is>
          <t>RESP0094</t>
        </is>
      </c>
      <c r="B48">
        <f>INDEX(Session!$M$2:$M$261,MATCH($A48,Session!$A$2:$A$261,0))</f>
        <v/>
      </c>
      <c r="C48">
        <f>INDEX(Screening!$O$5:$O$182,MATCH($A48,Screening!$A$5:$A$182,0))</f>
        <v/>
      </c>
      <c r="D48" s="11">
        <f>SUMIFS(FEA!$H$2:$H$1781,FEA!$B$2:$B$1781,$A48,FEA!$D$2:$D$1781,"foodwaste_narrative",FEA!$F$2:$F$1781,"Engagement")</f>
        <v/>
      </c>
      <c r="E48" s="11">
        <f>SUMIFS(FEA!$H$2:$H$1781,FEA!$B$2:$B$1781,$A48,FEA!$D$2:$D$1781,"foodwaste_visual",FEA!$F$2:$F$1781,"Engagement")</f>
        <v/>
      </c>
      <c r="F48" s="11">
        <f>E48-D48</f>
        <v/>
      </c>
      <c r="H48" t="inlineStr">
        <is>
          <t>p, two tailed (T.TEST type 1)</t>
        </is>
      </c>
      <c r="I48" s="17">
        <f>_xlfn.T.TEST(D5:D129,E5:E129,2,1)</f>
        <v/>
      </c>
      <c r="J48" s="14" t="inlineStr">
        <is>
          <t>=T.TEST(D5:D129,E5:E129,2,1)</t>
        </is>
      </c>
      <c r="K48" s="6" t="inlineStr">
        <is>
          <t>tails = 2, type = 1 means paired</t>
        </is>
      </c>
    </row>
    <row r="49">
      <c r="A49" t="inlineStr">
        <is>
          <t>RESP0095</t>
        </is>
      </c>
      <c r="B49">
        <f>INDEX(Session!$M$2:$M$261,MATCH($A49,Session!$A$2:$A$261,0))</f>
        <v/>
      </c>
      <c r="C49">
        <f>INDEX(Screening!$O$5:$O$182,MATCH($A49,Screening!$A$5:$A$182,0))</f>
        <v/>
      </c>
      <c r="D49" s="11">
        <f>SUMIFS(FEA!$H$2:$H$1781,FEA!$B$2:$B$1781,$A49,FEA!$D$2:$D$1781,"foodwaste_narrative",FEA!$F$2:$F$1781,"Engagement")</f>
        <v/>
      </c>
      <c r="E49" s="11">
        <f>SUMIFS(FEA!$H$2:$H$1781,FEA!$B$2:$B$1781,$A49,FEA!$D$2:$D$1781,"foodwaste_visual",FEA!$F$2:$F$1781,"Engagement")</f>
        <v/>
      </c>
      <c r="F49" s="11">
        <f>E49-D49</f>
        <v/>
      </c>
      <c r="H49" t="inlineStr">
        <is>
          <t>p from the hand computed t</t>
        </is>
      </c>
      <c r="I49" s="17">
        <f>_xlfn.T.DIST.2T(ABS(I46),I47)</f>
        <v/>
      </c>
      <c r="J49" s="14" t="inlineStr">
        <is>
          <t>=T.DIST.2T(ABS(I46),I47)</t>
        </is>
      </c>
      <c r="K49" s="6" t="inlineStr">
        <is>
          <t>must match the T.TEST cell</t>
        </is>
      </c>
    </row>
    <row r="50">
      <c r="A50" t="inlineStr">
        <is>
          <t>RESP0098</t>
        </is>
      </c>
      <c r="B50">
        <f>INDEX(Session!$M$2:$M$261,MATCH($A50,Session!$A$2:$A$261,0))</f>
        <v/>
      </c>
      <c r="C50">
        <f>INDEX(Screening!$O$5:$O$182,MATCH($A50,Screening!$A$5:$A$182,0))</f>
        <v/>
      </c>
      <c r="D50" s="11">
        <f>SUMIFS(FEA!$H$2:$H$1781,FEA!$B$2:$B$1781,$A50,FEA!$D$2:$D$1781,"foodwaste_narrative",FEA!$F$2:$F$1781,"Engagement")</f>
        <v/>
      </c>
      <c r="E50" s="11">
        <f>SUMIFS(FEA!$H$2:$H$1781,FEA!$B$2:$B$1781,$A50,FEA!$D$2:$D$1781,"foodwaste_visual",FEA!$F$2:$F$1781,"Engagement")</f>
        <v/>
      </c>
      <c r="F50" s="11">
        <f>E50-D50</f>
        <v/>
      </c>
      <c r="H50" t="inlineStr">
        <is>
          <t>Critical t (95%)</t>
        </is>
      </c>
      <c r="I50" s="13">
        <f>_xlfn.T.INV.2T(0.05,I47)</f>
        <v/>
      </c>
      <c r="J50" s="14" t="inlineStr">
        <is>
          <t>=T.INV.2T(0.05,I47)</t>
        </is>
      </c>
      <c r="K50" s="6" t="inlineStr">
        <is>
          <t>two tailed, alpha = .05</t>
        </is>
      </c>
    </row>
    <row r="51">
      <c r="A51" t="inlineStr">
        <is>
          <t>RESP0099</t>
        </is>
      </c>
      <c r="B51">
        <f>INDEX(Session!$M$2:$M$261,MATCH($A51,Session!$A$2:$A$261,0))</f>
        <v/>
      </c>
      <c r="C51">
        <f>INDEX(Screening!$O$5:$O$182,MATCH($A51,Screening!$A$5:$A$182,0))</f>
        <v/>
      </c>
      <c r="D51" s="11">
        <f>SUMIFS(FEA!$H$2:$H$1781,FEA!$B$2:$B$1781,$A51,FEA!$D$2:$D$1781,"foodwaste_narrative",FEA!$F$2:$F$1781,"Engagement")</f>
        <v/>
      </c>
      <c r="E51" s="11">
        <f>SUMIFS(FEA!$H$2:$H$1781,FEA!$B$2:$B$1781,$A51,FEA!$D$2:$D$1781,"foodwaste_visual",FEA!$F$2:$F$1781,"Engagement")</f>
        <v/>
      </c>
      <c r="F51" s="11">
        <f>E51-D51</f>
        <v/>
      </c>
      <c r="H51" t="inlineStr">
        <is>
          <t>Mean difference 95% CI lower</t>
        </is>
      </c>
      <c r="I51" s="13">
        <f>I43-I50*I45</f>
        <v/>
      </c>
      <c r="J51" s="14" t="inlineStr">
        <is>
          <t>=I43-I50*I45</t>
        </is>
      </c>
    </row>
    <row r="52">
      <c r="A52" t="inlineStr">
        <is>
          <t>RESP0102</t>
        </is>
      </c>
      <c r="B52">
        <f>INDEX(Session!$M$2:$M$261,MATCH($A52,Session!$A$2:$A$261,0))</f>
        <v/>
      </c>
      <c r="C52">
        <f>INDEX(Screening!$O$5:$O$182,MATCH($A52,Screening!$A$5:$A$182,0))</f>
        <v/>
      </c>
      <c r="D52" s="11">
        <f>SUMIFS(FEA!$H$2:$H$1781,FEA!$B$2:$B$1781,$A52,FEA!$D$2:$D$1781,"foodwaste_narrative",FEA!$F$2:$F$1781,"Engagement")</f>
        <v/>
      </c>
      <c r="E52" s="11">
        <f>SUMIFS(FEA!$H$2:$H$1781,FEA!$B$2:$B$1781,$A52,FEA!$D$2:$D$1781,"foodwaste_visual",FEA!$F$2:$F$1781,"Engagement")</f>
        <v/>
      </c>
      <c r="F52" s="11">
        <f>E52-D52</f>
        <v/>
      </c>
      <c r="H52" t="inlineStr">
        <is>
          <t>Mean difference 95% CI upper</t>
        </is>
      </c>
      <c r="I52" s="13">
        <f>I43+I50*I45</f>
        <v/>
      </c>
      <c r="J52" s="14" t="inlineStr">
        <is>
          <t>=I43+I50*I45</t>
        </is>
      </c>
    </row>
    <row r="53">
      <c r="A53" t="inlineStr">
        <is>
          <t>RESP0108</t>
        </is>
      </c>
      <c r="B53">
        <f>INDEX(Session!$M$2:$M$261,MATCH($A53,Session!$A$2:$A$261,0))</f>
        <v/>
      </c>
      <c r="C53">
        <f>INDEX(Screening!$O$5:$O$182,MATCH($A53,Screening!$A$5:$A$182,0))</f>
        <v/>
      </c>
      <c r="D53" s="11">
        <f>SUMIFS(FEA!$H$2:$H$1781,FEA!$B$2:$B$1781,$A53,FEA!$D$2:$D$1781,"foodwaste_narrative",FEA!$F$2:$F$1781,"Engagement")</f>
        <v/>
      </c>
      <c r="E53" s="11">
        <f>SUMIFS(FEA!$H$2:$H$1781,FEA!$B$2:$B$1781,$A53,FEA!$D$2:$D$1781,"foodwaste_visual",FEA!$F$2:$F$1781,"Engagement")</f>
        <v/>
      </c>
      <c r="F53" s="11">
        <f>E53-D53</f>
        <v/>
      </c>
      <c r="H53" t="inlineStr">
        <is>
          <t>Cohen's d_z</t>
        </is>
      </c>
      <c r="I53" s="13">
        <f>I43/I44</f>
        <v/>
      </c>
      <c r="J53" s="14" t="inlineStr">
        <is>
          <t>=I43/I44</t>
        </is>
      </c>
      <c r="K53" s="6" t="inlineStr">
        <is>
          <t>d_z = mean difference / SD of the differences</t>
        </is>
      </c>
    </row>
    <row r="54">
      <c r="A54" t="inlineStr">
        <is>
          <t>RESP0111</t>
        </is>
      </c>
      <c r="B54">
        <f>INDEX(Session!$M$2:$M$261,MATCH($A54,Session!$A$2:$A$261,0))</f>
        <v/>
      </c>
      <c r="C54">
        <f>INDEX(Screening!$O$5:$O$182,MATCH($A54,Screening!$A$5:$A$182,0))</f>
        <v/>
      </c>
      <c r="D54" s="11">
        <f>SUMIFS(FEA!$H$2:$H$1781,FEA!$B$2:$B$1781,$A54,FEA!$D$2:$D$1781,"foodwaste_narrative",FEA!$F$2:$F$1781,"Engagement")</f>
        <v/>
      </c>
      <c r="E54" s="11">
        <f>SUMIFS(FEA!$H$2:$H$1781,FEA!$B$2:$B$1781,$A54,FEA!$D$2:$D$1781,"foodwaste_visual",FEA!$F$2:$F$1781,"Engagement")</f>
        <v/>
      </c>
      <c r="F54" s="11">
        <f>E54-D54</f>
        <v/>
      </c>
      <c r="H54" t="inlineStr">
        <is>
          <t>SE of d_z (approximation)</t>
        </is>
      </c>
      <c r="I54" s="13">
        <f>SQRT(1/I42+I53^2/(2*I42))</f>
        <v/>
      </c>
      <c r="J54" s="14" t="inlineStr">
        <is>
          <t>=SQRT(1/I42+I53^2/(2*I42))</t>
        </is>
      </c>
      <c r="K54" s="6" t="inlineStr">
        <is>
          <t>sqrt(1/n + d_z^2 / (2 n))</t>
        </is>
      </c>
    </row>
    <row r="55">
      <c r="A55" t="inlineStr">
        <is>
          <t>RESP0112</t>
        </is>
      </c>
      <c r="B55">
        <f>INDEX(Session!$M$2:$M$261,MATCH($A55,Session!$A$2:$A$261,0))</f>
        <v/>
      </c>
      <c r="C55">
        <f>INDEX(Screening!$O$5:$O$182,MATCH($A55,Screening!$A$5:$A$182,0))</f>
        <v/>
      </c>
      <c r="D55" s="11">
        <f>SUMIFS(FEA!$H$2:$H$1781,FEA!$B$2:$B$1781,$A55,FEA!$D$2:$D$1781,"foodwaste_narrative",FEA!$F$2:$F$1781,"Engagement")</f>
        <v/>
      </c>
      <c r="E55" s="11">
        <f>SUMIFS(FEA!$H$2:$H$1781,FEA!$B$2:$B$1781,$A55,FEA!$D$2:$D$1781,"foodwaste_visual",FEA!$F$2:$F$1781,"Engagement")</f>
        <v/>
      </c>
      <c r="F55" s="11">
        <f>E55-D55</f>
        <v/>
      </c>
      <c r="H55" t="inlineStr">
        <is>
          <t>d_z 95% CI lower (approximation)</t>
        </is>
      </c>
      <c r="I55" s="13">
        <f>I53-1.96*I54</f>
        <v/>
      </c>
      <c r="J55" s="14" t="inlineStr">
        <is>
          <t>=I53-1.96*I54</t>
        </is>
      </c>
      <c r="K55" s="6" t="inlineStr">
        <is>
          <t>R also gives the exact noncentral t interval</t>
        </is>
      </c>
    </row>
    <row r="56">
      <c r="A56" t="inlineStr">
        <is>
          <t>RESP0113</t>
        </is>
      </c>
      <c r="B56">
        <f>INDEX(Session!$M$2:$M$261,MATCH($A56,Session!$A$2:$A$261,0))</f>
        <v/>
      </c>
      <c r="C56">
        <f>INDEX(Screening!$O$5:$O$182,MATCH($A56,Screening!$A$5:$A$182,0))</f>
        <v/>
      </c>
      <c r="D56" s="11">
        <f>SUMIFS(FEA!$H$2:$H$1781,FEA!$B$2:$B$1781,$A56,FEA!$D$2:$D$1781,"foodwaste_narrative",FEA!$F$2:$F$1781,"Engagement")</f>
        <v/>
      </c>
      <c r="E56" s="11">
        <f>SUMIFS(FEA!$H$2:$H$1781,FEA!$B$2:$B$1781,$A56,FEA!$D$2:$D$1781,"foodwaste_visual",FEA!$F$2:$F$1781,"Engagement")</f>
        <v/>
      </c>
      <c r="F56" s="11">
        <f>E56-D56</f>
        <v/>
      </c>
      <c r="H56" t="inlineStr">
        <is>
          <t>d_z 95% CI upper (approximation)</t>
        </is>
      </c>
      <c r="I56" s="13">
        <f>I53+1.96*I54</f>
        <v/>
      </c>
      <c r="J56" s="14" t="inlineStr">
        <is>
          <t>=I53+1.96*I54</t>
        </is>
      </c>
    </row>
    <row r="57">
      <c r="A57" t="inlineStr">
        <is>
          <t>RESP0114</t>
        </is>
      </c>
      <c r="B57">
        <f>INDEX(Session!$M$2:$M$261,MATCH($A57,Session!$A$2:$A$261,0))</f>
        <v/>
      </c>
      <c r="C57">
        <f>INDEX(Screening!$O$5:$O$182,MATCH($A57,Screening!$A$5:$A$182,0))</f>
        <v/>
      </c>
      <c r="D57" s="11">
        <f>SUMIFS(FEA!$H$2:$H$1781,FEA!$B$2:$B$1781,$A57,FEA!$D$2:$D$1781,"foodwaste_narrative",FEA!$F$2:$F$1781,"Engagement")</f>
        <v/>
      </c>
      <c r="E57" s="11">
        <f>SUMIFS(FEA!$H$2:$H$1781,FEA!$B$2:$B$1781,$A57,FEA!$D$2:$D$1781,"foodwaste_visual",FEA!$F$2:$F$1781,"Engagement")</f>
        <v/>
      </c>
      <c r="F57" s="11">
        <f>E57-D57</f>
        <v/>
      </c>
      <c r="H57" t="inlineStr">
        <is>
          <t>Correlation of the two columns</t>
        </is>
      </c>
      <c r="I57" s="13">
        <f>CORREL(D5:D129,E5:E129)</f>
        <v/>
      </c>
      <c r="J57" s="14" t="inlineStr">
        <is>
          <t>=CORREL(D5:D129,E5:E129)</t>
        </is>
      </c>
      <c r="K57" s="6" t="inlineStr">
        <is>
          <t>how stable a respondent is from one column to the other</t>
        </is>
      </c>
    </row>
    <row r="58">
      <c r="A58" t="inlineStr">
        <is>
          <t>RESP0115</t>
        </is>
      </c>
      <c r="B58">
        <f>INDEX(Session!$M$2:$M$261,MATCH($A58,Session!$A$2:$A$261,0))</f>
        <v/>
      </c>
      <c r="C58">
        <f>INDEX(Screening!$O$5:$O$182,MATCH($A58,Screening!$A$5:$A$182,0))</f>
        <v/>
      </c>
      <c r="D58" s="11">
        <f>SUMIFS(FEA!$H$2:$H$1781,FEA!$B$2:$B$1781,$A58,FEA!$D$2:$D$1781,"foodwaste_narrative",FEA!$F$2:$F$1781,"Engagement")</f>
        <v/>
      </c>
      <c r="E58" s="11">
        <f>SUMIFS(FEA!$H$2:$H$1781,FEA!$B$2:$B$1781,$A58,FEA!$D$2:$D$1781,"foodwaste_visual",FEA!$F$2:$F$1781,"Engagement")</f>
        <v/>
      </c>
      <c r="F58" s="11">
        <f>E58-D58</f>
        <v/>
      </c>
      <c r="H58" t="inlineStr">
        <is>
          <t>Respondents with a positive difference</t>
        </is>
      </c>
      <c r="I58" s="7">
        <f>COUNTIF(F5:F129,"&gt;0")</f>
        <v/>
      </c>
      <c r="J58" s="14" t="inlineStr">
        <is>
          <t>=COUNTIF(F5:F129,"&gt;0")</t>
        </is>
      </c>
    </row>
    <row r="59">
      <c r="A59" t="inlineStr">
        <is>
          <t>RESP0117</t>
        </is>
      </c>
      <c r="B59">
        <f>INDEX(Session!$M$2:$M$261,MATCH($A59,Session!$A$2:$A$261,0))</f>
        <v/>
      </c>
      <c r="C59">
        <f>INDEX(Screening!$O$5:$O$182,MATCH($A59,Screening!$A$5:$A$182,0))</f>
        <v/>
      </c>
      <c r="D59" s="11">
        <f>SUMIFS(FEA!$H$2:$H$1781,FEA!$B$2:$B$1781,$A59,FEA!$D$2:$D$1781,"foodwaste_narrative",FEA!$F$2:$F$1781,"Engagement")</f>
        <v/>
      </c>
      <c r="E59" s="11">
        <f>SUMIFS(FEA!$H$2:$H$1781,FEA!$B$2:$B$1781,$A59,FEA!$D$2:$D$1781,"foodwaste_visual",FEA!$F$2:$F$1781,"Engagement")</f>
        <v/>
      </c>
      <c r="F59" s="11">
        <f>E59-D59</f>
        <v/>
      </c>
    </row>
    <row r="60">
      <c r="A60" t="inlineStr">
        <is>
          <t>RESP0118</t>
        </is>
      </c>
      <c r="B60">
        <f>INDEX(Session!$M$2:$M$261,MATCH($A60,Session!$A$2:$A$261,0))</f>
        <v/>
      </c>
      <c r="C60">
        <f>INDEX(Screening!$O$5:$O$182,MATCH($A60,Screening!$A$5:$A$182,0))</f>
        <v/>
      </c>
      <c r="D60" s="11">
        <f>SUMIFS(FEA!$H$2:$H$1781,FEA!$B$2:$B$1781,$A60,FEA!$D$2:$D$1781,"foodwaste_narrative",FEA!$F$2:$F$1781,"Engagement")</f>
        <v/>
      </c>
      <c r="E60" s="11">
        <f>SUMIFS(FEA!$H$2:$H$1781,FEA!$B$2:$B$1781,$A60,FEA!$D$2:$D$1781,"foodwaste_visual",FEA!$F$2:$F$1781,"Engagement")</f>
        <v/>
      </c>
      <c r="F60" s="11">
        <f>E60-D60</f>
        <v/>
      </c>
    </row>
    <row r="61">
      <c r="A61" t="inlineStr">
        <is>
          <t>RESP0120</t>
        </is>
      </c>
      <c r="B61">
        <f>INDEX(Session!$M$2:$M$261,MATCH($A61,Session!$A$2:$A$261,0))</f>
        <v/>
      </c>
      <c r="C61">
        <f>INDEX(Screening!$O$5:$O$182,MATCH($A61,Screening!$A$5:$A$182,0))</f>
        <v/>
      </c>
      <c r="D61" s="11">
        <f>SUMIFS(FEA!$H$2:$H$1781,FEA!$B$2:$B$1781,$A61,FEA!$D$2:$D$1781,"foodwaste_narrative",FEA!$F$2:$F$1781,"Engagement")</f>
        <v/>
      </c>
      <c r="E61" s="11">
        <f>SUMIFS(FEA!$H$2:$H$1781,FEA!$B$2:$B$1781,$A61,FEA!$D$2:$D$1781,"foodwaste_visual",FEA!$F$2:$F$1781,"Engagement")</f>
        <v/>
      </c>
      <c r="F61" s="11">
        <f>E61-D61</f>
        <v/>
      </c>
    </row>
    <row r="62">
      <c r="A62" t="inlineStr">
        <is>
          <t>RESP0122</t>
        </is>
      </c>
      <c r="B62">
        <f>INDEX(Session!$M$2:$M$261,MATCH($A62,Session!$A$2:$A$261,0))</f>
        <v/>
      </c>
      <c r="C62">
        <f>INDEX(Screening!$O$5:$O$182,MATCH($A62,Screening!$A$5:$A$182,0))</f>
        <v/>
      </c>
      <c r="D62" s="11">
        <f>SUMIFS(FEA!$H$2:$H$1781,FEA!$B$2:$B$1781,$A62,FEA!$D$2:$D$1781,"foodwaste_narrative",FEA!$F$2:$F$1781,"Engagement")</f>
        <v/>
      </c>
      <c r="E62" s="11">
        <f>SUMIFS(FEA!$H$2:$H$1781,FEA!$B$2:$B$1781,$A62,FEA!$D$2:$D$1781,"foodwaste_visual",FEA!$F$2:$F$1781,"Engagement")</f>
        <v/>
      </c>
      <c r="F62" s="11">
        <f>E62-D62</f>
        <v/>
      </c>
      <c r="H62" s="10" t="inlineStr">
        <is>
          <t>Statistic</t>
        </is>
      </c>
      <c r="I62" s="10" t="inlineStr">
        <is>
          <t>Value</t>
        </is>
      </c>
      <c r="J62" s="10" t="inlineStr">
        <is>
          <t>Formula shown</t>
        </is>
      </c>
      <c r="K62" s="10" t="inlineStr">
        <is>
          <t>Note</t>
        </is>
      </c>
    </row>
    <row r="63">
      <c r="A63" t="inlineStr">
        <is>
          <t>RESP0123</t>
        </is>
      </c>
      <c r="B63">
        <f>INDEX(Session!$M$2:$M$261,MATCH($A63,Session!$A$2:$A$261,0))</f>
        <v/>
      </c>
      <c r="C63">
        <f>INDEX(Screening!$O$5:$O$182,MATCH($A63,Screening!$A$5:$A$182,0))</f>
        <v/>
      </c>
      <c r="D63" s="11">
        <f>SUMIFS(FEA!$H$2:$H$1781,FEA!$B$2:$B$1781,$A63,FEA!$D$2:$D$1781,"foodwaste_narrative",FEA!$F$2:$F$1781,"Engagement")</f>
        <v/>
      </c>
      <c r="E63" s="11">
        <f>SUMIFS(FEA!$H$2:$H$1781,FEA!$B$2:$B$1781,$A63,FEA!$D$2:$D$1781,"foodwaste_visual",FEA!$F$2:$F$1781,"Engagement")</f>
        <v/>
      </c>
      <c r="F63" s="11">
        <f>E63-D63</f>
        <v/>
      </c>
      <c r="H63" s="12" t="inlineStr">
        <is>
          <t>Roster checks</t>
        </is>
      </c>
    </row>
    <row r="64">
      <c r="A64" t="inlineStr">
        <is>
          <t>RESP0124</t>
        </is>
      </c>
      <c r="B64">
        <f>INDEX(Session!$M$2:$M$261,MATCH($A64,Session!$A$2:$A$261,0))</f>
        <v/>
      </c>
      <c r="C64">
        <f>INDEX(Screening!$O$5:$O$182,MATCH($A64,Screening!$A$5:$A$182,0))</f>
        <v/>
      </c>
      <c r="D64" s="11">
        <f>SUMIFS(FEA!$H$2:$H$1781,FEA!$B$2:$B$1781,$A64,FEA!$D$2:$D$1781,"foodwaste_narrative",FEA!$F$2:$F$1781,"Engagement")</f>
        <v/>
      </c>
      <c r="E64" s="11">
        <f>SUMIFS(FEA!$H$2:$H$1781,FEA!$B$2:$B$1781,$A64,FEA!$D$2:$D$1781,"foodwaste_visual",FEA!$F$2:$F$1781,"Engagement")</f>
        <v/>
      </c>
      <c r="F64" s="11">
        <f>E64-D64</f>
        <v/>
      </c>
      <c r="H64" t="inlineStr">
        <is>
          <t>Kept respondents on the Screening sheet</t>
        </is>
      </c>
      <c r="I64" s="7">
        <f>COUNTIF(Screening!$L$5:$L$182,"Keep")</f>
        <v/>
      </c>
      <c r="J64" s="14" t="inlineStr">
        <is>
          <t>=COUNTIF(Screening!$L$5:$L$182,"Keep")</t>
        </is>
      </c>
      <c r="K64" s="6" t="inlineStr">
        <is>
          <t>must equal n of the H1 block</t>
        </is>
      </c>
    </row>
    <row r="65">
      <c r="A65" t="inlineStr">
        <is>
          <t>RESP0125</t>
        </is>
      </c>
      <c r="B65">
        <f>INDEX(Session!$M$2:$M$261,MATCH($A65,Session!$A$2:$A$261,0))</f>
        <v/>
      </c>
      <c r="C65">
        <f>INDEX(Screening!$O$5:$O$182,MATCH($A65,Screening!$A$5:$A$182,0))</f>
        <v/>
      </c>
      <c r="D65" s="11">
        <f>SUMIFS(FEA!$H$2:$H$1781,FEA!$B$2:$B$1781,$A65,FEA!$D$2:$D$1781,"foodwaste_narrative",FEA!$F$2:$F$1781,"Engagement")</f>
        <v/>
      </c>
      <c r="E65" s="11">
        <f>SUMIFS(FEA!$H$2:$H$1781,FEA!$B$2:$B$1781,$A65,FEA!$D$2:$D$1781,"foodwaste_visual",FEA!$F$2:$F$1781,"Engagement")</f>
        <v/>
      </c>
      <c r="F65" s="11">
        <f>E65-D65</f>
        <v/>
      </c>
      <c r="H65" t="inlineStr">
        <is>
          <t>Rows in the sensitivity block marked Exclude at 3.0 (must be 0)</t>
        </is>
      </c>
      <c r="I65" s="7">
        <f>COUNTIF(C5:C129,"Exclude")</f>
        <v/>
      </c>
      <c r="J65" s="14" t="inlineStr">
        <is>
          <t>=COUNTIF(C5:C129,"Exclude")</t>
        </is>
      </c>
    </row>
    <row r="66">
      <c r="A66" t="inlineStr">
        <is>
          <t>RESP0129</t>
        </is>
      </c>
      <c r="B66">
        <f>INDEX(Session!$M$2:$M$261,MATCH($A66,Session!$A$2:$A$261,0))</f>
        <v/>
      </c>
      <c r="C66">
        <f>INDEX(Screening!$O$5:$O$182,MATCH($A66,Screening!$A$5:$A$182,0))</f>
        <v/>
      </c>
      <c r="D66" s="11">
        <f>SUMIFS(FEA!$H$2:$H$1781,FEA!$B$2:$B$1781,$A66,FEA!$D$2:$D$1781,"foodwaste_narrative",FEA!$F$2:$F$1781,"Engagement")</f>
        <v/>
      </c>
      <c r="E66" s="11">
        <f>SUMIFS(FEA!$H$2:$H$1781,FEA!$B$2:$B$1781,$A66,FEA!$D$2:$D$1781,"foodwaste_visual",FEA!$F$2:$F$1781,"Engagement")</f>
        <v/>
      </c>
      <c r="F66" s="11">
        <f>E66-D66</f>
        <v/>
      </c>
      <c r="H66" t="inlineStr">
        <is>
          <t>Rows below the sensitivity block marked Exclude at 3.0</t>
        </is>
      </c>
      <c r="I66" s="7">
        <f>COUNTIF(C130:C146,"Exclude")</f>
        <v/>
      </c>
      <c r="J66" s="14" t="inlineStr">
        <is>
          <t>=COUNTIF(C130:C146,"Exclude")</t>
        </is>
      </c>
    </row>
    <row r="67">
      <c r="A67" t="inlineStr">
        <is>
          <t>RESP0131</t>
        </is>
      </c>
      <c r="B67">
        <f>INDEX(Session!$M$2:$M$261,MATCH($A67,Session!$A$2:$A$261,0))</f>
        <v/>
      </c>
      <c r="C67">
        <f>INDEX(Screening!$O$5:$O$182,MATCH($A67,Screening!$A$5:$A$182,0))</f>
        <v/>
      </c>
      <c r="D67" s="11">
        <f>SUMIFS(FEA!$H$2:$H$1781,FEA!$B$2:$B$1781,$A67,FEA!$D$2:$D$1781,"foodwaste_narrative",FEA!$F$2:$F$1781,"Engagement")</f>
        <v/>
      </c>
      <c r="E67" s="11">
        <f>SUMIFS(FEA!$H$2:$H$1781,FEA!$B$2:$B$1781,$A67,FEA!$D$2:$D$1781,"foodwaste_visual",FEA!$F$2:$F$1781,"Engagement")</f>
        <v/>
      </c>
      <c r="F67" s="11">
        <f>E67-D67</f>
        <v/>
      </c>
    </row>
    <row r="68">
      <c r="A68" t="inlineStr">
        <is>
          <t>RESP0133</t>
        </is>
      </c>
      <c r="B68">
        <f>INDEX(Session!$M$2:$M$261,MATCH($A68,Session!$A$2:$A$261,0))</f>
        <v/>
      </c>
      <c r="C68">
        <f>INDEX(Screening!$O$5:$O$182,MATCH($A68,Screening!$A$5:$A$182,0))</f>
        <v/>
      </c>
      <c r="D68" s="11">
        <f>SUMIFS(FEA!$H$2:$H$1781,FEA!$B$2:$B$1781,$A68,FEA!$D$2:$D$1781,"foodwaste_narrative",FEA!$F$2:$F$1781,"Engagement")</f>
        <v/>
      </c>
      <c r="E68" s="11">
        <f>SUMIFS(FEA!$H$2:$H$1781,FEA!$B$2:$B$1781,$A68,FEA!$D$2:$D$1781,"foodwaste_visual",FEA!$F$2:$F$1781,"Engagement")</f>
        <v/>
      </c>
      <c r="F68" s="11">
        <f>E68-D68</f>
        <v/>
      </c>
    </row>
    <row r="69">
      <c r="A69" t="inlineStr">
        <is>
          <t>RESP0140</t>
        </is>
      </c>
      <c r="B69">
        <f>INDEX(Session!$M$2:$M$261,MATCH($A69,Session!$A$2:$A$261,0))</f>
        <v/>
      </c>
      <c r="C69">
        <f>INDEX(Screening!$O$5:$O$182,MATCH($A69,Screening!$A$5:$A$182,0))</f>
        <v/>
      </c>
      <c r="D69" s="11">
        <f>SUMIFS(FEA!$H$2:$H$1781,FEA!$B$2:$B$1781,$A69,FEA!$D$2:$D$1781,"foodwaste_narrative",FEA!$F$2:$F$1781,"Engagement")</f>
        <v/>
      </c>
      <c r="E69" s="11">
        <f>SUMIFS(FEA!$H$2:$H$1781,FEA!$B$2:$B$1781,$A69,FEA!$D$2:$D$1781,"foodwaste_visual",FEA!$F$2:$F$1781,"Engagement")</f>
        <v/>
      </c>
      <c r="F69" s="11">
        <f>E69-D69</f>
        <v/>
      </c>
    </row>
    <row r="70">
      <c r="A70" t="inlineStr">
        <is>
          <t>RESP0141</t>
        </is>
      </c>
      <c r="B70">
        <f>INDEX(Session!$M$2:$M$261,MATCH($A70,Session!$A$2:$A$261,0))</f>
        <v/>
      </c>
      <c r="C70">
        <f>INDEX(Screening!$O$5:$O$182,MATCH($A70,Screening!$A$5:$A$182,0))</f>
        <v/>
      </c>
      <c r="D70" s="11">
        <f>SUMIFS(FEA!$H$2:$H$1781,FEA!$B$2:$B$1781,$A70,FEA!$D$2:$D$1781,"foodwaste_narrative",FEA!$F$2:$F$1781,"Engagement")</f>
        <v/>
      </c>
      <c r="E70" s="11">
        <f>SUMIFS(FEA!$H$2:$H$1781,FEA!$B$2:$B$1781,$A70,FEA!$D$2:$D$1781,"foodwaste_visual",FEA!$F$2:$F$1781,"Engagement")</f>
        <v/>
      </c>
      <c r="F70" s="11">
        <f>E70-D70</f>
        <v/>
      </c>
    </row>
    <row r="71">
      <c r="A71" t="inlineStr">
        <is>
          <t>RESP0142</t>
        </is>
      </c>
      <c r="B71">
        <f>INDEX(Session!$M$2:$M$261,MATCH($A71,Session!$A$2:$A$261,0))</f>
        <v/>
      </c>
      <c r="C71">
        <f>INDEX(Screening!$O$5:$O$182,MATCH($A71,Screening!$A$5:$A$182,0))</f>
        <v/>
      </c>
      <c r="D71" s="11">
        <f>SUMIFS(FEA!$H$2:$H$1781,FEA!$B$2:$B$1781,$A71,FEA!$D$2:$D$1781,"foodwaste_narrative",FEA!$F$2:$F$1781,"Engagement")</f>
        <v/>
      </c>
      <c r="E71" s="11">
        <f>SUMIFS(FEA!$H$2:$H$1781,FEA!$B$2:$B$1781,$A71,FEA!$D$2:$D$1781,"foodwaste_visual",FEA!$F$2:$F$1781,"Engagement")</f>
        <v/>
      </c>
      <c r="F71" s="11">
        <f>E71-D71</f>
        <v/>
      </c>
    </row>
    <row r="72">
      <c r="A72" t="inlineStr">
        <is>
          <t>RESP0143</t>
        </is>
      </c>
      <c r="B72">
        <f>INDEX(Session!$M$2:$M$261,MATCH($A72,Session!$A$2:$A$261,0))</f>
        <v/>
      </c>
      <c r="C72">
        <f>INDEX(Screening!$O$5:$O$182,MATCH($A72,Screening!$A$5:$A$182,0))</f>
        <v/>
      </c>
      <c r="D72" s="11">
        <f>SUMIFS(FEA!$H$2:$H$1781,FEA!$B$2:$B$1781,$A72,FEA!$D$2:$D$1781,"foodwaste_narrative",FEA!$F$2:$F$1781,"Engagement")</f>
        <v/>
      </c>
      <c r="E72" s="11">
        <f>SUMIFS(FEA!$H$2:$H$1781,FEA!$B$2:$B$1781,$A72,FEA!$D$2:$D$1781,"foodwaste_visual",FEA!$F$2:$F$1781,"Engagement")</f>
        <v/>
      </c>
      <c r="F72" s="11">
        <f>E72-D72</f>
        <v/>
      </c>
    </row>
    <row r="73">
      <c r="A73" t="inlineStr">
        <is>
          <t>RESP0144</t>
        </is>
      </c>
      <c r="B73">
        <f>INDEX(Session!$M$2:$M$261,MATCH($A73,Session!$A$2:$A$261,0))</f>
        <v/>
      </c>
      <c r="C73">
        <f>INDEX(Screening!$O$5:$O$182,MATCH($A73,Screening!$A$5:$A$182,0))</f>
        <v/>
      </c>
      <c r="D73" s="11">
        <f>SUMIFS(FEA!$H$2:$H$1781,FEA!$B$2:$B$1781,$A73,FEA!$D$2:$D$1781,"foodwaste_narrative",FEA!$F$2:$F$1781,"Engagement")</f>
        <v/>
      </c>
      <c r="E73" s="11">
        <f>SUMIFS(FEA!$H$2:$H$1781,FEA!$B$2:$B$1781,$A73,FEA!$D$2:$D$1781,"foodwaste_visual",FEA!$F$2:$F$1781,"Engagement")</f>
        <v/>
      </c>
      <c r="F73" s="11">
        <f>E73-D73</f>
        <v/>
      </c>
    </row>
    <row r="74">
      <c r="A74" t="inlineStr">
        <is>
          <t>RESP0145</t>
        </is>
      </c>
      <c r="B74">
        <f>INDEX(Session!$M$2:$M$261,MATCH($A74,Session!$A$2:$A$261,0))</f>
        <v/>
      </c>
      <c r="C74">
        <f>INDEX(Screening!$O$5:$O$182,MATCH($A74,Screening!$A$5:$A$182,0))</f>
        <v/>
      </c>
      <c r="D74" s="11">
        <f>SUMIFS(FEA!$H$2:$H$1781,FEA!$B$2:$B$1781,$A74,FEA!$D$2:$D$1781,"foodwaste_narrative",FEA!$F$2:$F$1781,"Engagement")</f>
        <v/>
      </c>
      <c r="E74" s="11">
        <f>SUMIFS(FEA!$H$2:$H$1781,FEA!$B$2:$B$1781,$A74,FEA!$D$2:$D$1781,"foodwaste_visual",FEA!$F$2:$F$1781,"Engagement")</f>
        <v/>
      </c>
      <c r="F74" s="11">
        <f>E74-D74</f>
        <v/>
      </c>
    </row>
    <row r="75">
      <c r="A75" t="inlineStr">
        <is>
          <t>RESP0149</t>
        </is>
      </c>
      <c r="B75">
        <f>INDEX(Session!$M$2:$M$261,MATCH($A75,Session!$A$2:$A$261,0))</f>
        <v/>
      </c>
      <c r="C75">
        <f>INDEX(Screening!$O$5:$O$182,MATCH($A75,Screening!$A$5:$A$182,0))</f>
        <v/>
      </c>
      <c r="D75" s="11">
        <f>SUMIFS(FEA!$H$2:$H$1781,FEA!$B$2:$B$1781,$A75,FEA!$D$2:$D$1781,"foodwaste_narrative",FEA!$F$2:$F$1781,"Engagement")</f>
        <v/>
      </c>
      <c r="E75" s="11">
        <f>SUMIFS(FEA!$H$2:$H$1781,FEA!$B$2:$B$1781,$A75,FEA!$D$2:$D$1781,"foodwaste_visual",FEA!$F$2:$F$1781,"Engagement")</f>
        <v/>
      </c>
      <c r="F75" s="11">
        <f>E75-D75</f>
        <v/>
      </c>
    </row>
    <row r="76">
      <c r="A76" t="inlineStr">
        <is>
          <t>RESP0150</t>
        </is>
      </c>
      <c r="B76">
        <f>INDEX(Session!$M$2:$M$261,MATCH($A76,Session!$A$2:$A$261,0))</f>
        <v/>
      </c>
      <c r="C76">
        <f>INDEX(Screening!$O$5:$O$182,MATCH($A76,Screening!$A$5:$A$182,0))</f>
        <v/>
      </c>
      <c r="D76" s="11">
        <f>SUMIFS(FEA!$H$2:$H$1781,FEA!$B$2:$B$1781,$A76,FEA!$D$2:$D$1781,"foodwaste_narrative",FEA!$F$2:$F$1781,"Engagement")</f>
        <v/>
      </c>
      <c r="E76" s="11">
        <f>SUMIFS(FEA!$H$2:$H$1781,FEA!$B$2:$B$1781,$A76,FEA!$D$2:$D$1781,"foodwaste_visual",FEA!$F$2:$F$1781,"Engagement")</f>
        <v/>
      </c>
      <c r="F76" s="11">
        <f>E76-D76</f>
        <v/>
      </c>
    </row>
    <row r="77">
      <c r="A77" t="inlineStr">
        <is>
          <t>RESP0151</t>
        </is>
      </c>
      <c r="B77">
        <f>INDEX(Session!$M$2:$M$261,MATCH($A77,Session!$A$2:$A$261,0))</f>
        <v/>
      </c>
      <c r="C77">
        <f>INDEX(Screening!$O$5:$O$182,MATCH($A77,Screening!$A$5:$A$182,0))</f>
        <v/>
      </c>
      <c r="D77" s="11">
        <f>SUMIFS(FEA!$H$2:$H$1781,FEA!$B$2:$B$1781,$A77,FEA!$D$2:$D$1781,"foodwaste_narrative",FEA!$F$2:$F$1781,"Engagement")</f>
        <v/>
      </c>
      <c r="E77" s="11">
        <f>SUMIFS(FEA!$H$2:$H$1781,FEA!$B$2:$B$1781,$A77,FEA!$D$2:$D$1781,"foodwaste_visual",FEA!$F$2:$F$1781,"Engagement")</f>
        <v/>
      </c>
      <c r="F77" s="11">
        <f>E77-D77</f>
        <v/>
      </c>
    </row>
    <row r="78">
      <c r="A78" t="inlineStr">
        <is>
          <t>RESP0154</t>
        </is>
      </c>
      <c r="B78">
        <f>INDEX(Session!$M$2:$M$261,MATCH($A78,Session!$A$2:$A$261,0))</f>
        <v/>
      </c>
      <c r="C78">
        <f>INDEX(Screening!$O$5:$O$182,MATCH($A78,Screening!$A$5:$A$182,0))</f>
        <v/>
      </c>
      <c r="D78" s="11">
        <f>SUMIFS(FEA!$H$2:$H$1781,FEA!$B$2:$B$1781,$A78,FEA!$D$2:$D$1781,"foodwaste_narrative",FEA!$F$2:$F$1781,"Engagement")</f>
        <v/>
      </c>
      <c r="E78" s="11">
        <f>SUMIFS(FEA!$H$2:$H$1781,FEA!$B$2:$B$1781,$A78,FEA!$D$2:$D$1781,"foodwaste_visual",FEA!$F$2:$F$1781,"Engagement")</f>
        <v/>
      </c>
      <c r="F78" s="11">
        <f>E78-D78</f>
        <v/>
      </c>
    </row>
    <row r="79">
      <c r="A79" t="inlineStr">
        <is>
          <t>RESP0155</t>
        </is>
      </c>
      <c r="B79">
        <f>INDEX(Session!$M$2:$M$261,MATCH($A79,Session!$A$2:$A$261,0))</f>
        <v/>
      </c>
      <c r="C79">
        <f>INDEX(Screening!$O$5:$O$182,MATCH($A79,Screening!$A$5:$A$182,0))</f>
        <v/>
      </c>
      <c r="D79" s="11">
        <f>SUMIFS(FEA!$H$2:$H$1781,FEA!$B$2:$B$1781,$A79,FEA!$D$2:$D$1781,"foodwaste_narrative",FEA!$F$2:$F$1781,"Engagement")</f>
        <v/>
      </c>
      <c r="E79" s="11">
        <f>SUMIFS(FEA!$H$2:$H$1781,FEA!$B$2:$B$1781,$A79,FEA!$D$2:$D$1781,"foodwaste_visual",FEA!$F$2:$F$1781,"Engagement")</f>
        <v/>
      </c>
      <c r="F79" s="11">
        <f>E79-D79</f>
        <v/>
      </c>
    </row>
    <row r="80">
      <c r="A80" t="inlineStr">
        <is>
          <t>RESP0163</t>
        </is>
      </c>
      <c r="B80">
        <f>INDEX(Session!$M$2:$M$261,MATCH($A80,Session!$A$2:$A$261,0))</f>
        <v/>
      </c>
      <c r="C80">
        <f>INDEX(Screening!$O$5:$O$182,MATCH($A80,Screening!$A$5:$A$182,0))</f>
        <v/>
      </c>
      <c r="D80" s="11">
        <f>SUMIFS(FEA!$H$2:$H$1781,FEA!$B$2:$B$1781,$A80,FEA!$D$2:$D$1781,"foodwaste_narrative",FEA!$F$2:$F$1781,"Engagement")</f>
        <v/>
      </c>
      <c r="E80" s="11">
        <f>SUMIFS(FEA!$H$2:$H$1781,FEA!$B$2:$B$1781,$A80,FEA!$D$2:$D$1781,"foodwaste_visual",FEA!$F$2:$F$1781,"Engagement")</f>
        <v/>
      </c>
      <c r="F80" s="11">
        <f>E80-D80</f>
        <v/>
      </c>
    </row>
    <row r="81">
      <c r="A81" t="inlineStr">
        <is>
          <t>RESP0164</t>
        </is>
      </c>
      <c r="B81">
        <f>INDEX(Session!$M$2:$M$261,MATCH($A81,Session!$A$2:$A$261,0))</f>
        <v/>
      </c>
      <c r="C81">
        <f>INDEX(Screening!$O$5:$O$182,MATCH($A81,Screening!$A$5:$A$182,0))</f>
        <v/>
      </c>
      <c r="D81" s="11">
        <f>SUMIFS(FEA!$H$2:$H$1781,FEA!$B$2:$B$1781,$A81,FEA!$D$2:$D$1781,"foodwaste_narrative",FEA!$F$2:$F$1781,"Engagement")</f>
        <v/>
      </c>
      <c r="E81" s="11">
        <f>SUMIFS(FEA!$H$2:$H$1781,FEA!$B$2:$B$1781,$A81,FEA!$D$2:$D$1781,"foodwaste_visual",FEA!$F$2:$F$1781,"Engagement")</f>
        <v/>
      </c>
      <c r="F81" s="11">
        <f>E81-D81</f>
        <v/>
      </c>
    </row>
    <row r="82">
      <c r="A82" t="inlineStr">
        <is>
          <t>RESP0165</t>
        </is>
      </c>
      <c r="B82">
        <f>INDEX(Session!$M$2:$M$261,MATCH($A82,Session!$A$2:$A$261,0))</f>
        <v/>
      </c>
      <c r="C82">
        <f>INDEX(Screening!$O$5:$O$182,MATCH($A82,Screening!$A$5:$A$182,0))</f>
        <v/>
      </c>
      <c r="D82" s="11">
        <f>SUMIFS(FEA!$H$2:$H$1781,FEA!$B$2:$B$1781,$A82,FEA!$D$2:$D$1781,"foodwaste_narrative",FEA!$F$2:$F$1781,"Engagement")</f>
        <v/>
      </c>
      <c r="E82" s="11">
        <f>SUMIFS(FEA!$H$2:$H$1781,FEA!$B$2:$B$1781,$A82,FEA!$D$2:$D$1781,"foodwaste_visual",FEA!$F$2:$F$1781,"Engagement")</f>
        <v/>
      </c>
      <c r="F82" s="11">
        <f>E82-D82</f>
        <v/>
      </c>
    </row>
    <row r="83">
      <c r="A83" t="inlineStr">
        <is>
          <t>RESP0166</t>
        </is>
      </c>
      <c r="B83">
        <f>INDEX(Session!$M$2:$M$261,MATCH($A83,Session!$A$2:$A$261,0))</f>
        <v/>
      </c>
      <c r="C83">
        <f>INDEX(Screening!$O$5:$O$182,MATCH($A83,Screening!$A$5:$A$182,0))</f>
        <v/>
      </c>
      <c r="D83" s="11">
        <f>SUMIFS(FEA!$H$2:$H$1781,FEA!$B$2:$B$1781,$A83,FEA!$D$2:$D$1781,"foodwaste_narrative",FEA!$F$2:$F$1781,"Engagement")</f>
        <v/>
      </c>
      <c r="E83" s="11">
        <f>SUMIFS(FEA!$H$2:$H$1781,FEA!$B$2:$B$1781,$A83,FEA!$D$2:$D$1781,"foodwaste_visual",FEA!$F$2:$F$1781,"Engagement")</f>
        <v/>
      </c>
      <c r="F83" s="11">
        <f>E83-D83</f>
        <v/>
      </c>
    </row>
    <row r="84">
      <c r="A84" t="inlineStr">
        <is>
          <t>RESP0167</t>
        </is>
      </c>
      <c r="B84">
        <f>INDEX(Session!$M$2:$M$261,MATCH($A84,Session!$A$2:$A$261,0))</f>
        <v/>
      </c>
      <c r="C84">
        <f>INDEX(Screening!$O$5:$O$182,MATCH($A84,Screening!$A$5:$A$182,0))</f>
        <v/>
      </c>
      <c r="D84" s="11">
        <f>SUMIFS(FEA!$H$2:$H$1781,FEA!$B$2:$B$1781,$A84,FEA!$D$2:$D$1781,"foodwaste_narrative",FEA!$F$2:$F$1781,"Engagement")</f>
        <v/>
      </c>
      <c r="E84" s="11">
        <f>SUMIFS(FEA!$H$2:$H$1781,FEA!$B$2:$B$1781,$A84,FEA!$D$2:$D$1781,"foodwaste_visual",FEA!$F$2:$F$1781,"Engagement")</f>
        <v/>
      </c>
      <c r="F84" s="11">
        <f>E84-D84</f>
        <v/>
      </c>
    </row>
    <row r="85">
      <c r="A85" t="inlineStr">
        <is>
          <t>RESP0168</t>
        </is>
      </c>
      <c r="B85">
        <f>INDEX(Session!$M$2:$M$261,MATCH($A85,Session!$A$2:$A$261,0))</f>
        <v/>
      </c>
      <c r="C85">
        <f>INDEX(Screening!$O$5:$O$182,MATCH($A85,Screening!$A$5:$A$182,0))</f>
        <v/>
      </c>
      <c r="D85" s="11">
        <f>SUMIFS(FEA!$H$2:$H$1781,FEA!$B$2:$B$1781,$A85,FEA!$D$2:$D$1781,"foodwaste_narrative",FEA!$F$2:$F$1781,"Engagement")</f>
        <v/>
      </c>
      <c r="E85" s="11">
        <f>SUMIFS(FEA!$H$2:$H$1781,FEA!$B$2:$B$1781,$A85,FEA!$D$2:$D$1781,"foodwaste_visual",FEA!$F$2:$F$1781,"Engagement")</f>
        <v/>
      </c>
      <c r="F85" s="11">
        <f>E85-D85</f>
        <v/>
      </c>
    </row>
    <row r="86">
      <c r="A86" t="inlineStr">
        <is>
          <t>RESP0169</t>
        </is>
      </c>
      <c r="B86">
        <f>INDEX(Session!$M$2:$M$261,MATCH($A86,Session!$A$2:$A$261,0))</f>
        <v/>
      </c>
      <c r="C86">
        <f>INDEX(Screening!$O$5:$O$182,MATCH($A86,Screening!$A$5:$A$182,0))</f>
        <v/>
      </c>
      <c r="D86" s="11">
        <f>SUMIFS(FEA!$H$2:$H$1781,FEA!$B$2:$B$1781,$A86,FEA!$D$2:$D$1781,"foodwaste_narrative",FEA!$F$2:$F$1781,"Engagement")</f>
        <v/>
      </c>
      <c r="E86" s="11">
        <f>SUMIFS(FEA!$H$2:$H$1781,FEA!$B$2:$B$1781,$A86,FEA!$D$2:$D$1781,"foodwaste_visual",FEA!$F$2:$F$1781,"Engagement")</f>
        <v/>
      </c>
      <c r="F86" s="11">
        <f>E86-D86</f>
        <v/>
      </c>
    </row>
    <row r="87">
      <c r="A87" t="inlineStr">
        <is>
          <t>RESP0170</t>
        </is>
      </c>
      <c r="B87">
        <f>INDEX(Session!$M$2:$M$261,MATCH($A87,Session!$A$2:$A$261,0))</f>
        <v/>
      </c>
      <c r="C87">
        <f>INDEX(Screening!$O$5:$O$182,MATCH($A87,Screening!$A$5:$A$182,0))</f>
        <v/>
      </c>
      <c r="D87" s="11">
        <f>SUMIFS(FEA!$H$2:$H$1781,FEA!$B$2:$B$1781,$A87,FEA!$D$2:$D$1781,"foodwaste_narrative",FEA!$F$2:$F$1781,"Engagement")</f>
        <v/>
      </c>
      <c r="E87" s="11">
        <f>SUMIFS(FEA!$H$2:$H$1781,FEA!$B$2:$B$1781,$A87,FEA!$D$2:$D$1781,"foodwaste_visual",FEA!$F$2:$F$1781,"Engagement")</f>
        <v/>
      </c>
      <c r="F87" s="11">
        <f>E87-D87</f>
        <v/>
      </c>
    </row>
    <row r="88">
      <c r="A88" t="inlineStr">
        <is>
          <t>RESP0176</t>
        </is>
      </c>
      <c r="B88">
        <f>INDEX(Session!$M$2:$M$261,MATCH($A88,Session!$A$2:$A$261,0))</f>
        <v/>
      </c>
      <c r="C88">
        <f>INDEX(Screening!$O$5:$O$182,MATCH($A88,Screening!$A$5:$A$182,0))</f>
        <v/>
      </c>
      <c r="D88" s="11">
        <f>SUMIFS(FEA!$H$2:$H$1781,FEA!$B$2:$B$1781,$A88,FEA!$D$2:$D$1781,"foodwaste_narrative",FEA!$F$2:$F$1781,"Engagement")</f>
        <v/>
      </c>
      <c r="E88" s="11">
        <f>SUMIFS(FEA!$H$2:$H$1781,FEA!$B$2:$B$1781,$A88,FEA!$D$2:$D$1781,"foodwaste_visual",FEA!$F$2:$F$1781,"Engagement")</f>
        <v/>
      </c>
      <c r="F88" s="11">
        <f>E88-D88</f>
        <v/>
      </c>
    </row>
    <row r="89">
      <c r="A89" t="inlineStr">
        <is>
          <t>RESP0177</t>
        </is>
      </c>
      <c r="B89">
        <f>INDEX(Session!$M$2:$M$261,MATCH($A89,Session!$A$2:$A$261,0))</f>
        <v/>
      </c>
      <c r="C89">
        <f>INDEX(Screening!$O$5:$O$182,MATCH($A89,Screening!$A$5:$A$182,0))</f>
        <v/>
      </c>
      <c r="D89" s="11">
        <f>SUMIFS(FEA!$H$2:$H$1781,FEA!$B$2:$B$1781,$A89,FEA!$D$2:$D$1781,"foodwaste_narrative",FEA!$F$2:$F$1781,"Engagement")</f>
        <v/>
      </c>
      <c r="E89" s="11">
        <f>SUMIFS(FEA!$H$2:$H$1781,FEA!$B$2:$B$1781,$A89,FEA!$D$2:$D$1781,"foodwaste_visual",FEA!$F$2:$F$1781,"Engagement")</f>
        <v/>
      </c>
      <c r="F89" s="11">
        <f>E89-D89</f>
        <v/>
      </c>
    </row>
    <row r="90">
      <c r="A90" t="inlineStr">
        <is>
          <t>RESP0178</t>
        </is>
      </c>
      <c r="B90">
        <f>INDEX(Session!$M$2:$M$261,MATCH($A90,Session!$A$2:$A$261,0))</f>
        <v/>
      </c>
      <c r="C90">
        <f>INDEX(Screening!$O$5:$O$182,MATCH($A90,Screening!$A$5:$A$182,0))</f>
        <v/>
      </c>
      <c r="D90" s="11">
        <f>SUMIFS(FEA!$H$2:$H$1781,FEA!$B$2:$B$1781,$A90,FEA!$D$2:$D$1781,"foodwaste_narrative",FEA!$F$2:$F$1781,"Engagement")</f>
        <v/>
      </c>
      <c r="E90" s="11">
        <f>SUMIFS(FEA!$H$2:$H$1781,FEA!$B$2:$B$1781,$A90,FEA!$D$2:$D$1781,"foodwaste_visual",FEA!$F$2:$F$1781,"Engagement")</f>
        <v/>
      </c>
      <c r="F90" s="11">
        <f>E90-D90</f>
        <v/>
      </c>
    </row>
    <row r="91">
      <c r="A91" t="inlineStr">
        <is>
          <t>RESP0179</t>
        </is>
      </c>
      <c r="B91">
        <f>INDEX(Session!$M$2:$M$261,MATCH($A91,Session!$A$2:$A$261,0))</f>
        <v/>
      </c>
      <c r="C91">
        <f>INDEX(Screening!$O$5:$O$182,MATCH($A91,Screening!$A$5:$A$182,0))</f>
        <v/>
      </c>
      <c r="D91" s="11">
        <f>SUMIFS(FEA!$H$2:$H$1781,FEA!$B$2:$B$1781,$A91,FEA!$D$2:$D$1781,"foodwaste_narrative",FEA!$F$2:$F$1781,"Engagement")</f>
        <v/>
      </c>
      <c r="E91" s="11">
        <f>SUMIFS(FEA!$H$2:$H$1781,FEA!$B$2:$B$1781,$A91,FEA!$D$2:$D$1781,"foodwaste_visual",FEA!$F$2:$F$1781,"Engagement")</f>
        <v/>
      </c>
      <c r="F91" s="11">
        <f>E91-D91</f>
        <v/>
      </c>
    </row>
    <row r="92">
      <c r="A92" t="inlineStr">
        <is>
          <t>RESP0180</t>
        </is>
      </c>
      <c r="B92">
        <f>INDEX(Session!$M$2:$M$261,MATCH($A92,Session!$A$2:$A$261,0))</f>
        <v/>
      </c>
      <c r="C92">
        <f>INDEX(Screening!$O$5:$O$182,MATCH($A92,Screening!$A$5:$A$182,0))</f>
        <v/>
      </c>
      <c r="D92" s="11">
        <f>SUMIFS(FEA!$H$2:$H$1781,FEA!$B$2:$B$1781,$A92,FEA!$D$2:$D$1781,"foodwaste_narrative",FEA!$F$2:$F$1781,"Engagement")</f>
        <v/>
      </c>
      <c r="E92" s="11">
        <f>SUMIFS(FEA!$H$2:$H$1781,FEA!$B$2:$B$1781,$A92,FEA!$D$2:$D$1781,"foodwaste_visual",FEA!$F$2:$F$1781,"Engagement")</f>
        <v/>
      </c>
      <c r="F92" s="11">
        <f>E92-D92</f>
        <v/>
      </c>
    </row>
    <row r="93">
      <c r="A93" t="inlineStr">
        <is>
          <t>RESP0181</t>
        </is>
      </c>
      <c r="B93">
        <f>INDEX(Session!$M$2:$M$261,MATCH($A93,Session!$A$2:$A$261,0))</f>
        <v/>
      </c>
      <c r="C93">
        <f>INDEX(Screening!$O$5:$O$182,MATCH($A93,Screening!$A$5:$A$182,0))</f>
        <v/>
      </c>
      <c r="D93" s="11">
        <f>SUMIFS(FEA!$H$2:$H$1781,FEA!$B$2:$B$1781,$A93,FEA!$D$2:$D$1781,"foodwaste_narrative",FEA!$F$2:$F$1781,"Engagement")</f>
        <v/>
      </c>
      <c r="E93" s="11">
        <f>SUMIFS(FEA!$H$2:$H$1781,FEA!$B$2:$B$1781,$A93,FEA!$D$2:$D$1781,"foodwaste_visual",FEA!$F$2:$F$1781,"Engagement")</f>
        <v/>
      </c>
      <c r="F93" s="11">
        <f>E93-D93</f>
        <v/>
      </c>
    </row>
    <row r="94">
      <c r="A94" t="inlineStr">
        <is>
          <t>RESP0184</t>
        </is>
      </c>
      <c r="B94">
        <f>INDEX(Session!$M$2:$M$261,MATCH($A94,Session!$A$2:$A$261,0))</f>
        <v/>
      </c>
      <c r="C94">
        <f>INDEX(Screening!$O$5:$O$182,MATCH($A94,Screening!$A$5:$A$182,0))</f>
        <v/>
      </c>
      <c r="D94" s="11">
        <f>SUMIFS(FEA!$H$2:$H$1781,FEA!$B$2:$B$1781,$A94,FEA!$D$2:$D$1781,"foodwaste_narrative",FEA!$F$2:$F$1781,"Engagement")</f>
        <v/>
      </c>
      <c r="E94" s="11">
        <f>SUMIFS(FEA!$H$2:$H$1781,FEA!$B$2:$B$1781,$A94,FEA!$D$2:$D$1781,"foodwaste_visual",FEA!$F$2:$F$1781,"Engagement")</f>
        <v/>
      </c>
      <c r="F94" s="11">
        <f>E94-D94</f>
        <v/>
      </c>
    </row>
    <row r="95">
      <c r="A95" t="inlineStr">
        <is>
          <t>RESP0186</t>
        </is>
      </c>
      <c r="B95">
        <f>INDEX(Session!$M$2:$M$261,MATCH($A95,Session!$A$2:$A$261,0))</f>
        <v/>
      </c>
      <c r="C95">
        <f>INDEX(Screening!$O$5:$O$182,MATCH($A95,Screening!$A$5:$A$182,0))</f>
        <v/>
      </c>
      <c r="D95" s="11">
        <f>SUMIFS(FEA!$H$2:$H$1781,FEA!$B$2:$B$1781,$A95,FEA!$D$2:$D$1781,"foodwaste_narrative",FEA!$F$2:$F$1781,"Engagement")</f>
        <v/>
      </c>
      <c r="E95" s="11">
        <f>SUMIFS(FEA!$H$2:$H$1781,FEA!$B$2:$B$1781,$A95,FEA!$D$2:$D$1781,"foodwaste_visual",FEA!$F$2:$F$1781,"Engagement")</f>
        <v/>
      </c>
      <c r="F95" s="11">
        <f>E95-D95</f>
        <v/>
      </c>
    </row>
    <row r="96">
      <c r="A96" t="inlineStr">
        <is>
          <t>RESP0189</t>
        </is>
      </c>
      <c r="B96">
        <f>INDEX(Session!$M$2:$M$261,MATCH($A96,Session!$A$2:$A$261,0))</f>
        <v/>
      </c>
      <c r="C96">
        <f>INDEX(Screening!$O$5:$O$182,MATCH($A96,Screening!$A$5:$A$182,0))</f>
        <v/>
      </c>
      <c r="D96" s="11">
        <f>SUMIFS(FEA!$H$2:$H$1781,FEA!$B$2:$B$1781,$A96,FEA!$D$2:$D$1781,"foodwaste_narrative",FEA!$F$2:$F$1781,"Engagement")</f>
        <v/>
      </c>
      <c r="E96" s="11">
        <f>SUMIFS(FEA!$H$2:$H$1781,FEA!$B$2:$B$1781,$A96,FEA!$D$2:$D$1781,"foodwaste_visual",FEA!$F$2:$F$1781,"Engagement")</f>
        <v/>
      </c>
      <c r="F96" s="11">
        <f>E96-D96</f>
        <v/>
      </c>
    </row>
    <row r="97">
      <c r="A97" t="inlineStr">
        <is>
          <t>RESP0193</t>
        </is>
      </c>
      <c r="B97">
        <f>INDEX(Session!$M$2:$M$261,MATCH($A97,Session!$A$2:$A$261,0))</f>
        <v/>
      </c>
      <c r="C97">
        <f>INDEX(Screening!$O$5:$O$182,MATCH($A97,Screening!$A$5:$A$182,0))</f>
        <v/>
      </c>
      <c r="D97" s="11">
        <f>SUMIFS(FEA!$H$2:$H$1781,FEA!$B$2:$B$1781,$A97,FEA!$D$2:$D$1781,"foodwaste_narrative",FEA!$F$2:$F$1781,"Engagement")</f>
        <v/>
      </c>
      <c r="E97" s="11">
        <f>SUMIFS(FEA!$H$2:$H$1781,FEA!$B$2:$B$1781,$A97,FEA!$D$2:$D$1781,"foodwaste_visual",FEA!$F$2:$F$1781,"Engagement")</f>
        <v/>
      </c>
      <c r="F97" s="11">
        <f>E97-D97</f>
        <v/>
      </c>
    </row>
    <row r="98">
      <c r="A98" t="inlineStr">
        <is>
          <t>RESP0195</t>
        </is>
      </c>
      <c r="B98">
        <f>INDEX(Session!$M$2:$M$261,MATCH($A98,Session!$A$2:$A$261,0))</f>
        <v/>
      </c>
      <c r="C98">
        <f>INDEX(Screening!$O$5:$O$182,MATCH($A98,Screening!$A$5:$A$182,0))</f>
        <v/>
      </c>
      <c r="D98" s="11">
        <f>SUMIFS(FEA!$H$2:$H$1781,FEA!$B$2:$B$1781,$A98,FEA!$D$2:$D$1781,"foodwaste_narrative",FEA!$F$2:$F$1781,"Engagement")</f>
        <v/>
      </c>
      <c r="E98" s="11">
        <f>SUMIFS(FEA!$H$2:$H$1781,FEA!$B$2:$B$1781,$A98,FEA!$D$2:$D$1781,"foodwaste_visual",FEA!$F$2:$F$1781,"Engagement")</f>
        <v/>
      </c>
      <c r="F98" s="11">
        <f>E98-D98</f>
        <v/>
      </c>
    </row>
    <row r="99">
      <c r="A99" t="inlineStr">
        <is>
          <t>RESP0196</t>
        </is>
      </c>
      <c r="B99">
        <f>INDEX(Session!$M$2:$M$261,MATCH($A99,Session!$A$2:$A$261,0))</f>
        <v/>
      </c>
      <c r="C99">
        <f>INDEX(Screening!$O$5:$O$182,MATCH($A99,Screening!$A$5:$A$182,0))</f>
        <v/>
      </c>
      <c r="D99" s="11">
        <f>SUMIFS(FEA!$H$2:$H$1781,FEA!$B$2:$B$1781,$A99,FEA!$D$2:$D$1781,"foodwaste_narrative",FEA!$F$2:$F$1781,"Engagement")</f>
        <v/>
      </c>
      <c r="E99" s="11">
        <f>SUMIFS(FEA!$H$2:$H$1781,FEA!$B$2:$B$1781,$A99,FEA!$D$2:$D$1781,"foodwaste_visual",FEA!$F$2:$F$1781,"Engagement")</f>
        <v/>
      </c>
      <c r="F99" s="11">
        <f>E99-D99</f>
        <v/>
      </c>
    </row>
    <row r="100">
      <c r="A100" t="inlineStr">
        <is>
          <t>RESP0197</t>
        </is>
      </c>
      <c r="B100">
        <f>INDEX(Session!$M$2:$M$261,MATCH($A100,Session!$A$2:$A$261,0))</f>
        <v/>
      </c>
      <c r="C100">
        <f>INDEX(Screening!$O$5:$O$182,MATCH($A100,Screening!$A$5:$A$182,0))</f>
        <v/>
      </c>
      <c r="D100" s="11">
        <f>SUMIFS(FEA!$H$2:$H$1781,FEA!$B$2:$B$1781,$A100,FEA!$D$2:$D$1781,"foodwaste_narrative",FEA!$F$2:$F$1781,"Engagement")</f>
        <v/>
      </c>
      <c r="E100" s="11">
        <f>SUMIFS(FEA!$H$2:$H$1781,FEA!$B$2:$B$1781,$A100,FEA!$D$2:$D$1781,"foodwaste_visual",FEA!$F$2:$F$1781,"Engagement")</f>
        <v/>
      </c>
      <c r="F100" s="11">
        <f>E100-D100</f>
        <v/>
      </c>
    </row>
    <row r="101">
      <c r="A101" t="inlineStr">
        <is>
          <t>RESP0198</t>
        </is>
      </c>
      <c r="B101">
        <f>INDEX(Session!$M$2:$M$261,MATCH($A101,Session!$A$2:$A$261,0))</f>
        <v/>
      </c>
      <c r="C101">
        <f>INDEX(Screening!$O$5:$O$182,MATCH($A101,Screening!$A$5:$A$182,0))</f>
        <v/>
      </c>
      <c r="D101" s="11">
        <f>SUMIFS(FEA!$H$2:$H$1781,FEA!$B$2:$B$1781,$A101,FEA!$D$2:$D$1781,"foodwaste_narrative",FEA!$F$2:$F$1781,"Engagement")</f>
        <v/>
      </c>
      <c r="E101" s="11">
        <f>SUMIFS(FEA!$H$2:$H$1781,FEA!$B$2:$B$1781,$A101,FEA!$D$2:$D$1781,"foodwaste_visual",FEA!$F$2:$F$1781,"Engagement")</f>
        <v/>
      </c>
      <c r="F101" s="11">
        <f>E101-D101</f>
        <v/>
      </c>
    </row>
    <row r="102">
      <c r="A102" t="inlineStr">
        <is>
          <t>RESP0199</t>
        </is>
      </c>
      <c r="B102">
        <f>INDEX(Session!$M$2:$M$261,MATCH($A102,Session!$A$2:$A$261,0))</f>
        <v/>
      </c>
      <c r="C102">
        <f>INDEX(Screening!$O$5:$O$182,MATCH($A102,Screening!$A$5:$A$182,0))</f>
        <v/>
      </c>
      <c r="D102" s="11">
        <f>SUMIFS(FEA!$H$2:$H$1781,FEA!$B$2:$B$1781,$A102,FEA!$D$2:$D$1781,"foodwaste_narrative",FEA!$F$2:$F$1781,"Engagement")</f>
        <v/>
      </c>
      <c r="E102" s="11">
        <f>SUMIFS(FEA!$H$2:$H$1781,FEA!$B$2:$B$1781,$A102,FEA!$D$2:$D$1781,"foodwaste_visual",FEA!$F$2:$F$1781,"Engagement")</f>
        <v/>
      </c>
      <c r="F102" s="11">
        <f>E102-D102</f>
        <v/>
      </c>
    </row>
    <row r="103">
      <c r="A103" t="inlineStr">
        <is>
          <t>RESP0201</t>
        </is>
      </c>
      <c r="B103">
        <f>INDEX(Session!$M$2:$M$261,MATCH($A103,Session!$A$2:$A$261,0))</f>
        <v/>
      </c>
      <c r="C103">
        <f>INDEX(Screening!$O$5:$O$182,MATCH($A103,Screening!$A$5:$A$182,0))</f>
        <v/>
      </c>
      <c r="D103" s="11">
        <f>SUMIFS(FEA!$H$2:$H$1781,FEA!$B$2:$B$1781,$A103,FEA!$D$2:$D$1781,"foodwaste_narrative",FEA!$F$2:$F$1781,"Engagement")</f>
        <v/>
      </c>
      <c r="E103" s="11">
        <f>SUMIFS(FEA!$H$2:$H$1781,FEA!$B$2:$B$1781,$A103,FEA!$D$2:$D$1781,"foodwaste_visual",FEA!$F$2:$F$1781,"Engagement")</f>
        <v/>
      </c>
      <c r="F103" s="11">
        <f>E103-D103</f>
        <v/>
      </c>
    </row>
    <row r="104">
      <c r="A104" t="inlineStr">
        <is>
          <t>RESP0203</t>
        </is>
      </c>
      <c r="B104">
        <f>INDEX(Session!$M$2:$M$261,MATCH($A104,Session!$A$2:$A$261,0))</f>
        <v/>
      </c>
      <c r="C104">
        <f>INDEX(Screening!$O$5:$O$182,MATCH($A104,Screening!$A$5:$A$182,0))</f>
        <v/>
      </c>
      <c r="D104" s="11">
        <f>SUMIFS(FEA!$H$2:$H$1781,FEA!$B$2:$B$1781,$A104,FEA!$D$2:$D$1781,"foodwaste_narrative",FEA!$F$2:$F$1781,"Engagement")</f>
        <v/>
      </c>
      <c r="E104" s="11">
        <f>SUMIFS(FEA!$H$2:$H$1781,FEA!$B$2:$B$1781,$A104,FEA!$D$2:$D$1781,"foodwaste_visual",FEA!$F$2:$F$1781,"Engagement")</f>
        <v/>
      </c>
      <c r="F104" s="11">
        <f>E104-D104</f>
        <v/>
      </c>
    </row>
    <row r="105">
      <c r="A105" t="inlineStr">
        <is>
          <t>RESP0204</t>
        </is>
      </c>
      <c r="B105">
        <f>INDEX(Session!$M$2:$M$261,MATCH($A105,Session!$A$2:$A$261,0))</f>
        <v/>
      </c>
      <c r="C105">
        <f>INDEX(Screening!$O$5:$O$182,MATCH($A105,Screening!$A$5:$A$182,0))</f>
        <v/>
      </c>
      <c r="D105" s="11">
        <f>SUMIFS(FEA!$H$2:$H$1781,FEA!$B$2:$B$1781,$A105,FEA!$D$2:$D$1781,"foodwaste_narrative",FEA!$F$2:$F$1781,"Engagement")</f>
        <v/>
      </c>
      <c r="E105" s="11">
        <f>SUMIFS(FEA!$H$2:$H$1781,FEA!$B$2:$B$1781,$A105,FEA!$D$2:$D$1781,"foodwaste_visual",FEA!$F$2:$F$1781,"Engagement")</f>
        <v/>
      </c>
      <c r="F105" s="11">
        <f>E105-D105</f>
        <v/>
      </c>
    </row>
    <row r="106">
      <c r="A106" t="inlineStr">
        <is>
          <t>RESP0206</t>
        </is>
      </c>
      <c r="B106">
        <f>INDEX(Session!$M$2:$M$261,MATCH($A106,Session!$A$2:$A$261,0))</f>
        <v/>
      </c>
      <c r="C106">
        <f>INDEX(Screening!$O$5:$O$182,MATCH($A106,Screening!$A$5:$A$182,0))</f>
        <v/>
      </c>
      <c r="D106" s="11">
        <f>SUMIFS(FEA!$H$2:$H$1781,FEA!$B$2:$B$1781,$A106,FEA!$D$2:$D$1781,"foodwaste_narrative",FEA!$F$2:$F$1781,"Engagement")</f>
        <v/>
      </c>
      <c r="E106" s="11">
        <f>SUMIFS(FEA!$H$2:$H$1781,FEA!$B$2:$B$1781,$A106,FEA!$D$2:$D$1781,"foodwaste_visual",FEA!$F$2:$F$1781,"Engagement")</f>
        <v/>
      </c>
      <c r="F106" s="11">
        <f>E106-D106</f>
        <v/>
      </c>
    </row>
    <row r="107">
      <c r="A107" t="inlineStr">
        <is>
          <t>RESP0208</t>
        </is>
      </c>
      <c r="B107">
        <f>INDEX(Session!$M$2:$M$261,MATCH($A107,Session!$A$2:$A$261,0))</f>
        <v/>
      </c>
      <c r="C107">
        <f>INDEX(Screening!$O$5:$O$182,MATCH($A107,Screening!$A$5:$A$182,0))</f>
        <v/>
      </c>
      <c r="D107" s="11">
        <f>SUMIFS(FEA!$H$2:$H$1781,FEA!$B$2:$B$1781,$A107,FEA!$D$2:$D$1781,"foodwaste_narrative",FEA!$F$2:$F$1781,"Engagement")</f>
        <v/>
      </c>
      <c r="E107" s="11">
        <f>SUMIFS(FEA!$H$2:$H$1781,FEA!$B$2:$B$1781,$A107,FEA!$D$2:$D$1781,"foodwaste_visual",FEA!$F$2:$F$1781,"Engagement")</f>
        <v/>
      </c>
      <c r="F107" s="11">
        <f>E107-D107</f>
        <v/>
      </c>
    </row>
    <row r="108">
      <c r="A108" t="inlineStr">
        <is>
          <t>RESP0211</t>
        </is>
      </c>
      <c r="B108">
        <f>INDEX(Session!$M$2:$M$261,MATCH($A108,Session!$A$2:$A$261,0))</f>
        <v/>
      </c>
      <c r="C108">
        <f>INDEX(Screening!$O$5:$O$182,MATCH($A108,Screening!$A$5:$A$182,0))</f>
        <v/>
      </c>
      <c r="D108" s="11">
        <f>SUMIFS(FEA!$H$2:$H$1781,FEA!$B$2:$B$1781,$A108,FEA!$D$2:$D$1781,"foodwaste_narrative",FEA!$F$2:$F$1781,"Engagement")</f>
        <v/>
      </c>
      <c r="E108" s="11">
        <f>SUMIFS(FEA!$H$2:$H$1781,FEA!$B$2:$B$1781,$A108,FEA!$D$2:$D$1781,"foodwaste_visual",FEA!$F$2:$F$1781,"Engagement")</f>
        <v/>
      </c>
      <c r="F108" s="11">
        <f>E108-D108</f>
        <v/>
      </c>
    </row>
    <row r="109">
      <c r="A109" t="inlineStr">
        <is>
          <t>RESP0212</t>
        </is>
      </c>
      <c r="B109">
        <f>INDEX(Session!$M$2:$M$261,MATCH($A109,Session!$A$2:$A$261,0))</f>
        <v/>
      </c>
      <c r="C109">
        <f>INDEX(Screening!$O$5:$O$182,MATCH($A109,Screening!$A$5:$A$182,0))</f>
        <v/>
      </c>
      <c r="D109" s="11">
        <f>SUMIFS(FEA!$H$2:$H$1781,FEA!$B$2:$B$1781,$A109,FEA!$D$2:$D$1781,"foodwaste_narrative",FEA!$F$2:$F$1781,"Engagement")</f>
        <v/>
      </c>
      <c r="E109" s="11">
        <f>SUMIFS(FEA!$H$2:$H$1781,FEA!$B$2:$B$1781,$A109,FEA!$D$2:$D$1781,"foodwaste_visual",FEA!$F$2:$F$1781,"Engagement")</f>
        <v/>
      </c>
      <c r="F109" s="11">
        <f>E109-D109</f>
        <v/>
      </c>
    </row>
    <row r="110">
      <c r="A110" t="inlineStr">
        <is>
          <t>RESP0214</t>
        </is>
      </c>
      <c r="B110">
        <f>INDEX(Session!$M$2:$M$261,MATCH($A110,Session!$A$2:$A$261,0))</f>
        <v/>
      </c>
      <c r="C110">
        <f>INDEX(Screening!$O$5:$O$182,MATCH($A110,Screening!$A$5:$A$182,0))</f>
        <v/>
      </c>
      <c r="D110" s="11">
        <f>SUMIFS(FEA!$H$2:$H$1781,FEA!$B$2:$B$1781,$A110,FEA!$D$2:$D$1781,"foodwaste_narrative",FEA!$F$2:$F$1781,"Engagement")</f>
        <v/>
      </c>
      <c r="E110" s="11">
        <f>SUMIFS(FEA!$H$2:$H$1781,FEA!$B$2:$B$1781,$A110,FEA!$D$2:$D$1781,"foodwaste_visual",FEA!$F$2:$F$1781,"Engagement")</f>
        <v/>
      </c>
      <c r="F110" s="11">
        <f>E110-D110</f>
        <v/>
      </c>
    </row>
    <row r="111">
      <c r="A111" t="inlineStr">
        <is>
          <t>RESP0223</t>
        </is>
      </c>
      <c r="B111">
        <f>INDEX(Session!$M$2:$M$261,MATCH($A111,Session!$A$2:$A$261,0))</f>
        <v/>
      </c>
      <c r="C111">
        <f>INDEX(Screening!$O$5:$O$182,MATCH($A111,Screening!$A$5:$A$182,0))</f>
        <v/>
      </c>
      <c r="D111" s="11">
        <f>SUMIFS(FEA!$H$2:$H$1781,FEA!$B$2:$B$1781,$A111,FEA!$D$2:$D$1781,"foodwaste_narrative",FEA!$F$2:$F$1781,"Engagement")</f>
        <v/>
      </c>
      <c r="E111" s="11">
        <f>SUMIFS(FEA!$H$2:$H$1781,FEA!$B$2:$B$1781,$A111,FEA!$D$2:$D$1781,"foodwaste_visual",FEA!$F$2:$F$1781,"Engagement")</f>
        <v/>
      </c>
      <c r="F111" s="11">
        <f>E111-D111</f>
        <v/>
      </c>
    </row>
    <row r="112">
      <c r="A112" t="inlineStr">
        <is>
          <t>RESP0224</t>
        </is>
      </c>
      <c r="B112">
        <f>INDEX(Session!$M$2:$M$261,MATCH($A112,Session!$A$2:$A$261,0))</f>
        <v/>
      </c>
      <c r="C112">
        <f>INDEX(Screening!$O$5:$O$182,MATCH($A112,Screening!$A$5:$A$182,0))</f>
        <v/>
      </c>
      <c r="D112" s="11">
        <f>SUMIFS(FEA!$H$2:$H$1781,FEA!$B$2:$B$1781,$A112,FEA!$D$2:$D$1781,"foodwaste_narrative",FEA!$F$2:$F$1781,"Engagement")</f>
        <v/>
      </c>
      <c r="E112" s="11">
        <f>SUMIFS(FEA!$H$2:$H$1781,FEA!$B$2:$B$1781,$A112,FEA!$D$2:$D$1781,"foodwaste_visual",FEA!$F$2:$F$1781,"Engagement")</f>
        <v/>
      </c>
      <c r="F112" s="11">
        <f>E112-D112</f>
        <v/>
      </c>
    </row>
    <row r="113">
      <c r="A113" t="inlineStr">
        <is>
          <t>RESP0226</t>
        </is>
      </c>
      <c r="B113">
        <f>INDEX(Session!$M$2:$M$261,MATCH($A113,Session!$A$2:$A$261,0))</f>
        <v/>
      </c>
      <c r="C113">
        <f>INDEX(Screening!$O$5:$O$182,MATCH($A113,Screening!$A$5:$A$182,0))</f>
        <v/>
      </c>
      <c r="D113" s="11">
        <f>SUMIFS(FEA!$H$2:$H$1781,FEA!$B$2:$B$1781,$A113,FEA!$D$2:$D$1781,"foodwaste_narrative",FEA!$F$2:$F$1781,"Engagement")</f>
        <v/>
      </c>
      <c r="E113" s="11">
        <f>SUMIFS(FEA!$H$2:$H$1781,FEA!$B$2:$B$1781,$A113,FEA!$D$2:$D$1781,"foodwaste_visual",FEA!$F$2:$F$1781,"Engagement")</f>
        <v/>
      </c>
      <c r="F113" s="11">
        <f>E113-D113</f>
        <v/>
      </c>
    </row>
    <row r="114">
      <c r="A114" t="inlineStr">
        <is>
          <t>RESP0227</t>
        </is>
      </c>
      <c r="B114">
        <f>INDEX(Session!$M$2:$M$261,MATCH($A114,Session!$A$2:$A$261,0))</f>
        <v/>
      </c>
      <c r="C114">
        <f>INDEX(Screening!$O$5:$O$182,MATCH($A114,Screening!$A$5:$A$182,0))</f>
        <v/>
      </c>
      <c r="D114" s="11">
        <f>SUMIFS(FEA!$H$2:$H$1781,FEA!$B$2:$B$1781,$A114,FEA!$D$2:$D$1781,"foodwaste_narrative",FEA!$F$2:$F$1781,"Engagement")</f>
        <v/>
      </c>
      <c r="E114" s="11">
        <f>SUMIFS(FEA!$H$2:$H$1781,FEA!$B$2:$B$1781,$A114,FEA!$D$2:$D$1781,"foodwaste_visual",FEA!$F$2:$F$1781,"Engagement")</f>
        <v/>
      </c>
      <c r="F114" s="11">
        <f>E114-D114</f>
        <v/>
      </c>
    </row>
    <row r="115">
      <c r="A115" t="inlineStr">
        <is>
          <t>RESP0228</t>
        </is>
      </c>
      <c r="B115">
        <f>INDEX(Session!$M$2:$M$261,MATCH($A115,Session!$A$2:$A$261,0))</f>
        <v/>
      </c>
      <c r="C115">
        <f>INDEX(Screening!$O$5:$O$182,MATCH($A115,Screening!$A$5:$A$182,0))</f>
        <v/>
      </c>
      <c r="D115" s="11">
        <f>SUMIFS(FEA!$H$2:$H$1781,FEA!$B$2:$B$1781,$A115,FEA!$D$2:$D$1781,"foodwaste_narrative",FEA!$F$2:$F$1781,"Engagement")</f>
        <v/>
      </c>
      <c r="E115" s="11">
        <f>SUMIFS(FEA!$H$2:$H$1781,FEA!$B$2:$B$1781,$A115,FEA!$D$2:$D$1781,"foodwaste_visual",FEA!$F$2:$F$1781,"Engagement")</f>
        <v/>
      </c>
      <c r="F115" s="11">
        <f>E115-D115</f>
        <v/>
      </c>
    </row>
    <row r="116">
      <c r="A116" t="inlineStr">
        <is>
          <t>RESP0229</t>
        </is>
      </c>
      <c r="B116">
        <f>INDEX(Session!$M$2:$M$261,MATCH($A116,Session!$A$2:$A$261,0))</f>
        <v/>
      </c>
      <c r="C116">
        <f>INDEX(Screening!$O$5:$O$182,MATCH($A116,Screening!$A$5:$A$182,0))</f>
        <v/>
      </c>
      <c r="D116" s="11">
        <f>SUMIFS(FEA!$H$2:$H$1781,FEA!$B$2:$B$1781,$A116,FEA!$D$2:$D$1781,"foodwaste_narrative",FEA!$F$2:$F$1781,"Engagement")</f>
        <v/>
      </c>
      <c r="E116" s="11">
        <f>SUMIFS(FEA!$H$2:$H$1781,FEA!$B$2:$B$1781,$A116,FEA!$D$2:$D$1781,"foodwaste_visual",FEA!$F$2:$F$1781,"Engagement")</f>
        <v/>
      </c>
      <c r="F116" s="11">
        <f>E116-D116</f>
        <v/>
      </c>
    </row>
    <row r="117">
      <c r="A117" t="inlineStr">
        <is>
          <t>RESP0234</t>
        </is>
      </c>
      <c r="B117">
        <f>INDEX(Session!$M$2:$M$261,MATCH($A117,Session!$A$2:$A$261,0))</f>
        <v/>
      </c>
      <c r="C117">
        <f>INDEX(Screening!$O$5:$O$182,MATCH($A117,Screening!$A$5:$A$182,0))</f>
        <v/>
      </c>
      <c r="D117" s="11">
        <f>SUMIFS(FEA!$H$2:$H$1781,FEA!$B$2:$B$1781,$A117,FEA!$D$2:$D$1781,"foodwaste_narrative",FEA!$F$2:$F$1781,"Engagement")</f>
        <v/>
      </c>
      <c r="E117" s="11">
        <f>SUMIFS(FEA!$H$2:$H$1781,FEA!$B$2:$B$1781,$A117,FEA!$D$2:$D$1781,"foodwaste_visual",FEA!$F$2:$F$1781,"Engagement")</f>
        <v/>
      </c>
      <c r="F117" s="11">
        <f>E117-D117</f>
        <v/>
      </c>
    </row>
    <row r="118">
      <c r="A118" t="inlineStr">
        <is>
          <t>RESP0237</t>
        </is>
      </c>
      <c r="B118">
        <f>INDEX(Session!$M$2:$M$261,MATCH($A118,Session!$A$2:$A$261,0))</f>
        <v/>
      </c>
      <c r="C118">
        <f>INDEX(Screening!$O$5:$O$182,MATCH($A118,Screening!$A$5:$A$182,0))</f>
        <v/>
      </c>
      <c r="D118" s="11">
        <f>SUMIFS(FEA!$H$2:$H$1781,FEA!$B$2:$B$1781,$A118,FEA!$D$2:$D$1781,"foodwaste_narrative",FEA!$F$2:$F$1781,"Engagement")</f>
        <v/>
      </c>
      <c r="E118" s="11">
        <f>SUMIFS(FEA!$H$2:$H$1781,FEA!$B$2:$B$1781,$A118,FEA!$D$2:$D$1781,"foodwaste_visual",FEA!$F$2:$F$1781,"Engagement")</f>
        <v/>
      </c>
      <c r="F118" s="11">
        <f>E118-D118</f>
        <v/>
      </c>
    </row>
    <row r="119">
      <c r="A119" t="inlineStr">
        <is>
          <t>RESP0240</t>
        </is>
      </c>
      <c r="B119">
        <f>INDEX(Session!$M$2:$M$261,MATCH($A119,Session!$A$2:$A$261,0))</f>
        <v/>
      </c>
      <c r="C119">
        <f>INDEX(Screening!$O$5:$O$182,MATCH($A119,Screening!$A$5:$A$182,0))</f>
        <v/>
      </c>
      <c r="D119" s="11">
        <f>SUMIFS(FEA!$H$2:$H$1781,FEA!$B$2:$B$1781,$A119,FEA!$D$2:$D$1781,"foodwaste_narrative",FEA!$F$2:$F$1781,"Engagement")</f>
        <v/>
      </c>
      <c r="E119" s="11">
        <f>SUMIFS(FEA!$H$2:$H$1781,FEA!$B$2:$B$1781,$A119,FEA!$D$2:$D$1781,"foodwaste_visual",FEA!$F$2:$F$1781,"Engagement")</f>
        <v/>
      </c>
      <c r="F119" s="11">
        <f>E119-D119</f>
        <v/>
      </c>
    </row>
    <row r="120">
      <c r="A120" t="inlineStr">
        <is>
          <t>RESP0243</t>
        </is>
      </c>
      <c r="B120">
        <f>INDEX(Session!$M$2:$M$261,MATCH($A120,Session!$A$2:$A$261,0))</f>
        <v/>
      </c>
      <c r="C120">
        <f>INDEX(Screening!$O$5:$O$182,MATCH($A120,Screening!$A$5:$A$182,0))</f>
        <v/>
      </c>
      <c r="D120" s="11">
        <f>SUMIFS(FEA!$H$2:$H$1781,FEA!$B$2:$B$1781,$A120,FEA!$D$2:$D$1781,"foodwaste_narrative",FEA!$F$2:$F$1781,"Engagement")</f>
        <v/>
      </c>
      <c r="E120" s="11">
        <f>SUMIFS(FEA!$H$2:$H$1781,FEA!$B$2:$B$1781,$A120,FEA!$D$2:$D$1781,"foodwaste_visual",FEA!$F$2:$F$1781,"Engagement")</f>
        <v/>
      </c>
      <c r="F120" s="11">
        <f>E120-D120</f>
        <v/>
      </c>
    </row>
    <row r="121">
      <c r="A121" t="inlineStr">
        <is>
          <t>RESP0245</t>
        </is>
      </c>
      <c r="B121">
        <f>INDEX(Session!$M$2:$M$261,MATCH($A121,Session!$A$2:$A$261,0))</f>
        <v/>
      </c>
      <c r="C121">
        <f>INDEX(Screening!$O$5:$O$182,MATCH($A121,Screening!$A$5:$A$182,0))</f>
        <v/>
      </c>
      <c r="D121" s="11">
        <f>SUMIFS(FEA!$H$2:$H$1781,FEA!$B$2:$B$1781,$A121,FEA!$D$2:$D$1781,"foodwaste_narrative",FEA!$F$2:$F$1781,"Engagement")</f>
        <v/>
      </c>
      <c r="E121" s="11">
        <f>SUMIFS(FEA!$H$2:$H$1781,FEA!$B$2:$B$1781,$A121,FEA!$D$2:$D$1781,"foodwaste_visual",FEA!$F$2:$F$1781,"Engagement")</f>
        <v/>
      </c>
      <c r="F121" s="11">
        <f>E121-D121</f>
        <v/>
      </c>
    </row>
    <row r="122">
      <c r="A122" t="inlineStr">
        <is>
          <t>RESP0248</t>
        </is>
      </c>
      <c r="B122">
        <f>INDEX(Session!$M$2:$M$261,MATCH($A122,Session!$A$2:$A$261,0))</f>
        <v/>
      </c>
      <c r="C122">
        <f>INDEX(Screening!$O$5:$O$182,MATCH($A122,Screening!$A$5:$A$182,0))</f>
        <v/>
      </c>
      <c r="D122" s="11">
        <f>SUMIFS(FEA!$H$2:$H$1781,FEA!$B$2:$B$1781,$A122,FEA!$D$2:$D$1781,"foodwaste_narrative",FEA!$F$2:$F$1781,"Engagement")</f>
        <v/>
      </c>
      <c r="E122" s="11">
        <f>SUMIFS(FEA!$H$2:$H$1781,FEA!$B$2:$B$1781,$A122,FEA!$D$2:$D$1781,"foodwaste_visual",FEA!$F$2:$F$1781,"Engagement")</f>
        <v/>
      </c>
      <c r="F122" s="11">
        <f>E122-D122</f>
        <v/>
      </c>
    </row>
    <row r="123">
      <c r="A123" t="inlineStr">
        <is>
          <t>RESP0249</t>
        </is>
      </c>
      <c r="B123">
        <f>INDEX(Session!$M$2:$M$261,MATCH($A123,Session!$A$2:$A$261,0))</f>
        <v/>
      </c>
      <c r="C123">
        <f>INDEX(Screening!$O$5:$O$182,MATCH($A123,Screening!$A$5:$A$182,0))</f>
        <v/>
      </c>
      <c r="D123" s="11">
        <f>SUMIFS(FEA!$H$2:$H$1781,FEA!$B$2:$B$1781,$A123,FEA!$D$2:$D$1781,"foodwaste_narrative",FEA!$F$2:$F$1781,"Engagement")</f>
        <v/>
      </c>
      <c r="E123" s="11">
        <f>SUMIFS(FEA!$H$2:$H$1781,FEA!$B$2:$B$1781,$A123,FEA!$D$2:$D$1781,"foodwaste_visual",FEA!$F$2:$F$1781,"Engagement")</f>
        <v/>
      </c>
      <c r="F123" s="11">
        <f>E123-D123</f>
        <v/>
      </c>
    </row>
    <row r="124">
      <c r="A124" t="inlineStr">
        <is>
          <t>RESP0251</t>
        </is>
      </c>
      <c r="B124">
        <f>INDEX(Session!$M$2:$M$261,MATCH($A124,Session!$A$2:$A$261,0))</f>
        <v/>
      </c>
      <c r="C124">
        <f>INDEX(Screening!$O$5:$O$182,MATCH($A124,Screening!$A$5:$A$182,0))</f>
        <v/>
      </c>
      <c r="D124" s="11">
        <f>SUMIFS(FEA!$H$2:$H$1781,FEA!$B$2:$B$1781,$A124,FEA!$D$2:$D$1781,"foodwaste_narrative",FEA!$F$2:$F$1781,"Engagement")</f>
        <v/>
      </c>
      <c r="E124" s="11">
        <f>SUMIFS(FEA!$H$2:$H$1781,FEA!$B$2:$B$1781,$A124,FEA!$D$2:$D$1781,"foodwaste_visual",FEA!$F$2:$F$1781,"Engagement")</f>
        <v/>
      </c>
      <c r="F124" s="11">
        <f>E124-D124</f>
        <v/>
      </c>
    </row>
    <row r="125">
      <c r="A125" t="inlineStr">
        <is>
          <t>RESP0252</t>
        </is>
      </c>
      <c r="B125">
        <f>INDEX(Session!$M$2:$M$261,MATCH($A125,Session!$A$2:$A$261,0))</f>
        <v/>
      </c>
      <c r="C125">
        <f>INDEX(Screening!$O$5:$O$182,MATCH($A125,Screening!$A$5:$A$182,0))</f>
        <v/>
      </c>
      <c r="D125" s="11">
        <f>SUMIFS(FEA!$H$2:$H$1781,FEA!$B$2:$B$1781,$A125,FEA!$D$2:$D$1781,"foodwaste_narrative",FEA!$F$2:$F$1781,"Engagement")</f>
        <v/>
      </c>
      <c r="E125" s="11">
        <f>SUMIFS(FEA!$H$2:$H$1781,FEA!$B$2:$B$1781,$A125,FEA!$D$2:$D$1781,"foodwaste_visual",FEA!$F$2:$F$1781,"Engagement")</f>
        <v/>
      </c>
      <c r="F125" s="11">
        <f>E125-D125</f>
        <v/>
      </c>
    </row>
    <row r="126">
      <c r="A126" t="inlineStr">
        <is>
          <t>RESP0253</t>
        </is>
      </c>
      <c r="B126">
        <f>INDEX(Session!$M$2:$M$261,MATCH($A126,Session!$A$2:$A$261,0))</f>
        <v/>
      </c>
      <c r="C126">
        <f>INDEX(Screening!$O$5:$O$182,MATCH($A126,Screening!$A$5:$A$182,0))</f>
        <v/>
      </c>
      <c r="D126" s="11">
        <f>SUMIFS(FEA!$H$2:$H$1781,FEA!$B$2:$B$1781,$A126,FEA!$D$2:$D$1781,"foodwaste_narrative",FEA!$F$2:$F$1781,"Engagement")</f>
        <v/>
      </c>
      <c r="E126" s="11">
        <f>SUMIFS(FEA!$H$2:$H$1781,FEA!$B$2:$B$1781,$A126,FEA!$D$2:$D$1781,"foodwaste_visual",FEA!$F$2:$F$1781,"Engagement")</f>
        <v/>
      </c>
      <c r="F126" s="11">
        <f>E126-D126</f>
        <v/>
      </c>
    </row>
    <row r="127">
      <c r="A127" t="inlineStr">
        <is>
          <t>RESP0254</t>
        </is>
      </c>
      <c r="B127">
        <f>INDEX(Session!$M$2:$M$261,MATCH($A127,Session!$A$2:$A$261,0))</f>
        <v/>
      </c>
      <c r="C127">
        <f>INDEX(Screening!$O$5:$O$182,MATCH($A127,Screening!$A$5:$A$182,0))</f>
        <v/>
      </c>
      <c r="D127" s="11">
        <f>SUMIFS(FEA!$H$2:$H$1781,FEA!$B$2:$B$1781,$A127,FEA!$D$2:$D$1781,"foodwaste_narrative",FEA!$F$2:$F$1781,"Engagement")</f>
        <v/>
      </c>
      <c r="E127" s="11">
        <f>SUMIFS(FEA!$H$2:$H$1781,FEA!$B$2:$B$1781,$A127,FEA!$D$2:$D$1781,"foodwaste_visual",FEA!$F$2:$F$1781,"Engagement")</f>
        <v/>
      </c>
      <c r="F127" s="11">
        <f>E127-D127</f>
        <v/>
      </c>
    </row>
    <row r="128">
      <c r="A128" t="inlineStr">
        <is>
          <t>RESP0255</t>
        </is>
      </c>
      <c r="B128">
        <f>INDEX(Session!$M$2:$M$261,MATCH($A128,Session!$A$2:$A$261,0))</f>
        <v/>
      </c>
      <c r="C128">
        <f>INDEX(Screening!$O$5:$O$182,MATCH($A128,Screening!$A$5:$A$182,0))</f>
        <v/>
      </c>
      <c r="D128" s="11">
        <f>SUMIFS(FEA!$H$2:$H$1781,FEA!$B$2:$B$1781,$A128,FEA!$D$2:$D$1781,"foodwaste_narrative",FEA!$F$2:$F$1781,"Engagement")</f>
        <v/>
      </c>
      <c r="E128" s="11">
        <f>SUMIFS(FEA!$H$2:$H$1781,FEA!$B$2:$B$1781,$A128,FEA!$D$2:$D$1781,"foodwaste_visual",FEA!$F$2:$F$1781,"Engagement")</f>
        <v/>
      </c>
      <c r="F128" s="11">
        <f>E128-D128</f>
        <v/>
      </c>
    </row>
    <row r="129">
      <c r="A129" t="inlineStr">
        <is>
          <t>RESP0256</t>
        </is>
      </c>
      <c r="B129">
        <f>INDEX(Session!$M$2:$M$261,MATCH($A129,Session!$A$2:$A$261,0))</f>
        <v/>
      </c>
      <c r="C129">
        <f>INDEX(Screening!$O$5:$O$182,MATCH($A129,Screening!$A$5:$A$182,0))</f>
        <v/>
      </c>
      <c r="D129" s="11">
        <f>SUMIFS(FEA!$H$2:$H$1781,FEA!$B$2:$B$1781,$A129,FEA!$D$2:$D$1781,"foodwaste_narrative",FEA!$F$2:$F$1781,"Engagement")</f>
        <v/>
      </c>
      <c r="E129" s="11">
        <f>SUMIFS(FEA!$H$2:$H$1781,FEA!$B$2:$B$1781,$A129,FEA!$D$2:$D$1781,"foodwaste_visual",FEA!$F$2:$F$1781,"Engagement")</f>
        <v/>
      </c>
      <c r="F129" s="11">
        <f>E129-D129</f>
        <v/>
      </c>
    </row>
    <row r="130">
      <c r="A130" t="inlineStr">
        <is>
          <t>RESP0002</t>
        </is>
      </c>
      <c r="B130">
        <f>INDEX(Session!$M$2:$M$261,MATCH($A130,Session!$A$2:$A$261,0))</f>
        <v/>
      </c>
      <c r="C130">
        <f>INDEX(Screening!$O$5:$O$182,MATCH($A130,Screening!$A$5:$A$182,0))</f>
        <v/>
      </c>
      <c r="D130" s="11">
        <f>SUMIFS(FEA!$H$2:$H$1781,FEA!$B$2:$B$1781,$A130,FEA!$D$2:$D$1781,"foodwaste_narrative",FEA!$F$2:$F$1781,"Engagement")</f>
        <v/>
      </c>
      <c r="E130" s="11">
        <f>SUMIFS(FEA!$H$2:$H$1781,FEA!$B$2:$B$1781,$A130,FEA!$D$2:$D$1781,"foodwaste_visual",FEA!$F$2:$F$1781,"Engagement")</f>
        <v/>
      </c>
      <c r="F130" s="11">
        <f>E130-D130</f>
        <v/>
      </c>
    </row>
    <row r="131">
      <c r="A131" t="inlineStr">
        <is>
          <t>RESP0004</t>
        </is>
      </c>
      <c r="B131">
        <f>INDEX(Session!$M$2:$M$261,MATCH($A131,Session!$A$2:$A$261,0))</f>
        <v/>
      </c>
      <c r="C131">
        <f>INDEX(Screening!$O$5:$O$182,MATCH($A131,Screening!$A$5:$A$182,0))</f>
        <v/>
      </c>
      <c r="D131" s="11">
        <f>SUMIFS(FEA!$H$2:$H$1781,FEA!$B$2:$B$1781,$A131,FEA!$D$2:$D$1781,"foodwaste_narrative",FEA!$F$2:$F$1781,"Engagement")</f>
        <v/>
      </c>
      <c r="E131" s="11">
        <f>SUMIFS(FEA!$H$2:$H$1781,FEA!$B$2:$B$1781,$A131,FEA!$D$2:$D$1781,"foodwaste_visual",FEA!$F$2:$F$1781,"Engagement")</f>
        <v/>
      </c>
      <c r="F131" s="11">
        <f>E131-D131</f>
        <v/>
      </c>
    </row>
    <row r="132">
      <c r="A132" t="inlineStr">
        <is>
          <t>RESP0009</t>
        </is>
      </c>
      <c r="B132">
        <f>INDEX(Session!$M$2:$M$261,MATCH($A132,Session!$A$2:$A$261,0))</f>
        <v/>
      </c>
      <c r="C132">
        <f>INDEX(Screening!$O$5:$O$182,MATCH($A132,Screening!$A$5:$A$182,0))</f>
        <v/>
      </c>
      <c r="D132" s="11">
        <f>SUMIFS(FEA!$H$2:$H$1781,FEA!$B$2:$B$1781,$A132,FEA!$D$2:$D$1781,"foodwaste_narrative",FEA!$F$2:$F$1781,"Engagement")</f>
        <v/>
      </c>
      <c r="E132" s="11">
        <f>SUMIFS(FEA!$H$2:$H$1781,FEA!$B$2:$B$1781,$A132,FEA!$D$2:$D$1781,"foodwaste_visual",FEA!$F$2:$F$1781,"Engagement")</f>
        <v/>
      </c>
      <c r="F132" s="11">
        <f>E132-D132</f>
        <v/>
      </c>
    </row>
    <row r="133">
      <c r="A133" t="inlineStr">
        <is>
          <t>RESP0019</t>
        </is>
      </c>
      <c r="B133">
        <f>INDEX(Session!$M$2:$M$261,MATCH($A133,Session!$A$2:$A$261,0))</f>
        <v/>
      </c>
      <c r="C133">
        <f>INDEX(Screening!$O$5:$O$182,MATCH($A133,Screening!$A$5:$A$182,0))</f>
        <v/>
      </c>
      <c r="D133" s="11">
        <f>SUMIFS(FEA!$H$2:$H$1781,FEA!$B$2:$B$1781,$A133,FEA!$D$2:$D$1781,"foodwaste_narrative",FEA!$F$2:$F$1781,"Engagement")</f>
        <v/>
      </c>
      <c r="E133" s="11">
        <f>SUMIFS(FEA!$H$2:$H$1781,FEA!$B$2:$B$1781,$A133,FEA!$D$2:$D$1781,"foodwaste_visual",FEA!$F$2:$F$1781,"Engagement")</f>
        <v/>
      </c>
      <c r="F133" s="11">
        <f>E133-D133</f>
        <v/>
      </c>
    </row>
    <row r="134">
      <c r="A134" t="inlineStr">
        <is>
          <t>RESP0020</t>
        </is>
      </c>
      <c r="B134">
        <f>INDEX(Session!$M$2:$M$261,MATCH($A134,Session!$A$2:$A$261,0))</f>
        <v/>
      </c>
      <c r="C134">
        <f>INDEX(Screening!$O$5:$O$182,MATCH($A134,Screening!$A$5:$A$182,0))</f>
        <v/>
      </c>
      <c r="D134" s="11">
        <f>SUMIFS(FEA!$H$2:$H$1781,FEA!$B$2:$B$1781,$A134,FEA!$D$2:$D$1781,"foodwaste_narrative",FEA!$F$2:$F$1781,"Engagement")</f>
        <v/>
      </c>
      <c r="E134" s="11">
        <f>SUMIFS(FEA!$H$2:$H$1781,FEA!$B$2:$B$1781,$A134,FEA!$D$2:$D$1781,"foodwaste_visual",FEA!$F$2:$F$1781,"Engagement")</f>
        <v/>
      </c>
      <c r="F134" s="11">
        <f>E134-D134</f>
        <v/>
      </c>
    </row>
    <row r="135">
      <c r="A135" t="inlineStr">
        <is>
          <t>RESP0029</t>
        </is>
      </c>
      <c r="B135">
        <f>INDEX(Session!$M$2:$M$261,MATCH($A135,Session!$A$2:$A$261,0))</f>
        <v/>
      </c>
      <c r="C135">
        <f>INDEX(Screening!$O$5:$O$182,MATCH($A135,Screening!$A$5:$A$182,0))</f>
        <v/>
      </c>
      <c r="D135" s="11">
        <f>SUMIFS(FEA!$H$2:$H$1781,FEA!$B$2:$B$1781,$A135,FEA!$D$2:$D$1781,"foodwaste_narrative",FEA!$F$2:$F$1781,"Engagement")</f>
        <v/>
      </c>
      <c r="E135" s="11">
        <f>SUMIFS(FEA!$H$2:$H$1781,FEA!$B$2:$B$1781,$A135,FEA!$D$2:$D$1781,"foodwaste_visual",FEA!$F$2:$F$1781,"Engagement")</f>
        <v/>
      </c>
      <c r="F135" s="11">
        <f>E135-D135</f>
        <v/>
      </c>
    </row>
    <row r="136">
      <c r="A136" t="inlineStr">
        <is>
          <t>RESP0047</t>
        </is>
      </c>
      <c r="B136">
        <f>INDEX(Session!$M$2:$M$261,MATCH($A136,Session!$A$2:$A$261,0))</f>
        <v/>
      </c>
      <c r="C136">
        <f>INDEX(Screening!$O$5:$O$182,MATCH($A136,Screening!$A$5:$A$182,0))</f>
        <v/>
      </c>
      <c r="D136" s="11">
        <f>SUMIFS(FEA!$H$2:$H$1781,FEA!$B$2:$B$1781,$A136,FEA!$D$2:$D$1781,"foodwaste_narrative",FEA!$F$2:$F$1781,"Engagement")</f>
        <v/>
      </c>
      <c r="E136" s="11">
        <f>SUMIFS(FEA!$H$2:$H$1781,FEA!$B$2:$B$1781,$A136,FEA!$D$2:$D$1781,"foodwaste_visual",FEA!$F$2:$F$1781,"Engagement")</f>
        <v/>
      </c>
      <c r="F136" s="11">
        <f>E136-D136</f>
        <v/>
      </c>
    </row>
    <row r="137">
      <c r="A137" t="inlineStr">
        <is>
          <t>RESP0056</t>
        </is>
      </c>
      <c r="B137">
        <f>INDEX(Session!$M$2:$M$261,MATCH($A137,Session!$A$2:$A$261,0))</f>
        <v/>
      </c>
      <c r="C137">
        <f>INDEX(Screening!$O$5:$O$182,MATCH($A137,Screening!$A$5:$A$182,0))</f>
        <v/>
      </c>
      <c r="D137" s="11">
        <f>SUMIFS(FEA!$H$2:$H$1781,FEA!$B$2:$B$1781,$A137,FEA!$D$2:$D$1781,"foodwaste_narrative",FEA!$F$2:$F$1781,"Engagement")</f>
        <v/>
      </c>
      <c r="E137" s="11">
        <f>SUMIFS(FEA!$H$2:$H$1781,FEA!$B$2:$B$1781,$A137,FEA!$D$2:$D$1781,"foodwaste_visual",FEA!$F$2:$F$1781,"Engagement")</f>
        <v/>
      </c>
      <c r="F137" s="11">
        <f>E137-D137</f>
        <v/>
      </c>
    </row>
    <row r="138">
      <c r="A138" t="inlineStr">
        <is>
          <t>RESP0063</t>
        </is>
      </c>
      <c r="B138">
        <f>INDEX(Session!$M$2:$M$261,MATCH($A138,Session!$A$2:$A$261,0))</f>
        <v/>
      </c>
      <c r="C138">
        <f>INDEX(Screening!$O$5:$O$182,MATCH($A138,Screening!$A$5:$A$182,0))</f>
        <v/>
      </c>
      <c r="D138" s="11">
        <f>SUMIFS(FEA!$H$2:$H$1781,FEA!$B$2:$B$1781,$A138,FEA!$D$2:$D$1781,"foodwaste_narrative",FEA!$F$2:$F$1781,"Engagement")</f>
        <v/>
      </c>
      <c r="E138" s="11">
        <f>SUMIFS(FEA!$H$2:$H$1781,FEA!$B$2:$B$1781,$A138,FEA!$D$2:$D$1781,"foodwaste_visual",FEA!$F$2:$F$1781,"Engagement")</f>
        <v/>
      </c>
      <c r="F138" s="11">
        <f>E138-D138</f>
        <v/>
      </c>
    </row>
    <row r="139">
      <c r="A139" t="inlineStr">
        <is>
          <t>RESP0085</t>
        </is>
      </c>
      <c r="B139">
        <f>INDEX(Session!$M$2:$M$261,MATCH($A139,Session!$A$2:$A$261,0))</f>
        <v/>
      </c>
      <c r="C139">
        <f>INDEX(Screening!$O$5:$O$182,MATCH($A139,Screening!$A$5:$A$182,0))</f>
        <v/>
      </c>
      <c r="D139" s="11">
        <f>SUMIFS(FEA!$H$2:$H$1781,FEA!$B$2:$B$1781,$A139,FEA!$D$2:$D$1781,"foodwaste_narrative",FEA!$F$2:$F$1781,"Engagement")</f>
        <v/>
      </c>
      <c r="E139" s="11">
        <f>SUMIFS(FEA!$H$2:$H$1781,FEA!$B$2:$B$1781,$A139,FEA!$D$2:$D$1781,"foodwaste_visual",FEA!$F$2:$F$1781,"Engagement")</f>
        <v/>
      </c>
      <c r="F139" s="11">
        <f>E139-D139</f>
        <v/>
      </c>
    </row>
    <row r="140">
      <c r="A140" t="inlineStr">
        <is>
          <t>RESP0088</t>
        </is>
      </c>
      <c r="B140">
        <f>INDEX(Session!$M$2:$M$261,MATCH($A140,Session!$A$2:$A$261,0))</f>
        <v/>
      </c>
      <c r="C140">
        <f>INDEX(Screening!$O$5:$O$182,MATCH($A140,Screening!$A$5:$A$182,0))</f>
        <v/>
      </c>
      <c r="D140" s="11">
        <f>SUMIFS(FEA!$H$2:$H$1781,FEA!$B$2:$B$1781,$A140,FEA!$D$2:$D$1781,"foodwaste_narrative",FEA!$F$2:$F$1781,"Engagement")</f>
        <v/>
      </c>
      <c r="E140" s="11">
        <f>SUMIFS(FEA!$H$2:$H$1781,FEA!$B$2:$B$1781,$A140,FEA!$D$2:$D$1781,"foodwaste_visual",FEA!$F$2:$F$1781,"Engagement")</f>
        <v/>
      </c>
      <c r="F140" s="11">
        <f>E140-D140</f>
        <v/>
      </c>
    </row>
    <row r="141">
      <c r="A141" t="inlineStr">
        <is>
          <t>RESP0109</t>
        </is>
      </c>
      <c r="B141">
        <f>INDEX(Session!$M$2:$M$261,MATCH($A141,Session!$A$2:$A$261,0))</f>
        <v/>
      </c>
      <c r="C141">
        <f>INDEX(Screening!$O$5:$O$182,MATCH($A141,Screening!$A$5:$A$182,0))</f>
        <v/>
      </c>
      <c r="D141" s="11">
        <f>SUMIFS(FEA!$H$2:$H$1781,FEA!$B$2:$B$1781,$A141,FEA!$D$2:$D$1781,"foodwaste_narrative",FEA!$F$2:$F$1781,"Engagement")</f>
        <v/>
      </c>
      <c r="E141" s="11">
        <f>SUMIFS(FEA!$H$2:$H$1781,FEA!$B$2:$B$1781,$A141,FEA!$D$2:$D$1781,"foodwaste_visual",FEA!$F$2:$F$1781,"Engagement")</f>
        <v/>
      </c>
      <c r="F141" s="11">
        <f>E141-D141</f>
        <v/>
      </c>
    </row>
    <row r="142">
      <c r="A142" t="inlineStr">
        <is>
          <t>RESP0137</t>
        </is>
      </c>
      <c r="B142">
        <f>INDEX(Session!$M$2:$M$261,MATCH($A142,Session!$A$2:$A$261,0))</f>
        <v/>
      </c>
      <c r="C142">
        <f>INDEX(Screening!$O$5:$O$182,MATCH($A142,Screening!$A$5:$A$182,0))</f>
        <v/>
      </c>
      <c r="D142" s="11">
        <f>SUMIFS(FEA!$H$2:$H$1781,FEA!$B$2:$B$1781,$A142,FEA!$D$2:$D$1781,"foodwaste_narrative",FEA!$F$2:$F$1781,"Engagement")</f>
        <v/>
      </c>
      <c r="E142" s="11">
        <f>SUMIFS(FEA!$H$2:$H$1781,FEA!$B$2:$B$1781,$A142,FEA!$D$2:$D$1781,"foodwaste_visual",FEA!$F$2:$F$1781,"Engagement")</f>
        <v/>
      </c>
      <c r="F142" s="11">
        <f>E142-D142</f>
        <v/>
      </c>
    </row>
    <row r="143">
      <c r="A143" t="inlineStr">
        <is>
          <t>RESP0175</t>
        </is>
      </c>
      <c r="B143">
        <f>INDEX(Session!$M$2:$M$261,MATCH($A143,Session!$A$2:$A$261,0))</f>
        <v/>
      </c>
      <c r="C143">
        <f>INDEX(Screening!$O$5:$O$182,MATCH($A143,Screening!$A$5:$A$182,0))</f>
        <v/>
      </c>
      <c r="D143" s="11">
        <f>SUMIFS(FEA!$H$2:$H$1781,FEA!$B$2:$B$1781,$A143,FEA!$D$2:$D$1781,"foodwaste_narrative",FEA!$F$2:$F$1781,"Engagement")</f>
        <v/>
      </c>
      <c r="E143" s="11">
        <f>SUMIFS(FEA!$H$2:$H$1781,FEA!$B$2:$B$1781,$A143,FEA!$D$2:$D$1781,"foodwaste_visual",FEA!$F$2:$F$1781,"Engagement")</f>
        <v/>
      </c>
      <c r="F143" s="11">
        <f>E143-D143</f>
        <v/>
      </c>
    </row>
    <row r="144">
      <c r="A144" t="inlineStr">
        <is>
          <t>RESP0190</t>
        </is>
      </c>
      <c r="B144">
        <f>INDEX(Session!$M$2:$M$261,MATCH($A144,Session!$A$2:$A$261,0))</f>
        <v/>
      </c>
      <c r="C144">
        <f>INDEX(Screening!$O$5:$O$182,MATCH($A144,Screening!$A$5:$A$182,0))</f>
        <v/>
      </c>
      <c r="D144" s="11">
        <f>SUMIFS(FEA!$H$2:$H$1781,FEA!$B$2:$B$1781,$A144,FEA!$D$2:$D$1781,"foodwaste_narrative",FEA!$F$2:$F$1781,"Engagement")</f>
        <v/>
      </c>
      <c r="E144" s="11">
        <f>SUMIFS(FEA!$H$2:$H$1781,FEA!$B$2:$B$1781,$A144,FEA!$D$2:$D$1781,"foodwaste_visual",FEA!$F$2:$F$1781,"Engagement")</f>
        <v/>
      </c>
      <c r="F144" s="11">
        <f>E144-D144</f>
        <v/>
      </c>
    </row>
    <row r="145">
      <c r="A145" t="inlineStr">
        <is>
          <t>RESP0207</t>
        </is>
      </c>
      <c r="B145">
        <f>INDEX(Session!$M$2:$M$261,MATCH($A145,Session!$A$2:$A$261,0))</f>
        <v/>
      </c>
      <c r="C145">
        <f>INDEX(Screening!$O$5:$O$182,MATCH($A145,Screening!$A$5:$A$182,0))</f>
        <v/>
      </c>
      <c r="D145" s="11">
        <f>SUMIFS(FEA!$H$2:$H$1781,FEA!$B$2:$B$1781,$A145,FEA!$D$2:$D$1781,"foodwaste_narrative",FEA!$F$2:$F$1781,"Engagement")</f>
        <v/>
      </c>
      <c r="E145" s="11">
        <f>SUMIFS(FEA!$H$2:$H$1781,FEA!$B$2:$B$1781,$A145,FEA!$D$2:$D$1781,"foodwaste_visual",FEA!$F$2:$F$1781,"Engagement")</f>
        <v/>
      </c>
      <c r="F145" s="11">
        <f>E145-D145</f>
        <v/>
      </c>
    </row>
    <row r="146">
      <c r="A146" t="inlineStr">
        <is>
          <t>RESP0236</t>
        </is>
      </c>
      <c r="B146">
        <f>INDEX(Session!$M$2:$M$261,MATCH($A146,Session!$A$2:$A$261,0))</f>
        <v/>
      </c>
      <c r="C146">
        <f>INDEX(Screening!$O$5:$O$182,MATCH($A146,Screening!$A$5:$A$182,0))</f>
        <v/>
      </c>
      <c r="D146" s="11">
        <f>SUMIFS(FEA!$H$2:$H$1781,FEA!$B$2:$B$1781,$A146,FEA!$D$2:$D$1781,"foodwaste_narrative",FEA!$F$2:$F$1781,"Engagement")</f>
        <v/>
      </c>
      <c r="E146" s="11">
        <f>SUMIFS(FEA!$H$2:$H$1781,FEA!$B$2:$B$1781,$A146,FEA!$D$2:$D$1781,"foodwaste_visual",FEA!$F$2:$F$1781,"Engagement")</f>
        <v/>
      </c>
      <c r="F146" s="11">
        <f>E146-D146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3" customWidth="1" min="4" max="4"/>
    <col width="52" customWidth="1" min="5" max="5"/>
    <col width="14" customWidth="1" min="6" max="6"/>
    <col width="70" customWidth="1" min="7" max="7"/>
    <col width="56" customWidth="1" min="8" max="8"/>
  </cols>
  <sheetData>
    <row r="1">
      <c r="A1" s="5" t="inlineStr">
        <is>
          <t>H3. Intention to reduce food waste (1 to 7) by order, kept respondents: the randomization check. SIMULATED data.</t>
        </is>
      </c>
    </row>
    <row r="2">
      <c r="A2" s="6" t="inlineStr">
        <is>
          <t>Rows 5 to 73: Narrative first (Study flow 1); rows 74 to 146: Visual first (Study flow 2). Column C looks the answer up in the Survey sheet.</t>
        </is>
      </c>
    </row>
    <row r="4">
      <c r="A4" s="2" t="inlineStr">
        <is>
          <t>Respondent Name</t>
        </is>
      </c>
      <c r="B4" s="2" t="inlineStr">
        <is>
          <t>Order</t>
        </is>
      </c>
      <c r="C4" s="2" t="inlineStr">
        <is>
          <t>Intention (1 to 7)</t>
        </is>
      </c>
    </row>
    <row r="5">
      <c r="A5" t="inlineStr">
        <is>
          <t>RESP0002</t>
        </is>
      </c>
      <c r="B5">
        <f>INDEX(Session!$M$2:$M$261,MATCH($A5,Session!$A$2:$A$261,0))</f>
        <v/>
      </c>
      <c r="C5">
        <f>INDEX(Survey!$E$2:$E$179,MATCH($A5,Survey!$B$2:$B$179,0))</f>
        <v/>
      </c>
      <c r="E5" s="10" t="inlineStr">
        <is>
          <t>Statistic</t>
        </is>
      </c>
      <c r="F5" s="10" t="inlineStr">
        <is>
          <t>Value</t>
        </is>
      </c>
      <c r="G5" s="10" t="inlineStr">
        <is>
          <t>Formula shown</t>
        </is>
      </c>
      <c r="H5" s="10" t="inlineStr">
        <is>
          <t>Note</t>
        </is>
      </c>
    </row>
    <row r="6">
      <c r="A6" t="inlineStr">
        <is>
          <t>RESP0007</t>
        </is>
      </c>
      <c r="B6">
        <f>INDEX(Session!$M$2:$M$261,MATCH($A6,Session!$A$2:$A$261,0))</f>
        <v/>
      </c>
      <c r="C6">
        <f>INDEX(Survey!$E$2:$E$179,MATCH($A6,Survey!$B$2:$B$179,0))</f>
        <v/>
      </c>
      <c r="E6" s="12" t="inlineStr">
        <is>
          <t>H3: intention, Narrative first versus Visual first (n = 69 and 73)</t>
        </is>
      </c>
    </row>
    <row r="7">
      <c r="A7" t="inlineStr">
        <is>
          <t>RESP0009</t>
        </is>
      </c>
      <c r="B7">
        <f>INDEX(Session!$M$2:$M$261,MATCH($A7,Session!$A$2:$A$261,0))</f>
        <v/>
      </c>
      <c r="C7">
        <f>INDEX(Survey!$E$2:$E$179,MATCH($A7,Survey!$B$2:$B$179,0))</f>
        <v/>
      </c>
      <c r="E7" t="inlineStr">
        <is>
          <t>Narrative first mean</t>
        </is>
      </c>
      <c r="F7" s="13">
        <f>AVERAGE(C5:C73)</f>
        <v/>
      </c>
      <c r="G7" s="14" t="inlineStr">
        <is>
          <t>=AVERAGE(C5:C73)</t>
        </is>
      </c>
    </row>
    <row r="8">
      <c r="A8" t="inlineStr">
        <is>
          <t>RESP0010</t>
        </is>
      </c>
      <c r="B8">
        <f>INDEX(Session!$M$2:$M$261,MATCH($A8,Session!$A$2:$A$261,0))</f>
        <v/>
      </c>
      <c r="C8">
        <f>INDEX(Survey!$E$2:$E$179,MATCH($A8,Survey!$B$2:$B$179,0))</f>
        <v/>
      </c>
      <c r="E8" t="inlineStr">
        <is>
          <t>Narrative first SD</t>
        </is>
      </c>
      <c r="F8" s="13">
        <f>_xlfn.STDEV.S(C5:C73)</f>
        <v/>
      </c>
      <c r="G8" s="14" t="inlineStr">
        <is>
          <t>=STDEV.S(C5:C73)</t>
        </is>
      </c>
    </row>
    <row r="9">
      <c r="A9" t="inlineStr">
        <is>
          <t>RESP0015</t>
        </is>
      </c>
      <c r="B9">
        <f>INDEX(Session!$M$2:$M$261,MATCH($A9,Session!$A$2:$A$261,0))</f>
        <v/>
      </c>
      <c r="C9">
        <f>INDEX(Survey!$E$2:$E$179,MATCH($A9,Survey!$B$2:$B$179,0))</f>
        <v/>
      </c>
      <c r="E9" t="inlineStr">
        <is>
          <t>Narrative first n</t>
        </is>
      </c>
      <c r="F9" s="7">
        <f>COUNT(C5:C73)</f>
        <v/>
      </c>
      <c r="G9" s="14" t="inlineStr">
        <is>
          <t>=COUNT(C5:C73)</t>
        </is>
      </c>
    </row>
    <row r="10">
      <c r="A10" t="inlineStr">
        <is>
          <t>RESP0019</t>
        </is>
      </c>
      <c r="B10">
        <f>INDEX(Session!$M$2:$M$261,MATCH($A10,Session!$A$2:$A$261,0))</f>
        <v/>
      </c>
      <c r="C10">
        <f>INDEX(Survey!$E$2:$E$179,MATCH($A10,Survey!$B$2:$B$179,0))</f>
        <v/>
      </c>
      <c r="E10" t="inlineStr">
        <is>
          <t>Visual first mean</t>
        </is>
      </c>
      <c r="F10" s="13">
        <f>AVERAGE(C74:C146)</f>
        <v/>
      </c>
      <c r="G10" s="14" t="inlineStr">
        <is>
          <t>=AVERAGE(C74:C146)</t>
        </is>
      </c>
    </row>
    <row r="11">
      <c r="A11" t="inlineStr">
        <is>
          <t>RESP0020</t>
        </is>
      </c>
      <c r="B11">
        <f>INDEX(Session!$M$2:$M$261,MATCH($A11,Session!$A$2:$A$261,0))</f>
        <v/>
      </c>
      <c r="C11">
        <f>INDEX(Survey!$E$2:$E$179,MATCH($A11,Survey!$B$2:$B$179,0))</f>
        <v/>
      </c>
      <c r="E11" t="inlineStr">
        <is>
          <t>Visual first SD</t>
        </is>
      </c>
      <c r="F11" s="13">
        <f>_xlfn.STDEV.S(C74:C146)</f>
        <v/>
      </c>
      <c r="G11" s="14" t="inlineStr">
        <is>
          <t>=STDEV.S(C74:C146)</t>
        </is>
      </c>
    </row>
    <row r="12">
      <c r="A12" t="inlineStr">
        <is>
          <t>RESP0022</t>
        </is>
      </c>
      <c r="B12">
        <f>INDEX(Session!$M$2:$M$261,MATCH($A12,Session!$A$2:$A$261,0))</f>
        <v/>
      </c>
      <c r="C12">
        <f>INDEX(Survey!$E$2:$E$179,MATCH($A12,Survey!$B$2:$B$179,0))</f>
        <v/>
      </c>
      <c r="E12" t="inlineStr">
        <is>
          <t>Visual first n</t>
        </is>
      </c>
      <c r="F12" s="7">
        <f>COUNT(C74:C146)</f>
        <v/>
      </c>
      <c r="G12" s="14" t="inlineStr">
        <is>
          <t>=COUNT(C74:C146)</t>
        </is>
      </c>
    </row>
    <row r="13">
      <c r="A13" t="inlineStr">
        <is>
          <t>RESP0023</t>
        </is>
      </c>
      <c r="B13">
        <f>INDEX(Session!$M$2:$M$261,MATCH($A13,Session!$A$2:$A$261,0))</f>
        <v/>
      </c>
      <c r="C13">
        <f>INDEX(Survey!$E$2:$E$179,MATCH($A13,Survey!$B$2:$B$179,0))</f>
        <v/>
      </c>
      <c r="E13" t="inlineStr">
        <is>
          <t>Difference, Narrative first minus Visual first</t>
        </is>
      </c>
      <c r="F13" s="13">
        <f>F7-F10</f>
        <v/>
      </c>
      <c r="G13" s="14" t="inlineStr">
        <is>
          <t>=F7-F10</t>
        </is>
      </c>
    </row>
    <row r="14">
      <c r="A14" t="inlineStr">
        <is>
          <t>RESP0025</t>
        </is>
      </c>
      <c r="B14">
        <f>INDEX(Session!$M$2:$M$261,MATCH($A14,Session!$A$2:$A$261,0))</f>
        <v/>
      </c>
      <c r="C14">
        <f>INDEX(Survey!$E$2:$E$179,MATCH($A14,Survey!$B$2:$B$179,0))</f>
        <v/>
      </c>
      <c r="E14" t="inlineStr">
        <is>
          <t>SE of the difference (Welch)</t>
        </is>
      </c>
      <c r="F14" s="13">
        <f>SQRT(F8^2/F9+F11^2/F12)</f>
        <v/>
      </c>
      <c r="G14" s="14" t="inlineStr">
        <is>
          <t>=SQRT(F8^2/F9+F11^2/F12)</t>
        </is>
      </c>
      <c r="H14" s="6" t="inlineStr">
        <is>
          <t>each group keeps its own variance</t>
        </is>
      </c>
    </row>
    <row r="15">
      <c r="A15" t="inlineStr">
        <is>
          <t>RESP0026</t>
        </is>
      </c>
      <c r="B15">
        <f>INDEX(Session!$M$2:$M$261,MATCH($A15,Session!$A$2:$A$261,0))</f>
        <v/>
      </c>
      <c r="C15">
        <f>INDEX(Survey!$E$2:$E$179,MATCH($A15,Survey!$B$2:$B$179,0))</f>
        <v/>
      </c>
      <c r="E15" t="inlineStr">
        <is>
          <t>Welch t</t>
        </is>
      </c>
      <c r="F15" s="13">
        <f>F13/F14</f>
        <v/>
      </c>
      <c r="G15" s="14" t="inlineStr">
        <is>
          <t>=F13/F14</t>
        </is>
      </c>
    </row>
    <row r="16">
      <c r="A16" t="inlineStr">
        <is>
          <t>RESP0035</t>
        </is>
      </c>
      <c r="B16">
        <f>INDEX(Session!$M$2:$M$261,MATCH($A16,Session!$A$2:$A$261,0))</f>
        <v/>
      </c>
      <c r="C16">
        <f>INDEX(Survey!$E$2:$E$179,MATCH($A16,Survey!$B$2:$B$179,0))</f>
        <v/>
      </c>
      <c r="E16" t="inlineStr">
        <is>
          <t>Welch df</t>
        </is>
      </c>
      <c r="F16" s="11">
        <f>(F8^2/F9+F11^2/F12)^2/((F8^2/F9)^2/(F9-1)+(F11^2/F12)^2/(F12-1))</f>
        <v/>
      </c>
      <c r="G16" s="14" t="inlineStr">
        <is>
          <t>=(F8^2/F9+F11^2/F12)^2/((F8^2/F9)^2/(F9-1)+(F11^2/F12)^2/(F12-1))</t>
        </is>
      </c>
      <c r="H16" s="6" t="inlineStr">
        <is>
          <t>Welch Satterthwaite formula; not a whole number</t>
        </is>
      </c>
    </row>
    <row r="17">
      <c r="A17" t="inlineStr">
        <is>
          <t>RESP0036</t>
        </is>
      </c>
      <c r="B17">
        <f>INDEX(Session!$M$2:$M$261,MATCH($A17,Session!$A$2:$A$261,0))</f>
        <v/>
      </c>
      <c r="C17">
        <f>INDEX(Survey!$E$2:$E$179,MATCH($A17,Survey!$B$2:$B$179,0))</f>
        <v/>
      </c>
      <c r="E17" t="inlineStr">
        <is>
          <t>p, two tailed (T.TEST type 3)</t>
        </is>
      </c>
      <c r="F17" s="15">
        <f>_xlfn.T.TEST(C5:C73,C74:C146,2,3)</f>
        <v/>
      </c>
      <c r="G17" s="14" t="inlineStr">
        <is>
          <t>=T.TEST(C5:C73,C74:C146,2,3)</t>
        </is>
      </c>
      <c r="H17" s="6" t="inlineStr">
        <is>
          <t>type 3 = two groups, unequal variances (Welch)</t>
        </is>
      </c>
    </row>
    <row r="18">
      <c r="A18" t="inlineStr">
        <is>
          <t>RESP0038</t>
        </is>
      </c>
      <c r="B18">
        <f>INDEX(Session!$M$2:$M$261,MATCH($A18,Session!$A$2:$A$261,0))</f>
        <v/>
      </c>
      <c r="C18">
        <f>INDEX(Survey!$E$2:$E$179,MATCH($A18,Survey!$B$2:$B$179,0))</f>
        <v/>
      </c>
      <c r="E18" t="inlineStr">
        <is>
          <t>p from the hand computed t</t>
        </is>
      </c>
      <c r="F18" s="15">
        <f>_xlfn.T.DIST.2T(ABS(F15),F16)</f>
        <v/>
      </c>
      <c r="G18" s="14" t="inlineStr">
        <is>
          <t>=T.DIST.2T(ABS(F15),F16)</t>
        </is>
      </c>
      <c r="H18" s="6" t="inlineStr">
        <is>
          <t>may round the df down to a whole number; report the T.TEST cell</t>
        </is>
      </c>
    </row>
    <row r="19">
      <c r="A19" t="inlineStr">
        <is>
          <t>RESP0040</t>
        </is>
      </c>
      <c r="B19">
        <f>INDEX(Session!$M$2:$M$261,MATCH($A19,Session!$A$2:$A$261,0))</f>
        <v/>
      </c>
      <c r="C19">
        <f>INDEX(Survey!$E$2:$E$179,MATCH($A19,Survey!$B$2:$B$179,0))</f>
        <v/>
      </c>
      <c r="E19" t="inlineStr">
        <is>
          <t>Critical t (95%)</t>
        </is>
      </c>
      <c r="F19" s="13">
        <f>_xlfn.T.INV.2T(0.05,F16)</f>
        <v/>
      </c>
      <c r="G19" s="14" t="inlineStr">
        <is>
          <t>=T.INV.2T(0.05,F16)</t>
        </is>
      </c>
      <c r="H19" s="6" t="inlineStr">
        <is>
          <t>may also round the df down</t>
        </is>
      </c>
    </row>
    <row r="20">
      <c r="A20" t="inlineStr">
        <is>
          <t>RESP0044</t>
        </is>
      </c>
      <c r="B20">
        <f>INDEX(Session!$M$2:$M$261,MATCH($A20,Session!$A$2:$A$261,0))</f>
        <v/>
      </c>
      <c r="C20">
        <f>INDEX(Survey!$E$2:$E$179,MATCH($A20,Survey!$B$2:$B$179,0))</f>
        <v/>
      </c>
      <c r="E20" t="inlineStr">
        <is>
          <t>Difference 95% CI lower</t>
        </is>
      </c>
      <c r="F20" s="13">
        <f>F13-F19*F14</f>
        <v/>
      </c>
      <c r="G20" s="14" t="inlineStr">
        <is>
          <t>=F13-F19*F14</t>
        </is>
      </c>
    </row>
    <row r="21">
      <c r="A21" t="inlineStr">
        <is>
          <t>RESP0047</t>
        </is>
      </c>
      <c r="B21">
        <f>INDEX(Session!$M$2:$M$261,MATCH($A21,Session!$A$2:$A$261,0))</f>
        <v/>
      </c>
      <c r="C21">
        <f>INDEX(Survey!$E$2:$E$179,MATCH($A21,Survey!$B$2:$B$179,0))</f>
        <v/>
      </c>
      <c r="E21" t="inlineStr">
        <is>
          <t>Difference 95% CI upper</t>
        </is>
      </c>
      <c r="F21" s="13">
        <f>F13+F19*F14</f>
        <v/>
      </c>
      <c r="G21" s="14" t="inlineStr">
        <is>
          <t>=F13+F19*F14</t>
        </is>
      </c>
    </row>
    <row r="22">
      <c r="A22" t="inlineStr">
        <is>
          <t>RESP0048</t>
        </is>
      </c>
      <c r="B22">
        <f>INDEX(Session!$M$2:$M$261,MATCH($A22,Session!$A$2:$A$261,0))</f>
        <v/>
      </c>
      <c r="C22">
        <f>INDEX(Survey!$E$2:$E$179,MATCH($A22,Survey!$B$2:$B$179,0))</f>
        <v/>
      </c>
      <c r="E22" t="inlineStr">
        <is>
          <t>Pooled SD (for the effect size)</t>
        </is>
      </c>
      <c r="F22" s="13">
        <f>SQRT(((F9-1)*F8^2+(F12-1)*F11^2)/(F9+F12-2))</f>
        <v/>
      </c>
      <c r="G22" s="14" t="inlineStr">
        <is>
          <t>=SQRT(((F9-1)*F8^2+(F12-1)*F11^2)/(F9+F12-2))</t>
        </is>
      </c>
    </row>
    <row r="23">
      <c r="A23" t="inlineStr">
        <is>
          <t>RESP0050</t>
        </is>
      </c>
      <c r="B23">
        <f>INDEX(Session!$M$2:$M$261,MATCH($A23,Session!$A$2:$A$261,0))</f>
        <v/>
      </c>
      <c r="C23">
        <f>INDEX(Survey!$E$2:$E$179,MATCH($A23,Survey!$B$2:$B$179,0))</f>
        <v/>
      </c>
      <c r="E23" t="inlineStr">
        <is>
          <t>Cohen's d</t>
        </is>
      </c>
      <c r="F23" s="13">
        <f>F13/F22</f>
        <v/>
      </c>
      <c r="G23" s="14" t="inlineStr">
        <is>
          <t>=F13/F22</t>
        </is>
      </c>
      <c r="H23" s="6" t="inlineStr">
        <is>
          <t>difference / pooled SD</t>
        </is>
      </c>
    </row>
    <row r="24">
      <c r="A24" t="inlineStr">
        <is>
          <t>RESP0053</t>
        </is>
      </c>
      <c r="B24">
        <f>INDEX(Session!$M$2:$M$261,MATCH($A24,Session!$A$2:$A$261,0))</f>
        <v/>
      </c>
      <c r="C24">
        <f>INDEX(Survey!$E$2:$E$179,MATCH($A24,Survey!$B$2:$B$179,0))</f>
        <v/>
      </c>
      <c r="E24" t="inlineStr">
        <is>
          <t>Small sample correction J</t>
        </is>
      </c>
      <c r="F24" s="13">
        <f>1-3/(4*(F9+F12)-9)</f>
        <v/>
      </c>
      <c r="G24" s="14" t="inlineStr">
        <is>
          <t>=1-3/(4*(F9+F12)-9)</t>
        </is>
      </c>
      <c r="H24" s="6" t="inlineStr">
        <is>
          <t>Hedges' approximation</t>
        </is>
      </c>
    </row>
    <row r="25">
      <c r="A25" t="inlineStr">
        <is>
          <t>RESP0059</t>
        </is>
      </c>
      <c r="B25">
        <f>INDEX(Session!$M$2:$M$261,MATCH($A25,Session!$A$2:$A$261,0))</f>
        <v/>
      </c>
      <c r="C25">
        <f>INDEX(Survey!$E$2:$E$179,MATCH($A25,Survey!$B$2:$B$179,0))</f>
        <v/>
      </c>
      <c r="E25" t="inlineStr">
        <is>
          <t>Hedges' g</t>
        </is>
      </c>
      <c r="F25" s="13">
        <f>F24*F23</f>
        <v/>
      </c>
      <c r="G25" s="14" t="inlineStr">
        <is>
          <t>=F24*F23</t>
        </is>
      </c>
    </row>
    <row r="26">
      <c r="A26" t="inlineStr">
        <is>
          <t>RESP0067</t>
        </is>
      </c>
      <c r="B26">
        <f>INDEX(Session!$M$2:$M$261,MATCH($A26,Session!$A$2:$A$261,0))</f>
        <v/>
      </c>
      <c r="C26">
        <f>INDEX(Survey!$E$2:$E$179,MATCH($A26,Survey!$B$2:$B$179,0))</f>
        <v/>
      </c>
      <c r="E26" t="inlineStr">
        <is>
          <t>SE of g (approximation)</t>
        </is>
      </c>
      <c r="F26" s="13">
        <f>SQRT((F9+F12)/(F9*F12)+F25^2/(2*(F9+F12)))</f>
        <v/>
      </c>
      <c r="G26" s="14" t="inlineStr">
        <is>
          <t>=SQRT((F9+F12)/(F9*F12)+F25^2/(2*(F9+F12)))</t>
        </is>
      </c>
    </row>
    <row r="27">
      <c r="A27" t="inlineStr">
        <is>
          <t>RESP0069</t>
        </is>
      </c>
      <c r="B27">
        <f>INDEX(Session!$M$2:$M$261,MATCH($A27,Session!$A$2:$A$261,0))</f>
        <v/>
      </c>
      <c r="C27">
        <f>INDEX(Survey!$E$2:$E$179,MATCH($A27,Survey!$B$2:$B$179,0))</f>
        <v/>
      </c>
      <c r="E27" t="inlineStr">
        <is>
          <t>g 95% CI lower (approximation)</t>
        </is>
      </c>
      <c r="F27" s="13">
        <f>F25-1.96*F26</f>
        <v/>
      </c>
      <c r="G27" s="14" t="inlineStr">
        <is>
          <t>=F25-1.96*F26</t>
        </is>
      </c>
      <c r="H27" s="6" t="inlineStr">
        <is>
          <t>R also gives the exact noncentral t interval</t>
        </is>
      </c>
    </row>
    <row r="28">
      <c r="A28" t="inlineStr">
        <is>
          <t>RESP0072</t>
        </is>
      </c>
      <c r="B28">
        <f>INDEX(Session!$M$2:$M$261,MATCH($A28,Session!$A$2:$A$261,0))</f>
        <v/>
      </c>
      <c r="C28">
        <f>INDEX(Survey!$E$2:$E$179,MATCH($A28,Survey!$B$2:$B$179,0))</f>
        <v/>
      </c>
      <c r="E28" t="inlineStr">
        <is>
          <t>g 95% CI upper (approximation)</t>
        </is>
      </c>
      <c r="F28" s="13">
        <f>F25+1.96*F26</f>
        <v/>
      </c>
      <c r="G28" s="14" t="inlineStr">
        <is>
          <t>=F25+1.96*F26</t>
        </is>
      </c>
    </row>
    <row r="29">
      <c r="A29" t="inlineStr">
        <is>
          <t>RESP0073</t>
        </is>
      </c>
      <c r="B29">
        <f>INDEX(Session!$M$2:$M$261,MATCH($A29,Session!$A$2:$A$261,0))</f>
        <v/>
      </c>
      <c r="C29">
        <f>INDEX(Survey!$E$2:$E$179,MATCH($A29,Survey!$B$2:$B$179,0))</f>
        <v/>
      </c>
    </row>
    <row r="30">
      <c r="A30" t="inlineStr">
        <is>
          <t>RESP0079</t>
        </is>
      </c>
      <c r="B30">
        <f>INDEX(Session!$M$2:$M$261,MATCH($A30,Session!$A$2:$A$261,0))</f>
        <v/>
      </c>
      <c r="C30">
        <f>INDEX(Survey!$E$2:$E$179,MATCH($A30,Survey!$B$2:$B$179,0))</f>
        <v/>
      </c>
      <c r="E30" s="12" t="inlineStr">
        <is>
          <t>Roster checks</t>
        </is>
      </c>
    </row>
    <row r="31">
      <c r="A31" t="inlineStr">
        <is>
          <t>RESP0082</t>
        </is>
      </c>
      <c r="B31">
        <f>INDEX(Session!$M$2:$M$261,MATCH($A31,Session!$A$2:$A$261,0))</f>
        <v/>
      </c>
      <c r="C31">
        <f>INDEX(Survey!$E$2:$E$179,MATCH($A31,Survey!$B$2:$B$179,0))</f>
        <v/>
      </c>
      <c r="E31" t="inlineStr">
        <is>
          <t>Visual first rows inside the Narrative first range (must be 0)</t>
        </is>
      </c>
      <c r="F31" s="7">
        <f>COUNTIF(B5:B73,"Visual first")</f>
        <v/>
      </c>
      <c r="G31" s="14" t="inlineStr">
        <is>
          <t>=COUNTIF(B5:B73,"Visual first")</t>
        </is>
      </c>
    </row>
    <row r="32">
      <c r="A32" t="inlineStr">
        <is>
          <t>RESP0088</t>
        </is>
      </c>
      <c r="B32">
        <f>INDEX(Session!$M$2:$M$261,MATCH($A32,Session!$A$2:$A$261,0))</f>
        <v/>
      </c>
      <c r="C32">
        <f>INDEX(Survey!$E$2:$E$179,MATCH($A32,Survey!$B$2:$B$179,0))</f>
        <v/>
      </c>
      <c r="E32" t="inlineStr">
        <is>
          <t>Narrative first rows inside the Visual first range (must be 0)</t>
        </is>
      </c>
      <c r="F32" s="7">
        <f>COUNTIF(B74:B146,"Narrative first")</f>
        <v/>
      </c>
      <c r="G32" s="14" t="inlineStr">
        <is>
          <t>=COUNTIF(B74:B146,"Narrative first")</t>
        </is>
      </c>
    </row>
    <row r="33">
      <c r="A33" t="inlineStr">
        <is>
          <t>RESP0093</t>
        </is>
      </c>
      <c r="B33">
        <f>INDEX(Session!$M$2:$M$261,MATCH($A33,Session!$A$2:$A$261,0))</f>
        <v/>
      </c>
      <c r="C33">
        <f>INDEX(Survey!$E$2:$E$179,MATCH($A33,Survey!$B$2:$B$179,0))</f>
        <v/>
      </c>
    </row>
    <row r="34">
      <c r="A34" t="inlineStr">
        <is>
          <t>RESP0095</t>
        </is>
      </c>
      <c r="B34">
        <f>INDEX(Session!$M$2:$M$261,MATCH($A34,Session!$A$2:$A$261,0))</f>
        <v/>
      </c>
      <c r="C34">
        <f>INDEX(Survey!$E$2:$E$179,MATCH($A34,Survey!$B$2:$B$179,0))</f>
        <v/>
      </c>
    </row>
    <row r="35">
      <c r="A35" t="inlineStr">
        <is>
          <t>RESP0098</t>
        </is>
      </c>
      <c r="B35">
        <f>INDEX(Session!$M$2:$M$261,MATCH($A35,Session!$A$2:$A$261,0))</f>
        <v/>
      </c>
      <c r="C35">
        <f>INDEX(Survey!$E$2:$E$179,MATCH($A35,Survey!$B$2:$B$179,0))</f>
        <v/>
      </c>
    </row>
    <row r="36">
      <c r="A36" t="inlineStr">
        <is>
          <t>RESP0102</t>
        </is>
      </c>
      <c r="B36">
        <f>INDEX(Session!$M$2:$M$261,MATCH($A36,Session!$A$2:$A$261,0))</f>
        <v/>
      </c>
      <c r="C36">
        <f>INDEX(Survey!$E$2:$E$179,MATCH($A36,Survey!$B$2:$B$179,0))</f>
        <v/>
      </c>
    </row>
    <row r="37">
      <c r="A37" t="inlineStr">
        <is>
          <t>RESP0108</t>
        </is>
      </c>
      <c r="B37">
        <f>INDEX(Session!$M$2:$M$261,MATCH($A37,Session!$A$2:$A$261,0))</f>
        <v/>
      </c>
      <c r="C37">
        <f>INDEX(Survey!$E$2:$E$179,MATCH($A37,Survey!$B$2:$B$179,0))</f>
        <v/>
      </c>
    </row>
    <row r="38">
      <c r="A38" t="inlineStr">
        <is>
          <t>RESP0109</t>
        </is>
      </c>
      <c r="B38">
        <f>INDEX(Session!$M$2:$M$261,MATCH($A38,Session!$A$2:$A$261,0))</f>
        <v/>
      </c>
      <c r="C38">
        <f>INDEX(Survey!$E$2:$E$179,MATCH($A38,Survey!$B$2:$B$179,0))</f>
        <v/>
      </c>
    </row>
    <row r="39">
      <c r="A39" t="inlineStr">
        <is>
          <t>RESP0113</t>
        </is>
      </c>
      <c r="B39">
        <f>INDEX(Session!$M$2:$M$261,MATCH($A39,Session!$A$2:$A$261,0))</f>
        <v/>
      </c>
      <c r="C39">
        <f>INDEX(Survey!$E$2:$E$179,MATCH($A39,Survey!$B$2:$B$179,0))</f>
        <v/>
      </c>
    </row>
    <row r="40">
      <c r="A40" t="inlineStr">
        <is>
          <t>RESP0114</t>
        </is>
      </c>
      <c r="B40">
        <f>INDEX(Session!$M$2:$M$261,MATCH($A40,Session!$A$2:$A$261,0))</f>
        <v/>
      </c>
      <c r="C40">
        <f>INDEX(Survey!$E$2:$E$179,MATCH($A40,Survey!$B$2:$B$179,0))</f>
        <v/>
      </c>
    </row>
    <row r="41">
      <c r="A41" t="inlineStr">
        <is>
          <t>RESP0115</t>
        </is>
      </c>
      <c r="B41">
        <f>INDEX(Session!$M$2:$M$261,MATCH($A41,Session!$A$2:$A$261,0))</f>
        <v/>
      </c>
      <c r="C41">
        <f>INDEX(Survey!$E$2:$E$179,MATCH($A41,Survey!$B$2:$B$179,0))</f>
        <v/>
      </c>
    </row>
    <row r="42">
      <c r="A42" t="inlineStr">
        <is>
          <t>RESP0122</t>
        </is>
      </c>
      <c r="B42">
        <f>INDEX(Session!$M$2:$M$261,MATCH($A42,Session!$A$2:$A$261,0))</f>
        <v/>
      </c>
      <c r="C42">
        <f>INDEX(Survey!$E$2:$E$179,MATCH($A42,Survey!$B$2:$B$179,0))</f>
        <v/>
      </c>
    </row>
    <row r="43">
      <c r="A43" t="inlineStr">
        <is>
          <t>RESP0124</t>
        </is>
      </c>
      <c r="B43">
        <f>INDEX(Session!$M$2:$M$261,MATCH($A43,Session!$A$2:$A$261,0))</f>
        <v/>
      </c>
      <c r="C43">
        <f>INDEX(Survey!$E$2:$E$179,MATCH($A43,Survey!$B$2:$B$179,0))</f>
        <v/>
      </c>
    </row>
    <row r="44">
      <c r="A44" t="inlineStr">
        <is>
          <t>RESP0141</t>
        </is>
      </c>
      <c r="B44">
        <f>INDEX(Session!$M$2:$M$261,MATCH($A44,Session!$A$2:$A$261,0))</f>
        <v/>
      </c>
      <c r="C44">
        <f>INDEX(Survey!$E$2:$E$179,MATCH($A44,Survey!$B$2:$B$179,0))</f>
        <v/>
      </c>
    </row>
    <row r="45">
      <c r="A45" t="inlineStr">
        <is>
          <t>RESP0143</t>
        </is>
      </c>
      <c r="B45">
        <f>INDEX(Session!$M$2:$M$261,MATCH($A45,Session!$A$2:$A$261,0))</f>
        <v/>
      </c>
      <c r="C45">
        <f>INDEX(Survey!$E$2:$E$179,MATCH($A45,Survey!$B$2:$B$179,0))</f>
        <v/>
      </c>
    </row>
    <row r="46">
      <c r="A46" t="inlineStr">
        <is>
          <t>RESP0145</t>
        </is>
      </c>
      <c r="B46">
        <f>INDEX(Session!$M$2:$M$261,MATCH($A46,Session!$A$2:$A$261,0))</f>
        <v/>
      </c>
      <c r="C46">
        <f>INDEX(Survey!$E$2:$E$179,MATCH($A46,Survey!$B$2:$B$179,0))</f>
        <v/>
      </c>
    </row>
    <row r="47">
      <c r="A47" t="inlineStr">
        <is>
          <t>RESP0150</t>
        </is>
      </c>
      <c r="B47">
        <f>INDEX(Session!$M$2:$M$261,MATCH($A47,Session!$A$2:$A$261,0))</f>
        <v/>
      </c>
      <c r="C47">
        <f>INDEX(Survey!$E$2:$E$179,MATCH($A47,Survey!$B$2:$B$179,0))</f>
        <v/>
      </c>
    </row>
    <row r="48">
      <c r="A48" t="inlineStr">
        <is>
          <t>RESP0154</t>
        </is>
      </c>
      <c r="B48">
        <f>INDEX(Session!$M$2:$M$261,MATCH($A48,Session!$A$2:$A$261,0))</f>
        <v/>
      </c>
      <c r="C48">
        <f>INDEX(Survey!$E$2:$E$179,MATCH($A48,Survey!$B$2:$B$179,0))</f>
        <v/>
      </c>
    </row>
    <row r="49">
      <c r="A49" t="inlineStr">
        <is>
          <t>RESP0155</t>
        </is>
      </c>
      <c r="B49">
        <f>INDEX(Session!$M$2:$M$261,MATCH($A49,Session!$A$2:$A$261,0))</f>
        <v/>
      </c>
      <c r="C49">
        <f>INDEX(Survey!$E$2:$E$179,MATCH($A49,Survey!$B$2:$B$179,0))</f>
        <v/>
      </c>
    </row>
    <row r="50">
      <c r="A50" t="inlineStr">
        <is>
          <t>RESP0164</t>
        </is>
      </c>
      <c r="B50">
        <f>INDEX(Session!$M$2:$M$261,MATCH($A50,Session!$A$2:$A$261,0))</f>
        <v/>
      </c>
      <c r="C50">
        <f>INDEX(Survey!$E$2:$E$179,MATCH($A50,Survey!$B$2:$B$179,0))</f>
        <v/>
      </c>
    </row>
    <row r="51">
      <c r="A51" t="inlineStr">
        <is>
          <t>RESP0165</t>
        </is>
      </c>
      <c r="B51">
        <f>INDEX(Session!$M$2:$M$261,MATCH($A51,Session!$A$2:$A$261,0))</f>
        <v/>
      </c>
      <c r="C51">
        <f>INDEX(Survey!$E$2:$E$179,MATCH($A51,Survey!$B$2:$B$179,0))</f>
        <v/>
      </c>
    </row>
    <row r="52">
      <c r="A52" t="inlineStr">
        <is>
          <t>RESP0167</t>
        </is>
      </c>
      <c r="B52">
        <f>INDEX(Session!$M$2:$M$261,MATCH($A52,Session!$A$2:$A$261,0))</f>
        <v/>
      </c>
      <c r="C52">
        <f>INDEX(Survey!$E$2:$E$179,MATCH($A52,Survey!$B$2:$B$179,0))</f>
        <v/>
      </c>
    </row>
    <row r="53">
      <c r="A53" t="inlineStr">
        <is>
          <t>RESP0168</t>
        </is>
      </c>
      <c r="B53">
        <f>INDEX(Session!$M$2:$M$261,MATCH($A53,Session!$A$2:$A$261,0))</f>
        <v/>
      </c>
      <c r="C53">
        <f>INDEX(Survey!$E$2:$E$179,MATCH($A53,Survey!$B$2:$B$179,0))</f>
        <v/>
      </c>
    </row>
    <row r="54">
      <c r="A54" t="inlineStr">
        <is>
          <t>RESP0170</t>
        </is>
      </c>
      <c r="B54">
        <f>INDEX(Session!$M$2:$M$261,MATCH($A54,Session!$A$2:$A$261,0))</f>
        <v/>
      </c>
      <c r="C54">
        <f>INDEX(Survey!$E$2:$E$179,MATCH($A54,Survey!$B$2:$B$179,0))</f>
        <v/>
      </c>
    </row>
    <row r="55">
      <c r="A55" t="inlineStr">
        <is>
          <t>RESP0175</t>
        </is>
      </c>
      <c r="B55">
        <f>INDEX(Session!$M$2:$M$261,MATCH($A55,Session!$A$2:$A$261,0))</f>
        <v/>
      </c>
      <c r="C55">
        <f>INDEX(Survey!$E$2:$E$179,MATCH($A55,Survey!$B$2:$B$179,0))</f>
        <v/>
      </c>
    </row>
    <row r="56">
      <c r="A56" t="inlineStr">
        <is>
          <t>RESP0176</t>
        </is>
      </c>
      <c r="B56">
        <f>INDEX(Session!$M$2:$M$261,MATCH($A56,Session!$A$2:$A$261,0))</f>
        <v/>
      </c>
      <c r="C56">
        <f>INDEX(Survey!$E$2:$E$179,MATCH($A56,Survey!$B$2:$B$179,0))</f>
        <v/>
      </c>
    </row>
    <row r="57">
      <c r="A57" t="inlineStr">
        <is>
          <t>RESP0178</t>
        </is>
      </c>
      <c r="B57">
        <f>INDEX(Session!$M$2:$M$261,MATCH($A57,Session!$A$2:$A$261,0))</f>
        <v/>
      </c>
      <c r="C57">
        <f>INDEX(Survey!$E$2:$E$179,MATCH($A57,Survey!$B$2:$B$179,0))</f>
        <v/>
      </c>
    </row>
    <row r="58">
      <c r="A58" t="inlineStr">
        <is>
          <t>RESP0179</t>
        </is>
      </c>
      <c r="B58">
        <f>INDEX(Session!$M$2:$M$261,MATCH($A58,Session!$A$2:$A$261,0))</f>
        <v/>
      </c>
      <c r="C58">
        <f>INDEX(Survey!$E$2:$E$179,MATCH($A58,Survey!$B$2:$B$179,0))</f>
        <v/>
      </c>
    </row>
    <row r="59">
      <c r="A59" t="inlineStr">
        <is>
          <t>RESP0181</t>
        </is>
      </c>
      <c r="B59">
        <f>INDEX(Session!$M$2:$M$261,MATCH($A59,Session!$A$2:$A$261,0))</f>
        <v/>
      </c>
      <c r="C59">
        <f>INDEX(Survey!$E$2:$E$179,MATCH($A59,Survey!$B$2:$B$179,0))</f>
        <v/>
      </c>
    </row>
    <row r="60">
      <c r="A60" t="inlineStr">
        <is>
          <t>RESP0190</t>
        </is>
      </c>
      <c r="B60">
        <f>INDEX(Session!$M$2:$M$261,MATCH($A60,Session!$A$2:$A$261,0))</f>
        <v/>
      </c>
      <c r="C60">
        <f>INDEX(Survey!$E$2:$E$179,MATCH($A60,Survey!$B$2:$B$179,0))</f>
        <v/>
      </c>
    </row>
    <row r="61">
      <c r="A61" t="inlineStr">
        <is>
          <t>RESP0193</t>
        </is>
      </c>
      <c r="B61">
        <f>INDEX(Session!$M$2:$M$261,MATCH($A61,Session!$A$2:$A$261,0))</f>
        <v/>
      </c>
      <c r="C61">
        <f>INDEX(Survey!$E$2:$E$179,MATCH($A61,Survey!$B$2:$B$179,0))</f>
        <v/>
      </c>
    </row>
    <row r="62">
      <c r="A62" t="inlineStr">
        <is>
          <t>RESP0197</t>
        </is>
      </c>
      <c r="B62">
        <f>INDEX(Session!$M$2:$M$261,MATCH($A62,Session!$A$2:$A$261,0))</f>
        <v/>
      </c>
      <c r="C62">
        <f>INDEX(Survey!$E$2:$E$179,MATCH($A62,Survey!$B$2:$B$179,0))</f>
        <v/>
      </c>
    </row>
    <row r="63">
      <c r="A63" t="inlineStr">
        <is>
          <t>RESP0201</t>
        </is>
      </c>
      <c r="B63">
        <f>INDEX(Session!$M$2:$M$261,MATCH($A63,Session!$A$2:$A$261,0))</f>
        <v/>
      </c>
      <c r="C63">
        <f>INDEX(Survey!$E$2:$E$179,MATCH($A63,Survey!$B$2:$B$179,0))</f>
        <v/>
      </c>
    </row>
    <row r="64">
      <c r="A64" t="inlineStr">
        <is>
          <t>RESP0204</t>
        </is>
      </c>
      <c r="B64">
        <f>INDEX(Session!$M$2:$M$261,MATCH($A64,Session!$A$2:$A$261,0))</f>
        <v/>
      </c>
      <c r="C64">
        <f>INDEX(Survey!$E$2:$E$179,MATCH($A64,Survey!$B$2:$B$179,0))</f>
        <v/>
      </c>
    </row>
    <row r="65">
      <c r="A65" t="inlineStr">
        <is>
          <t>RESP0207</t>
        </is>
      </c>
      <c r="B65">
        <f>INDEX(Session!$M$2:$M$261,MATCH($A65,Session!$A$2:$A$261,0))</f>
        <v/>
      </c>
      <c r="C65">
        <f>INDEX(Survey!$E$2:$E$179,MATCH($A65,Survey!$B$2:$B$179,0))</f>
        <v/>
      </c>
    </row>
    <row r="66">
      <c r="A66" t="inlineStr">
        <is>
          <t>RESP0212</t>
        </is>
      </c>
      <c r="B66">
        <f>INDEX(Session!$M$2:$M$261,MATCH($A66,Session!$A$2:$A$261,0))</f>
        <v/>
      </c>
      <c r="C66">
        <f>INDEX(Survey!$E$2:$E$179,MATCH($A66,Survey!$B$2:$B$179,0))</f>
        <v/>
      </c>
    </row>
    <row r="67">
      <c r="A67" t="inlineStr">
        <is>
          <t>RESP0224</t>
        </is>
      </c>
      <c r="B67">
        <f>INDEX(Session!$M$2:$M$261,MATCH($A67,Session!$A$2:$A$261,0))</f>
        <v/>
      </c>
      <c r="C67">
        <f>INDEX(Survey!$E$2:$E$179,MATCH($A67,Survey!$B$2:$B$179,0))</f>
        <v/>
      </c>
    </row>
    <row r="68">
      <c r="A68" t="inlineStr">
        <is>
          <t>RESP0226</t>
        </is>
      </c>
      <c r="B68">
        <f>INDEX(Session!$M$2:$M$261,MATCH($A68,Session!$A$2:$A$261,0))</f>
        <v/>
      </c>
      <c r="C68">
        <f>INDEX(Survey!$E$2:$E$179,MATCH($A68,Survey!$B$2:$B$179,0))</f>
        <v/>
      </c>
    </row>
    <row r="69">
      <c r="A69" t="inlineStr">
        <is>
          <t>RESP0227</t>
        </is>
      </c>
      <c r="B69">
        <f>INDEX(Session!$M$2:$M$261,MATCH($A69,Session!$A$2:$A$261,0))</f>
        <v/>
      </c>
      <c r="C69">
        <f>INDEX(Survey!$E$2:$E$179,MATCH($A69,Survey!$B$2:$B$179,0))</f>
        <v/>
      </c>
    </row>
    <row r="70">
      <c r="A70" t="inlineStr">
        <is>
          <t>RESP0234</t>
        </is>
      </c>
      <c r="B70">
        <f>INDEX(Session!$M$2:$M$261,MATCH($A70,Session!$A$2:$A$261,0))</f>
        <v/>
      </c>
      <c r="C70">
        <f>INDEX(Survey!$E$2:$E$179,MATCH($A70,Survey!$B$2:$B$179,0))</f>
        <v/>
      </c>
    </row>
    <row r="71">
      <c r="A71" t="inlineStr">
        <is>
          <t>RESP0245</t>
        </is>
      </c>
      <c r="B71">
        <f>INDEX(Session!$M$2:$M$261,MATCH($A71,Session!$A$2:$A$261,0))</f>
        <v/>
      </c>
      <c r="C71">
        <f>INDEX(Survey!$E$2:$E$179,MATCH($A71,Survey!$B$2:$B$179,0))</f>
        <v/>
      </c>
    </row>
    <row r="72">
      <c r="A72" t="inlineStr">
        <is>
          <t>RESP0251</t>
        </is>
      </c>
      <c r="B72">
        <f>INDEX(Session!$M$2:$M$261,MATCH($A72,Session!$A$2:$A$261,0))</f>
        <v/>
      </c>
      <c r="C72">
        <f>INDEX(Survey!$E$2:$E$179,MATCH($A72,Survey!$B$2:$B$179,0))</f>
        <v/>
      </c>
    </row>
    <row r="73">
      <c r="A73" t="inlineStr">
        <is>
          <t>RESP0255</t>
        </is>
      </c>
      <c r="B73">
        <f>INDEX(Session!$M$2:$M$261,MATCH($A73,Session!$A$2:$A$261,0))</f>
        <v/>
      </c>
      <c r="C73">
        <f>INDEX(Survey!$E$2:$E$179,MATCH($A73,Survey!$B$2:$B$179,0))</f>
        <v/>
      </c>
    </row>
    <row r="74">
      <c r="A74" t="inlineStr">
        <is>
          <t>RESP0001</t>
        </is>
      </c>
      <c r="B74">
        <f>INDEX(Session!$M$2:$M$261,MATCH($A74,Session!$A$2:$A$261,0))</f>
        <v/>
      </c>
      <c r="C74">
        <f>INDEX(Survey!$E$2:$E$179,MATCH($A74,Survey!$B$2:$B$179,0))</f>
        <v/>
      </c>
    </row>
    <row r="75">
      <c r="A75" t="inlineStr">
        <is>
          <t>RESP0004</t>
        </is>
      </c>
      <c r="B75">
        <f>INDEX(Session!$M$2:$M$261,MATCH($A75,Session!$A$2:$A$261,0))</f>
        <v/>
      </c>
      <c r="C75">
        <f>INDEX(Survey!$E$2:$E$179,MATCH($A75,Survey!$B$2:$B$179,0))</f>
        <v/>
      </c>
    </row>
    <row r="76">
      <c r="A76" t="inlineStr">
        <is>
          <t>RESP0005</t>
        </is>
      </c>
      <c r="B76">
        <f>INDEX(Session!$M$2:$M$261,MATCH($A76,Session!$A$2:$A$261,0))</f>
        <v/>
      </c>
      <c r="C76">
        <f>INDEX(Survey!$E$2:$E$179,MATCH($A76,Survey!$B$2:$B$179,0))</f>
        <v/>
      </c>
    </row>
    <row r="77">
      <c r="A77" t="inlineStr">
        <is>
          <t>RESP0006</t>
        </is>
      </c>
      <c r="B77">
        <f>INDEX(Session!$M$2:$M$261,MATCH($A77,Session!$A$2:$A$261,0))</f>
        <v/>
      </c>
      <c r="C77">
        <f>INDEX(Survey!$E$2:$E$179,MATCH($A77,Survey!$B$2:$B$179,0))</f>
        <v/>
      </c>
    </row>
    <row r="78">
      <c r="A78" t="inlineStr">
        <is>
          <t>RESP0012</t>
        </is>
      </c>
      <c r="B78">
        <f>INDEX(Session!$M$2:$M$261,MATCH($A78,Session!$A$2:$A$261,0))</f>
        <v/>
      </c>
      <c r="C78">
        <f>INDEX(Survey!$E$2:$E$179,MATCH($A78,Survey!$B$2:$B$179,0))</f>
        <v/>
      </c>
    </row>
    <row r="79">
      <c r="A79" t="inlineStr">
        <is>
          <t>RESP0013</t>
        </is>
      </c>
      <c r="B79">
        <f>INDEX(Session!$M$2:$M$261,MATCH($A79,Session!$A$2:$A$261,0))</f>
        <v/>
      </c>
      <c r="C79">
        <f>INDEX(Survey!$E$2:$E$179,MATCH($A79,Survey!$B$2:$B$179,0))</f>
        <v/>
      </c>
    </row>
    <row r="80">
      <c r="A80" t="inlineStr">
        <is>
          <t>RESP0014</t>
        </is>
      </c>
      <c r="B80">
        <f>INDEX(Session!$M$2:$M$261,MATCH($A80,Session!$A$2:$A$261,0))</f>
        <v/>
      </c>
      <c r="C80">
        <f>INDEX(Survey!$E$2:$E$179,MATCH($A80,Survey!$B$2:$B$179,0))</f>
        <v/>
      </c>
    </row>
    <row r="81">
      <c r="A81" t="inlineStr">
        <is>
          <t>RESP0016</t>
        </is>
      </c>
      <c r="B81">
        <f>INDEX(Session!$M$2:$M$261,MATCH($A81,Session!$A$2:$A$261,0))</f>
        <v/>
      </c>
      <c r="C81">
        <f>INDEX(Survey!$E$2:$E$179,MATCH($A81,Survey!$B$2:$B$179,0))</f>
        <v/>
      </c>
    </row>
    <row r="82">
      <c r="A82" t="inlineStr">
        <is>
          <t>RESP0024</t>
        </is>
      </c>
      <c r="B82">
        <f>INDEX(Session!$M$2:$M$261,MATCH($A82,Session!$A$2:$A$261,0))</f>
        <v/>
      </c>
      <c r="C82">
        <f>INDEX(Survey!$E$2:$E$179,MATCH($A82,Survey!$B$2:$B$179,0))</f>
        <v/>
      </c>
    </row>
    <row r="83">
      <c r="A83" t="inlineStr">
        <is>
          <t>RESP0029</t>
        </is>
      </c>
      <c r="B83">
        <f>INDEX(Session!$M$2:$M$261,MATCH($A83,Session!$A$2:$A$261,0))</f>
        <v/>
      </c>
      <c r="C83">
        <f>INDEX(Survey!$E$2:$E$179,MATCH($A83,Survey!$B$2:$B$179,0))</f>
        <v/>
      </c>
    </row>
    <row r="84">
      <c r="A84" t="inlineStr">
        <is>
          <t>RESP0037</t>
        </is>
      </c>
      <c r="B84">
        <f>INDEX(Session!$M$2:$M$261,MATCH($A84,Session!$A$2:$A$261,0))</f>
        <v/>
      </c>
      <c r="C84">
        <f>INDEX(Survey!$E$2:$E$179,MATCH($A84,Survey!$B$2:$B$179,0))</f>
        <v/>
      </c>
    </row>
    <row r="85">
      <c r="A85" t="inlineStr">
        <is>
          <t>RESP0046</t>
        </is>
      </c>
      <c r="B85">
        <f>INDEX(Session!$M$2:$M$261,MATCH($A85,Session!$A$2:$A$261,0))</f>
        <v/>
      </c>
      <c r="C85">
        <f>INDEX(Survey!$E$2:$E$179,MATCH($A85,Survey!$B$2:$B$179,0))</f>
        <v/>
      </c>
    </row>
    <row r="86">
      <c r="A86" t="inlineStr">
        <is>
          <t>RESP0052</t>
        </is>
      </c>
      <c r="B86">
        <f>INDEX(Session!$M$2:$M$261,MATCH($A86,Session!$A$2:$A$261,0))</f>
        <v/>
      </c>
      <c r="C86">
        <f>INDEX(Survey!$E$2:$E$179,MATCH($A86,Survey!$B$2:$B$179,0))</f>
        <v/>
      </c>
    </row>
    <row r="87">
      <c r="A87" t="inlineStr">
        <is>
          <t>RESP0055</t>
        </is>
      </c>
      <c r="B87">
        <f>INDEX(Session!$M$2:$M$261,MATCH($A87,Session!$A$2:$A$261,0))</f>
        <v/>
      </c>
      <c r="C87">
        <f>INDEX(Survey!$E$2:$E$179,MATCH($A87,Survey!$B$2:$B$179,0))</f>
        <v/>
      </c>
    </row>
    <row r="88">
      <c r="A88" t="inlineStr">
        <is>
          <t>RESP0056</t>
        </is>
      </c>
      <c r="B88">
        <f>INDEX(Session!$M$2:$M$261,MATCH($A88,Session!$A$2:$A$261,0))</f>
        <v/>
      </c>
      <c r="C88">
        <f>INDEX(Survey!$E$2:$E$179,MATCH($A88,Survey!$B$2:$B$179,0))</f>
        <v/>
      </c>
    </row>
    <row r="89">
      <c r="A89" t="inlineStr">
        <is>
          <t>RESP0058</t>
        </is>
      </c>
      <c r="B89">
        <f>INDEX(Session!$M$2:$M$261,MATCH($A89,Session!$A$2:$A$261,0))</f>
        <v/>
      </c>
      <c r="C89">
        <f>INDEX(Survey!$E$2:$E$179,MATCH($A89,Survey!$B$2:$B$179,0))</f>
        <v/>
      </c>
    </row>
    <row r="90">
      <c r="A90" t="inlineStr">
        <is>
          <t>RESP0061</t>
        </is>
      </c>
      <c r="B90">
        <f>INDEX(Session!$M$2:$M$261,MATCH($A90,Session!$A$2:$A$261,0))</f>
        <v/>
      </c>
      <c r="C90">
        <f>INDEX(Survey!$E$2:$E$179,MATCH($A90,Survey!$B$2:$B$179,0))</f>
        <v/>
      </c>
    </row>
    <row r="91">
      <c r="A91" t="inlineStr">
        <is>
          <t>RESP0062</t>
        </is>
      </c>
      <c r="B91">
        <f>INDEX(Session!$M$2:$M$261,MATCH($A91,Session!$A$2:$A$261,0))</f>
        <v/>
      </c>
      <c r="C91">
        <f>INDEX(Survey!$E$2:$E$179,MATCH($A91,Survey!$B$2:$B$179,0))</f>
        <v/>
      </c>
    </row>
    <row r="92">
      <c r="A92" t="inlineStr">
        <is>
          <t>RESP0063</t>
        </is>
      </c>
      <c r="B92">
        <f>INDEX(Session!$M$2:$M$261,MATCH($A92,Session!$A$2:$A$261,0))</f>
        <v/>
      </c>
      <c r="C92">
        <f>INDEX(Survey!$E$2:$E$179,MATCH($A92,Survey!$B$2:$B$179,0))</f>
        <v/>
      </c>
    </row>
    <row r="93">
      <c r="A93" t="inlineStr">
        <is>
          <t>RESP0064</t>
        </is>
      </c>
      <c r="B93">
        <f>INDEX(Session!$M$2:$M$261,MATCH($A93,Session!$A$2:$A$261,0))</f>
        <v/>
      </c>
      <c r="C93">
        <f>INDEX(Survey!$E$2:$E$179,MATCH($A93,Survey!$B$2:$B$179,0))</f>
        <v/>
      </c>
    </row>
    <row r="94">
      <c r="A94" t="inlineStr">
        <is>
          <t>RESP0071</t>
        </is>
      </c>
      <c r="B94">
        <f>INDEX(Session!$M$2:$M$261,MATCH($A94,Session!$A$2:$A$261,0))</f>
        <v/>
      </c>
      <c r="C94">
        <f>INDEX(Survey!$E$2:$E$179,MATCH($A94,Survey!$B$2:$B$179,0))</f>
        <v/>
      </c>
    </row>
    <row r="95">
      <c r="A95" t="inlineStr">
        <is>
          <t>RESP0074</t>
        </is>
      </c>
      <c r="B95">
        <f>INDEX(Session!$M$2:$M$261,MATCH($A95,Session!$A$2:$A$261,0))</f>
        <v/>
      </c>
      <c r="C95">
        <f>INDEX(Survey!$E$2:$E$179,MATCH($A95,Survey!$B$2:$B$179,0))</f>
        <v/>
      </c>
    </row>
    <row r="96">
      <c r="A96" t="inlineStr">
        <is>
          <t>RESP0081</t>
        </is>
      </c>
      <c r="B96">
        <f>INDEX(Session!$M$2:$M$261,MATCH($A96,Session!$A$2:$A$261,0))</f>
        <v/>
      </c>
      <c r="C96">
        <f>INDEX(Survey!$E$2:$E$179,MATCH($A96,Survey!$B$2:$B$179,0))</f>
        <v/>
      </c>
    </row>
    <row r="97">
      <c r="A97" t="inlineStr">
        <is>
          <t>RESP0085</t>
        </is>
      </c>
      <c r="B97">
        <f>INDEX(Session!$M$2:$M$261,MATCH($A97,Session!$A$2:$A$261,0))</f>
        <v/>
      </c>
      <c r="C97">
        <f>INDEX(Survey!$E$2:$E$179,MATCH($A97,Survey!$B$2:$B$179,0))</f>
        <v/>
      </c>
    </row>
    <row r="98">
      <c r="A98" t="inlineStr">
        <is>
          <t>RESP0090</t>
        </is>
      </c>
      <c r="B98">
        <f>INDEX(Session!$M$2:$M$261,MATCH($A98,Session!$A$2:$A$261,0))</f>
        <v/>
      </c>
      <c r="C98">
        <f>INDEX(Survey!$E$2:$E$179,MATCH($A98,Survey!$B$2:$B$179,0))</f>
        <v/>
      </c>
    </row>
    <row r="99">
      <c r="A99" t="inlineStr">
        <is>
          <t>RESP0094</t>
        </is>
      </c>
      <c r="B99">
        <f>INDEX(Session!$M$2:$M$261,MATCH($A99,Session!$A$2:$A$261,0))</f>
        <v/>
      </c>
      <c r="C99">
        <f>INDEX(Survey!$E$2:$E$179,MATCH($A99,Survey!$B$2:$B$179,0))</f>
        <v/>
      </c>
    </row>
    <row r="100">
      <c r="A100" t="inlineStr">
        <is>
          <t>RESP0099</t>
        </is>
      </c>
      <c r="B100">
        <f>INDEX(Session!$M$2:$M$261,MATCH($A100,Session!$A$2:$A$261,0))</f>
        <v/>
      </c>
      <c r="C100">
        <f>INDEX(Survey!$E$2:$E$179,MATCH($A100,Survey!$B$2:$B$179,0))</f>
        <v/>
      </c>
    </row>
    <row r="101">
      <c r="A101" t="inlineStr">
        <is>
          <t>RESP0111</t>
        </is>
      </c>
      <c r="B101">
        <f>INDEX(Session!$M$2:$M$261,MATCH($A101,Session!$A$2:$A$261,0))</f>
        <v/>
      </c>
      <c r="C101">
        <f>INDEX(Survey!$E$2:$E$179,MATCH($A101,Survey!$B$2:$B$179,0))</f>
        <v/>
      </c>
    </row>
    <row r="102">
      <c r="A102" t="inlineStr">
        <is>
          <t>RESP0112</t>
        </is>
      </c>
      <c r="B102">
        <f>INDEX(Session!$M$2:$M$261,MATCH($A102,Session!$A$2:$A$261,0))</f>
        <v/>
      </c>
      <c r="C102">
        <f>INDEX(Survey!$E$2:$E$179,MATCH($A102,Survey!$B$2:$B$179,0))</f>
        <v/>
      </c>
    </row>
    <row r="103">
      <c r="A103" t="inlineStr">
        <is>
          <t>RESP0117</t>
        </is>
      </c>
      <c r="B103">
        <f>INDEX(Session!$M$2:$M$261,MATCH($A103,Session!$A$2:$A$261,0))</f>
        <v/>
      </c>
      <c r="C103">
        <f>INDEX(Survey!$E$2:$E$179,MATCH($A103,Survey!$B$2:$B$179,0))</f>
        <v/>
      </c>
    </row>
    <row r="104">
      <c r="A104" t="inlineStr">
        <is>
          <t>RESP0118</t>
        </is>
      </c>
      <c r="B104">
        <f>INDEX(Session!$M$2:$M$261,MATCH($A104,Session!$A$2:$A$261,0))</f>
        <v/>
      </c>
      <c r="C104">
        <f>INDEX(Survey!$E$2:$E$179,MATCH($A104,Survey!$B$2:$B$179,0))</f>
        <v/>
      </c>
    </row>
    <row r="105">
      <c r="A105" t="inlineStr">
        <is>
          <t>RESP0120</t>
        </is>
      </c>
      <c r="B105">
        <f>INDEX(Session!$M$2:$M$261,MATCH($A105,Session!$A$2:$A$261,0))</f>
        <v/>
      </c>
      <c r="C105">
        <f>INDEX(Survey!$E$2:$E$179,MATCH($A105,Survey!$B$2:$B$179,0))</f>
        <v/>
      </c>
    </row>
    <row r="106">
      <c r="A106" t="inlineStr">
        <is>
          <t>RESP0123</t>
        </is>
      </c>
      <c r="B106">
        <f>INDEX(Session!$M$2:$M$261,MATCH($A106,Session!$A$2:$A$261,0))</f>
        <v/>
      </c>
      <c r="C106">
        <f>INDEX(Survey!$E$2:$E$179,MATCH($A106,Survey!$B$2:$B$179,0))</f>
        <v/>
      </c>
    </row>
    <row r="107">
      <c r="A107" t="inlineStr">
        <is>
          <t>RESP0125</t>
        </is>
      </c>
      <c r="B107">
        <f>INDEX(Session!$M$2:$M$261,MATCH($A107,Session!$A$2:$A$261,0))</f>
        <v/>
      </c>
      <c r="C107">
        <f>INDEX(Survey!$E$2:$E$179,MATCH($A107,Survey!$B$2:$B$179,0))</f>
        <v/>
      </c>
    </row>
    <row r="108">
      <c r="A108" t="inlineStr">
        <is>
          <t>RESP0129</t>
        </is>
      </c>
      <c r="B108">
        <f>INDEX(Session!$M$2:$M$261,MATCH($A108,Session!$A$2:$A$261,0))</f>
        <v/>
      </c>
      <c r="C108">
        <f>INDEX(Survey!$E$2:$E$179,MATCH($A108,Survey!$B$2:$B$179,0))</f>
        <v/>
      </c>
    </row>
    <row r="109">
      <c r="A109" t="inlineStr">
        <is>
          <t>RESP0131</t>
        </is>
      </c>
      <c r="B109">
        <f>INDEX(Session!$M$2:$M$261,MATCH($A109,Session!$A$2:$A$261,0))</f>
        <v/>
      </c>
      <c r="C109">
        <f>INDEX(Survey!$E$2:$E$179,MATCH($A109,Survey!$B$2:$B$179,0))</f>
        <v/>
      </c>
    </row>
    <row r="110">
      <c r="A110" t="inlineStr">
        <is>
          <t>RESP0133</t>
        </is>
      </c>
      <c r="B110">
        <f>INDEX(Session!$M$2:$M$261,MATCH($A110,Session!$A$2:$A$261,0))</f>
        <v/>
      </c>
      <c r="C110">
        <f>INDEX(Survey!$E$2:$E$179,MATCH($A110,Survey!$B$2:$B$179,0))</f>
        <v/>
      </c>
    </row>
    <row r="111">
      <c r="A111" t="inlineStr">
        <is>
          <t>RESP0137</t>
        </is>
      </c>
      <c r="B111">
        <f>INDEX(Session!$M$2:$M$261,MATCH($A111,Session!$A$2:$A$261,0))</f>
        <v/>
      </c>
      <c r="C111">
        <f>INDEX(Survey!$E$2:$E$179,MATCH($A111,Survey!$B$2:$B$179,0))</f>
        <v/>
      </c>
    </row>
    <row r="112">
      <c r="A112" t="inlineStr">
        <is>
          <t>RESP0140</t>
        </is>
      </c>
      <c r="B112">
        <f>INDEX(Session!$M$2:$M$261,MATCH($A112,Session!$A$2:$A$261,0))</f>
        <v/>
      </c>
      <c r="C112">
        <f>INDEX(Survey!$E$2:$E$179,MATCH($A112,Survey!$B$2:$B$179,0))</f>
        <v/>
      </c>
    </row>
    <row r="113">
      <c r="A113" t="inlineStr">
        <is>
          <t>RESP0142</t>
        </is>
      </c>
      <c r="B113">
        <f>INDEX(Session!$M$2:$M$261,MATCH($A113,Session!$A$2:$A$261,0))</f>
        <v/>
      </c>
      <c r="C113">
        <f>INDEX(Survey!$E$2:$E$179,MATCH($A113,Survey!$B$2:$B$179,0))</f>
        <v/>
      </c>
    </row>
    <row r="114">
      <c r="A114" t="inlineStr">
        <is>
          <t>RESP0144</t>
        </is>
      </c>
      <c r="B114">
        <f>INDEX(Session!$M$2:$M$261,MATCH($A114,Session!$A$2:$A$261,0))</f>
        <v/>
      </c>
      <c r="C114">
        <f>INDEX(Survey!$E$2:$E$179,MATCH($A114,Survey!$B$2:$B$179,0))</f>
        <v/>
      </c>
    </row>
    <row r="115">
      <c r="A115" t="inlineStr">
        <is>
          <t>RESP0149</t>
        </is>
      </c>
      <c r="B115">
        <f>INDEX(Session!$M$2:$M$261,MATCH($A115,Session!$A$2:$A$261,0))</f>
        <v/>
      </c>
      <c r="C115">
        <f>INDEX(Survey!$E$2:$E$179,MATCH($A115,Survey!$B$2:$B$179,0))</f>
        <v/>
      </c>
    </row>
    <row r="116">
      <c r="A116" t="inlineStr">
        <is>
          <t>RESP0151</t>
        </is>
      </c>
      <c r="B116">
        <f>INDEX(Session!$M$2:$M$261,MATCH($A116,Session!$A$2:$A$261,0))</f>
        <v/>
      </c>
      <c r="C116">
        <f>INDEX(Survey!$E$2:$E$179,MATCH($A116,Survey!$B$2:$B$179,0))</f>
        <v/>
      </c>
    </row>
    <row r="117">
      <c r="A117" t="inlineStr">
        <is>
          <t>RESP0163</t>
        </is>
      </c>
      <c r="B117">
        <f>INDEX(Session!$M$2:$M$261,MATCH($A117,Session!$A$2:$A$261,0))</f>
        <v/>
      </c>
      <c r="C117">
        <f>INDEX(Survey!$E$2:$E$179,MATCH($A117,Survey!$B$2:$B$179,0))</f>
        <v/>
      </c>
    </row>
    <row r="118">
      <c r="A118" t="inlineStr">
        <is>
          <t>RESP0166</t>
        </is>
      </c>
      <c r="B118">
        <f>INDEX(Session!$M$2:$M$261,MATCH($A118,Session!$A$2:$A$261,0))</f>
        <v/>
      </c>
      <c r="C118">
        <f>INDEX(Survey!$E$2:$E$179,MATCH($A118,Survey!$B$2:$B$179,0))</f>
        <v/>
      </c>
    </row>
    <row r="119">
      <c r="A119" t="inlineStr">
        <is>
          <t>RESP0169</t>
        </is>
      </c>
      <c r="B119">
        <f>INDEX(Session!$M$2:$M$261,MATCH($A119,Session!$A$2:$A$261,0))</f>
        <v/>
      </c>
      <c r="C119">
        <f>INDEX(Survey!$E$2:$E$179,MATCH($A119,Survey!$B$2:$B$179,0))</f>
        <v/>
      </c>
    </row>
    <row r="120">
      <c r="A120" t="inlineStr">
        <is>
          <t>RESP0177</t>
        </is>
      </c>
      <c r="B120">
        <f>INDEX(Session!$M$2:$M$261,MATCH($A120,Session!$A$2:$A$261,0))</f>
        <v/>
      </c>
      <c r="C120">
        <f>INDEX(Survey!$E$2:$E$179,MATCH($A120,Survey!$B$2:$B$179,0))</f>
        <v/>
      </c>
    </row>
    <row r="121">
      <c r="A121" t="inlineStr">
        <is>
          <t>RESP0180</t>
        </is>
      </c>
      <c r="B121">
        <f>INDEX(Session!$M$2:$M$261,MATCH($A121,Session!$A$2:$A$261,0))</f>
        <v/>
      </c>
      <c r="C121">
        <f>INDEX(Survey!$E$2:$E$179,MATCH($A121,Survey!$B$2:$B$179,0))</f>
        <v/>
      </c>
    </row>
    <row r="122">
      <c r="A122" t="inlineStr">
        <is>
          <t>RESP0184</t>
        </is>
      </c>
      <c r="B122">
        <f>INDEX(Session!$M$2:$M$261,MATCH($A122,Session!$A$2:$A$261,0))</f>
        <v/>
      </c>
      <c r="C122">
        <f>INDEX(Survey!$E$2:$E$179,MATCH($A122,Survey!$B$2:$B$179,0))</f>
        <v/>
      </c>
    </row>
    <row r="123">
      <c r="A123" t="inlineStr">
        <is>
          <t>RESP0186</t>
        </is>
      </c>
      <c r="B123">
        <f>INDEX(Session!$M$2:$M$261,MATCH($A123,Session!$A$2:$A$261,0))</f>
        <v/>
      </c>
      <c r="C123">
        <f>INDEX(Survey!$E$2:$E$179,MATCH($A123,Survey!$B$2:$B$179,0))</f>
        <v/>
      </c>
    </row>
    <row r="124">
      <c r="A124" t="inlineStr">
        <is>
          <t>RESP0189</t>
        </is>
      </c>
      <c r="B124">
        <f>INDEX(Session!$M$2:$M$261,MATCH($A124,Session!$A$2:$A$261,0))</f>
        <v/>
      </c>
      <c r="C124">
        <f>INDEX(Survey!$E$2:$E$179,MATCH($A124,Survey!$B$2:$B$179,0))</f>
        <v/>
      </c>
    </row>
    <row r="125">
      <c r="A125" t="inlineStr">
        <is>
          <t>RESP0195</t>
        </is>
      </c>
      <c r="B125">
        <f>INDEX(Session!$M$2:$M$261,MATCH($A125,Session!$A$2:$A$261,0))</f>
        <v/>
      </c>
      <c r="C125">
        <f>INDEX(Survey!$E$2:$E$179,MATCH($A125,Survey!$B$2:$B$179,0))</f>
        <v/>
      </c>
    </row>
    <row r="126">
      <c r="A126" t="inlineStr">
        <is>
          <t>RESP0196</t>
        </is>
      </c>
      <c r="B126">
        <f>INDEX(Session!$M$2:$M$261,MATCH($A126,Session!$A$2:$A$261,0))</f>
        <v/>
      </c>
      <c r="C126">
        <f>INDEX(Survey!$E$2:$E$179,MATCH($A126,Survey!$B$2:$B$179,0))</f>
        <v/>
      </c>
    </row>
    <row r="127">
      <c r="A127" t="inlineStr">
        <is>
          <t>RESP0198</t>
        </is>
      </c>
      <c r="B127">
        <f>INDEX(Session!$M$2:$M$261,MATCH($A127,Session!$A$2:$A$261,0))</f>
        <v/>
      </c>
      <c r="C127">
        <f>INDEX(Survey!$E$2:$E$179,MATCH($A127,Survey!$B$2:$B$179,0))</f>
        <v/>
      </c>
    </row>
    <row r="128">
      <c r="A128" t="inlineStr">
        <is>
          <t>RESP0199</t>
        </is>
      </c>
      <c r="B128">
        <f>INDEX(Session!$M$2:$M$261,MATCH($A128,Session!$A$2:$A$261,0))</f>
        <v/>
      </c>
      <c r="C128">
        <f>INDEX(Survey!$E$2:$E$179,MATCH($A128,Survey!$B$2:$B$179,0))</f>
        <v/>
      </c>
    </row>
    <row r="129">
      <c r="A129" t="inlineStr">
        <is>
          <t>RESP0203</t>
        </is>
      </c>
      <c r="B129">
        <f>INDEX(Session!$M$2:$M$261,MATCH($A129,Session!$A$2:$A$261,0))</f>
        <v/>
      </c>
      <c r="C129">
        <f>INDEX(Survey!$E$2:$E$179,MATCH($A129,Survey!$B$2:$B$179,0))</f>
        <v/>
      </c>
    </row>
    <row r="130">
      <c r="A130" t="inlineStr">
        <is>
          <t>RESP0206</t>
        </is>
      </c>
      <c r="B130">
        <f>INDEX(Session!$M$2:$M$261,MATCH($A130,Session!$A$2:$A$261,0))</f>
        <v/>
      </c>
      <c r="C130">
        <f>INDEX(Survey!$E$2:$E$179,MATCH($A130,Survey!$B$2:$B$179,0))</f>
        <v/>
      </c>
    </row>
    <row r="131">
      <c r="A131" t="inlineStr">
        <is>
          <t>RESP0208</t>
        </is>
      </c>
      <c r="B131">
        <f>INDEX(Session!$M$2:$M$261,MATCH($A131,Session!$A$2:$A$261,0))</f>
        <v/>
      </c>
      <c r="C131">
        <f>INDEX(Survey!$E$2:$E$179,MATCH($A131,Survey!$B$2:$B$179,0))</f>
        <v/>
      </c>
    </row>
    <row r="132">
      <c r="A132" t="inlineStr">
        <is>
          <t>RESP0211</t>
        </is>
      </c>
      <c r="B132">
        <f>INDEX(Session!$M$2:$M$261,MATCH($A132,Session!$A$2:$A$261,0))</f>
        <v/>
      </c>
      <c r="C132">
        <f>INDEX(Survey!$E$2:$E$179,MATCH($A132,Survey!$B$2:$B$179,0))</f>
        <v/>
      </c>
    </row>
    <row r="133">
      <c r="A133" t="inlineStr">
        <is>
          <t>RESP0214</t>
        </is>
      </c>
      <c r="B133">
        <f>INDEX(Session!$M$2:$M$261,MATCH($A133,Session!$A$2:$A$261,0))</f>
        <v/>
      </c>
      <c r="C133">
        <f>INDEX(Survey!$E$2:$E$179,MATCH($A133,Survey!$B$2:$B$179,0))</f>
        <v/>
      </c>
    </row>
    <row r="134">
      <c r="A134" t="inlineStr">
        <is>
          <t>RESP0223</t>
        </is>
      </c>
      <c r="B134">
        <f>INDEX(Session!$M$2:$M$261,MATCH($A134,Session!$A$2:$A$261,0))</f>
        <v/>
      </c>
      <c r="C134">
        <f>INDEX(Survey!$E$2:$E$179,MATCH($A134,Survey!$B$2:$B$179,0))</f>
        <v/>
      </c>
    </row>
    <row r="135">
      <c r="A135" t="inlineStr">
        <is>
          <t>RESP0228</t>
        </is>
      </c>
      <c r="B135">
        <f>INDEX(Session!$M$2:$M$261,MATCH($A135,Session!$A$2:$A$261,0))</f>
        <v/>
      </c>
      <c r="C135">
        <f>INDEX(Survey!$E$2:$E$179,MATCH($A135,Survey!$B$2:$B$179,0))</f>
        <v/>
      </c>
    </row>
    <row r="136">
      <c r="A136" t="inlineStr">
        <is>
          <t>RESP0229</t>
        </is>
      </c>
      <c r="B136">
        <f>INDEX(Session!$M$2:$M$261,MATCH($A136,Session!$A$2:$A$261,0))</f>
        <v/>
      </c>
      <c r="C136">
        <f>INDEX(Survey!$E$2:$E$179,MATCH($A136,Survey!$B$2:$B$179,0))</f>
        <v/>
      </c>
    </row>
    <row r="137">
      <c r="A137" t="inlineStr">
        <is>
          <t>RESP0236</t>
        </is>
      </c>
      <c r="B137">
        <f>INDEX(Session!$M$2:$M$261,MATCH($A137,Session!$A$2:$A$261,0))</f>
        <v/>
      </c>
      <c r="C137">
        <f>INDEX(Survey!$E$2:$E$179,MATCH($A137,Survey!$B$2:$B$179,0))</f>
        <v/>
      </c>
    </row>
    <row r="138">
      <c r="A138" t="inlineStr">
        <is>
          <t>RESP0237</t>
        </is>
      </c>
      <c r="B138">
        <f>INDEX(Session!$M$2:$M$261,MATCH($A138,Session!$A$2:$A$261,0))</f>
        <v/>
      </c>
      <c r="C138">
        <f>INDEX(Survey!$E$2:$E$179,MATCH($A138,Survey!$B$2:$B$179,0))</f>
        <v/>
      </c>
    </row>
    <row r="139">
      <c r="A139" t="inlineStr">
        <is>
          <t>RESP0240</t>
        </is>
      </c>
      <c r="B139">
        <f>INDEX(Session!$M$2:$M$261,MATCH($A139,Session!$A$2:$A$261,0))</f>
        <v/>
      </c>
      <c r="C139">
        <f>INDEX(Survey!$E$2:$E$179,MATCH($A139,Survey!$B$2:$B$179,0))</f>
        <v/>
      </c>
    </row>
    <row r="140">
      <c r="A140" t="inlineStr">
        <is>
          <t>RESP0243</t>
        </is>
      </c>
      <c r="B140">
        <f>INDEX(Session!$M$2:$M$261,MATCH($A140,Session!$A$2:$A$261,0))</f>
        <v/>
      </c>
      <c r="C140">
        <f>INDEX(Survey!$E$2:$E$179,MATCH($A140,Survey!$B$2:$B$179,0))</f>
        <v/>
      </c>
    </row>
    <row r="141">
      <c r="A141" t="inlineStr">
        <is>
          <t>RESP0248</t>
        </is>
      </c>
      <c r="B141">
        <f>INDEX(Session!$M$2:$M$261,MATCH($A141,Session!$A$2:$A$261,0))</f>
        <v/>
      </c>
      <c r="C141">
        <f>INDEX(Survey!$E$2:$E$179,MATCH($A141,Survey!$B$2:$B$179,0))</f>
        <v/>
      </c>
    </row>
    <row r="142">
      <c r="A142" t="inlineStr">
        <is>
          <t>RESP0249</t>
        </is>
      </c>
      <c r="B142">
        <f>INDEX(Session!$M$2:$M$261,MATCH($A142,Session!$A$2:$A$261,0))</f>
        <v/>
      </c>
      <c r="C142">
        <f>INDEX(Survey!$E$2:$E$179,MATCH($A142,Survey!$B$2:$B$179,0))</f>
        <v/>
      </c>
    </row>
    <row r="143">
      <c r="A143" t="inlineStr">
        <is>
          <t>RESP0252</t>
        </is>
      </c>
      <c r="B143">
        <f>INDEX(Session!$M$2:$M$261,MATCH($A143,Session!$A$2:$A$261,0))</f>
        <v/>
      </c>
      <c r="C143">
        <f>INDEX(Survey!$E$2:$E$179,MATCH($A143,Survey!$B$2:$B$179,0))</f>
        <v/>
      </c>
    </row>
    <row r="144">
      <c r="A144" t="inlineStr">
        <is>
          <t>RESP0253</t>
        </is>
      </c>
      <c r="B144">
        <f>INDEX(Session!$M$2:$M$261,MATCH($A144,Session!$A$2:$A$261,0))</f>
        <v/>
      </c>
      <c r="C144">
        <f>INDEX(Survey!$E$2:$E$179,MATCH($A144,Survey!$B$2:$B$179,0))</f>
        <v/>
      </c>
    </row>
    <row r="145">
      <c r="A145" t="inlineStr">
        <is>
          <t>RESP0254</t>
        </is>
      </c>
      <c r="B145">
        <f>INDEX(Session!$M$2:$M$261,MATCH($A145,Session!$A$2:$A$261,0))</f>
        <v/>
      </c>
      <c r="C145">
        <f>INDEX(Survey!$E$2:$E$179,MATCH($A145,Survey!$B$2:$B$179,0))</f>
        <v/>
      </c>
    </row>
    <row r="146">
      <c r="A146" t="inlineStr">
        <is>
          <t>RESP0256</t>
        </is>
      </c>
      <c r="B146">
        <f>INDEX(Session!$M$2:$M$261,MATCH($A146,Session!$A$2:$A$261,0))</f>
        <v/>
      </c>
      <c r="C146">
        <f>INDEX(Survey!$E$2:$E$179,MATCH($A146,Survey!$B$2:$B$179,0))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62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4" customWidth="1" min="7" max="7"/>
    <col width="20" customWidth="1" min="8" max="8"/>
    <col width="20" customWidth="1" min="9" max="9"/>
    <col width="20" customWidth="1" min="10" max="10"/>
    <col width="22" customWidth="1" min="11" max="11"/>
    <col width="20" customWidth="1" min="12" max="12"/>
    <col width="19" customWidth="1" min="13" max="13"/>
    <col width="21" customWidth="1" min="14" max="14"/>
    <col width="21" customWidth="1" min="15" max="15"/>
    <col width="34" customWidth="1" min="16" max="16"/>
    <col width="21" customWidth="1" min="17" max="17"/>
    <col width="20" customWidth="1" min="18" max="18"/>
    <col width="24" customWidth="1" min="19" max="19"/>
    <col width="24" customWidth="1" min="20" max="20"/>
    <col width="23" customWidth="1" min="21" max="21"/>
    <col width="22" customWidth="1" min="22" max="22"/>
    <col width="24" customWidth="1" min="23" max="23"/>
    <col width="21" customWidth="1" min="24" max="24"/>
    <col width="21" customWidth="1" min="25" max="25"/>
    <col width="21" customWidth="1" min="26" max="26"/>
    <col width="22" customWidth="1" min="27" max="27"/>
    <col width="21" customWidth="1" min="28" max="28"/>
    <col width="21" customWidth="1" min="29" max="29"/>
    <col width="21" customWidth="1" min="30" max="30"/>
    <col width="21" customWidth="1" min="31" max="31"/>
    <col width="27" customWidth="1" min="32" max="32"/>
    <col width="21" customWidth="1" min="33" max="33"/>
    <col width="24" customWidth="1" min="34" max="34"/>
    <col width="23" customWidth="1" min="35" max="35"/>
    <col width="34" customWidth="1" min="36" max="36"/>
  </cols>
  <sheetData>
    <row r="1">
      <c r="A1" s="5" t="inlineStr">
        <is>
          <t>Live Excel results next to the values analysis.R produced (SIMULATED data). Status is OK when they agree within the tolerance.</t>
        </is>
      </c>
    </row>
    <row r="2"/>
    <row r="3">
      <c r="A3" s="2" t="inlineStr">
        <is>
          <t>Quantity</t>
        </is>
      </c>
      <c r="B3" s="2" t="inlineStr">
        <is>
          <t>Excel (live formula)</t>
        </is>
      </c>
      <c r="C3" s="2" t="inlineStr">
        <is>
          <t>analysis.R</t>
        </is>
      </c>
      <c r="D3" s="2" t="inlineStr">
        <is>
          <t>Difference</t>
        </is>
      </c>
      <c r="E3" s="2" t="inlineStr">
        <is>
          <t>Tolerance</t>
        </is>
      </c>
      <c r="F3" s="2" t="inlineStr">
        <is>
          <t>Status</t>
        </is>
      </c>
    </row>
    <row r="4">
      <c r="A4" t="inlineStr">
        <is>
          <t>H1: m1 (m1)</t>
        </is>
      </c>
      <c r="B4" s="15">
        <f>H1!I7</f>
        <v/>
      </c>
      <c r="C4" s="15" t="n">
        <v>19.49</v>
      </c>
      <c r="D4" s="15">
        <f>B4-C4</f>
        <v/>
      </c>
      <c r="E4" s="15" t="n">
        <v>1e-06</v>
      </c>
      <c r="F4">
        <f>IF(ABS(D4)&lt;=E4,"OK","CHECK")</f>
        <v/>
      </c>
    </row>
    <row r="5">
      <c r="A5" t="inlineStr">
        <is>
          <t>H1: m2 (m2)</t>
        </is>
      </c>
      <c r="B5" s="15">
        <f>H1!I9</f>
        <v/>
      </c>
      <c r="C5" s="15" t="n">
        <v>43.6312676056338</v>
      </c>
      <c r="D5" s="15">
        <f>B5-C5</f>
        <v/>
      </c>
      <c r="E5" s="15" t="n">
        <v>1e-06</v>
      </c>
      <c r="F5">
        <f>IF(ABS(D5)&lt;=E5,"OK","CHECK")</f>
        <v/>
      </c>
    </row>
    <row r="6">
      <c r="A6" t="inlineStr">
        <is>
          <t>H1: n (n)</t>
        </is>
      </c>
      <c r="B6" s="15">
        <f>H1!I11</f>
        <v/>
      </c>
      <c r="C6" s="15" t="n">
        <v>142</v>
      </c>
      <c r="D6" s="15">
        <f>B6-C6</f>
        <v/>
      </c>
      <c r="E6" s="15" t="n">
        <v>1e-09</v>
      </c>
      <c r="F6">
        <f>IF(ABS(D6)&lt;=E6,"OK","CHECK")</f>
        <v/>
      </c>
    </row>
    <row r="7">
      <c r="A7" t="inlineStr">
        <is>
          <t>H1: mean_diff (md)</t>
        </is>
      </c>
      <c r="B7" s="15">
        <f>H1!I12</f>
        <v/>
      </c>
      <c r="C7" s="15" t="n">
        <v>24.1412676056338</v>
      </c>
      <c r="D7" s="15">
        <f>B7-C7</f>
        <v/>
      </c>
      <c r="E7" s="15" t="n">
        <v>1e-06</v>
      </c>
      <c r="F7">
        <f>IF(ABS(D7)&lt;=E7,"OK","CHECK")</f>
        <v/>
      </c>
    </row>
    <row r="8">
      <c r="A8" t="inlineStr">
        <is>
          <t>H1: sd_diff (sdd)</t>
        </is>
      </c>
      <c r="B8" s="15">
        <f>H1!I13</f>
        <v/>
      </c>
      <c r="C8" s="15" t="n">
        <v>28.83375058589959</v>
      </c>
      <c r="D8" s="15">
        <f>B8-C8</f>
        <v/>
      </c>
      <c r="E8" s="15" t="n">
        <v>1e-06</v>
      </c>
      <c r="F8">
        <f>IF(ABS(D8)&lt;=E8,"OK","CHECK")</f>
        <v/>
      </c>
    </row>
    <row r="9">
      <c r="A9" t="inlineStr">
        <is>
          <t>H1: statistic (t)</t>
        </is>
      </c>
      <c r="B9" s="15">
        <f>H1!I15</f>
        <v/>
      </c>
      <c r="C9" s="15" t="n">
        <v>9.977071968325049</v>
      </c>
      <c r="D9" s="15">
        <f>B9-C9</f>
        <v/>
      </c>
      <c r="E9" s="15" t="n">
        <v>0.0001</v>
      </c>
      <c r="F9">
        <f>IF(ABS(D9)&lt;=E9,"OK","CHECK")</f>
        <v/>
      </c>
    </row>
    <row r="10">
      <c r="A10" t="inlineStr">
        <is>
          <t>H1: df (df)</t>
        </is>
      </c>
      <c r="B10" s="15">
        <f>H1!I16</f>
        <v/>
      </c>
      <c r="C10" s="15" t="n">
        <v>141</v>
      </c>
      <c r="D10" s="15">
        <f>B10-C10</f>
        <v/>
      </c>
      <c r="E10" s="15" t="n">
        <v>1e-09</v>
      </c>
      <c r="F10">
        <f>IF(ABS(D10)&lt;=E10,"OK","CHECK")</f>
        <v/>
      </c>
    </row>
    <row r="11">
      <c r="A11" t="inlineStr">
        <is>
          <t>H1: p (p_tt)</t>
        </is>
      </c>
      <c r="B11" s="15">
        <f>H1!I17</f>
        <v/>
      </c>
      <c r="C11" s="15" t="n">
        <v>4.570284228789562e-18</v>
      </c>
      <c r="D11" s="15">
        <f>B11-C11</f>
        <v/>
      </c>
      <c r="E11" s="15" t="n">
        <v>1e-09</v>
      </c>
      <c r="F11">
        <f>IF(ABS(D11)&lt;=E11,"OK","CHECK")</f>
        <v/>
      </c>
    </row>
    <row r="12">
      <c r="A12" t="inlineStr">
        <is>
          <t>H1: p (p_hand)</t>
        </is>
      </c>
      <c r="B12" s="15">
        <f>H1!I18</f>
        <v/>
      </c>
      <c r="C12" s="15" t="n">
        <v>4.570284228789562e-18</v>
      </c>
      <c r="D12" s="15">
        <f>B12-C12</f>
        <v/>
      </c>
      <c r="E12" s="15" t="n">
        <v>1e-09</v>
      </c>
      <c r="F12">
        <f>IF(ABS(D12)&lt;=E12,"OK","CHECK")</f>
        <v/>
      </c>
    </row>
    <row r="13">
      <c r="A13" t="inlineStr">
        <is>
          <t>H1: diff_ci_low (ci_lo)</t>
        </is>
      </c>
      <c r="B13" s="15">
        <f>H1!I20</f>
        <v/>
      </c>
      <c r="C13" s="15" t="n">
        <v>19.35773670030994</v>
      </c>
      <c r="D13" s="15">
        <f>B13-C13</f>
        <v/>
      </c>
      <c r="E13" s="15" t="n">
        <v>1e-06</v>
      </c>
      <c r="F13">
        <f>IF(ABS(D13)&lt;=E13,"OK","CHECK")</f>
        <v/>
      </c>
    </row>
    <row r="14">
      <c r="A14" t="inlineStr">
        <is>
          <t>H1: diff_ci_high (ci_hi)</t>
        </is>
      </c>
      <c r="B14" s="15">
        <f>H1!I21</f>
        <v/>
      </c>
      <c r="C14" s="15" t="n">
        <v>28.92479851095767</v>
      </c>
      <c r="D14" s="15">
        <f>B14-C14</f>
        <v/>
      </c>
      <c r="E14" s="15" t="n">
        <v>1e-06</v>
      </c>
      <c r="F14">
        <f>IF(ABS(D14)&lt;=E14,"OK","CHECK")</f>
        <v/>
      </c>
    </row>
    <row r="15">
      <c r="A15" t="inlineStr">
        <is>
          <t>H1: es (dz)</t>
        </is>
      </c>
      <c r="B15" s="15">
        <f>H1!I22</f>
        <v/>
      </c>
      <c r="C15" s="15" t="n">
        <v>0.8372572806202836</v>
      </c>
      <c r="D15" s="15">
        <f>B15-C15</f>
        <v/>
      </c>
      <c r="E15" s="15" t="n">
        <v>1e-05</v>
      </c>
      <c r="F15">
        <f>IF(ABS(D15)&lt;=E15,"OK","CHECK")</f>
        <v/>
      </c>
    </row>
    <row r="16">
      <c r="A16" t="inlineStr">
        <is>
          <t>H1: es_ci_low_approx (dz_lo)</t>
        </is>
      </c>
      <c r="B16" s="15">
        <f>H1!I24</f>
        <v/>
      </c>
      <c r="C16" s="15" t="n">
        <v>0.6461139392414814</v>
      </c>
      <c r="D16" s="15">
        <f>B16-C16</f>
        <v/>
      </c>
      <c r="E16" s="15" t="n">
        <v>1e-05</v>
      </c>
      <c r="F16">
        <f>IF(ABS(D16)&lt;=E16,"OK","CHECK")</f>
        <v/>
      </c>
    </row>
    <row r="17">
      <c r="A17" t="inlineStr">
        <is>
          <t>H1: es_ci_high_approx (dz_hi)</t>
        </is>
      </c>
      <c r="B17" s="15">
        <f>H1!I25</f>
        <v/>
      </c>
      <c r="C17" s="15" t="n">
        <v>1.028400621999086</v>
      </c>
      <c r="D17" s="15">
        <f>B17-C17</f>
        <v/>
      </c>
      <c r="E17" s="15" t="n">
        <v>1e-05</v>
      </c>
      <c r="F17">
        <f>IF(ABS(D17)&lt;=E17,"OK","CHECK")</f>
        <v/>
      </c>
    </row>
    <row r="18">
      <c r="A18" t="inlineStr">
        <is>
          <t>H1: d_z exact CI lower (noncentral t in R) versus the approximation</t>
        </is>
      </c>
      <c r="B18" s="15">
        <f>H1!I24</f>
        <v/>
      </c>
      <c r="C18" s="15" t="n">
        <v>0.6448714839773173</v>
      </c>
      <c r="D18" s="15">
        <f>B18-C18</f>
        <v/>
      </c>
      <c r="E18" s="15" t="n">
        <v>0.03</v>
      </c>
      <c r="F18">
        <f>IF(ABS(D18)&lt;=E18,"OK","CHECK")</f>
        <v/>
      </c>
      <c r="G18" s="6" t="inlineStr">
        <is>
          <t>method differs; looser tolerance</t>
        </is>
      </c>
    </row>
    <row r="19">
      <c r="A19" t="inlineStr">
        <is>
          <t>H1: d_z exact CI upper (noncentral t in R) versus the approximation</t>
        </is>
      </c>
      <c r="B19" s="15">
        <f>H1!I25</f>
        <v/>
      </c>
      <c r="C19" s="15" t="n">
        <v>1.027412208774743</v>
      </c>
      <c r="D19" s="15">
        <f>B19-C19</f>
        <v/>
      </c>
      <c r="E19" s="15" t="n">
        <v>0.03</v>
      </c>
      <c r="F19">
        <f>IF(ABS(D19)&lt;=E19,"OK","CHECK")</f>
        <v/>
      </c>
      <c r="G19" s="6" t="inlineStr">
        <is>
          <t>method differs; looser tolerance</t>
        </is>
      </c>
    </row>
    <row r="20">
      <c r="A20" t="inlineStr">
        <is>
          <t>S30_H1: m1 (m1)</t>
        </is>
      </c>
      <c r="B20" s="15">
        <f>H1!I38</f>
        <v/>
      </c>
      <c r="C20" s="15" t="n">
        <v>18.07536</v>
      </c>
      <c r="D20" s="15">
        <f>B20-C20</f>
        <v/>
      </c>
      <c r="E20" s="15" t="n">
        <v>1e-06</v>
      </c>
      <c r="F20">
        <f>IF(ABS(D20)&lt;=E20,"OK","CHECK")</f>
        <v/>
      </c>
    </row>
    <row r="21">
      <c r="A21" t="inlineStr">
        <is>
          <t>S30_H1: m2 (m2)</t>
        </is>
      </c>
      <c r="B21" s="15">
        <f>H1!I40</f>
        <v/>
      </c>
      <c r="C21" s="15" t="n">
        <v>42.43048</v>
      </c>
      <c r="D21" s="15">
        <f>B21-C21</f>
        <v/>
      </c>
      <c r="E21" s="15" t="n">
        <v>1e-06</v>
      </c>
      <c r="F21">
        <f>IF(ABS(D21)&lt;=E21,"OK","CHECK")</f>
        <v/>
      </c>
    </row>
    <row r="22">
      <c r="A22" t="inlineStr">
        <is>
          <t>S30_H1: n (n)</t>
        </is>
      </c>
      <c r="B22" s="15">
        <f>H1!I42</f>
        <v/>
      </c>
      <c r="C22" s="15" t="n">
        <v>125</v>
      </c>
      <c r="D22" s="15">
        <f>B22-C22</f>
        <v/>
      </c>
      <c r="E22" s="15" t="n">
        <v>1e-09</v>
      </c>
      <c r="F22">
        <f>IF(ABS(D22)&lt;=E22,"OK","CHECK")</f>
        <v/>
      </c>
    </row>
    <row r="23">
      <c r="A23" t="inlineStr">
        <is>
          <t>S30_H1: mean_diff (md)</t>
        </is>
      </c>
      <c r="B23" s="15">
        <f>H1!I43</f>
        <v/>
      </c>
      <c r="C23" s="15" t="n">
        <v>24.35512</v>
      </c>
      <c r="D23" s="15">
        <f>B23-C23</f>
        <v/>
      </c>
      <c r="E23" s="15" t="n">
        <v>1e-06</v>
      </c>
      <c r="F23">
        <f>IF(ABS(D23)&lt;=E23,"OK","CHECK")</f>
        <v/>
      </c>
    </row>
    <row r="24">
      <c r="A24" t="inlineStr">
        <is>
          <t>S30_H1: sd_diff (sdd)</t>
        </is>
      </c>
      <c r="B24" s="15">
        <f>H1!I44</f>
        <v/>
      </c>
      <c r="C24" s="15" t="n">
        <v>27.59008972427506</v>
      </c>
      <c r="D24" s="15">
        <f>B24-C24</f>
        <v/>
      </c>
      <c r="E24" s="15" t="n">
        <v>1e-06</v>
      </c>
      <c r="F24">
        <f>IF(ABS(D24)&lt;=E24,"OK","CHECK")</f>
        <v/>
      </c>
    </row>
    <row r="25">
      <c r="A25" t="inlineStr">
        <is>
          <t>S30_H1: statistic (t)</t>
        </is>
      </c>
      <c r="B25" s="15">
        <f>H1!I46</f>
        <v/>
      </c>
      <c r="C25" s="15" t="n">
        <v>9.869432188226712</v>
      </c>
      <c r="D25" s="15">
        <f>B25-C25</f>
        <v/>
      </c>
      <c r="E25" s="15" t="n">
        <v>0.0001</v>
      </c>
      <c r="F25">
        <f>IF(ABS(D25)&lt;=E25,"OK","CHECK")</f>
        <v/>
      </c>
    </row>
    <row r="26">
      <c r="A26" t="inlineStr">
        <is>
          <t>S30_H1: df (df)</t>
        </is>
      </c>
      <c r="B26" s="15">
        <f>H1!I47</f>
        <v/>
      </c>
      <c r="C26" s="15" t="n">
        <v>124</v>
      </c>
      <c r="D26" s="15">
        <f>B26-C26</f>
        <v/>
      </c>
      <c r="E26" s="15" t="n">
        <v>1e-09</v>
      </c>
      <c r="F26">
        <f>IF(ABS(D26)&lt;=E26,"OK","CHECK")</f>
        <v/>
      </c>
    </row>
    <row r="27">
      <c r="A27" t="inlineStr">
        <is>
          <t>S30_H1: p (p_tt)</t>
        </is>
      </c>
      <c r="B27" s="15">
        <f>H1!I48</f>
        <v/>
      </c>
      <c r="C27" s="15" t="n">
        <v>2.623082251231504e-17</v>
      </c>
      <c r="D27" s="15">
        <f>B27-C27</f>
        <v/>
      </c>
      <c r="E27" s="15" t="n">
        <v>1e-09</v>
      </c>
      <c r="F27">
        <f>IF(ABS(D27)&lt;=E27,"OK","CHECK")</f>
        <v/>
      </c>
    </row>
    <row r="28">
      <c r="A28" t="inlineStr">
        <is>
          <t>S30_H1: p (p_hand)</t>
        </is>
      </c>
      <c r="B28" s="15">
        <f>H1!I49</f>
        <v/>
      </c>
      <c r="C28" s="15" t="n">
        <v>2.623082251231504e-17</v>
      </c>
      <c r="D28" s="15">
        <f>B28-C28</f>
        <v/>
      </c>
      <c r="E28" s="15" t="n">
        <v>1e-09</v>
      </c>
      <c r="F28">
        <f>IF(ABS(D28)&lt;=E28,"OK","CHECK")</f>
        <v/>
      </c>
    </row>
    <row r="29">
      <c r="A29" t="inlineStr">
        <is>
          <t>S30_H1: diff_ci_low (ci_lo)</t>
        </is>
      </c>
      <c r="B29" s="15">
        <f>H1!I51</f>
        <v/>
      </c>
      <c r="C29" s="15" t="n">
        <v>19.47078584235418</v>
      </c>
      <c r="D29" s="15">
        <f>B29-C29</f>
        <v/>
      </c>
      <c r="E29" s="15" t="n">
        <v>1e-06</v>
      </c>
      <c r="F29">
        <f>IF(ABS(D29)&lt;=E29,"OK","CHECK")</f>
        <v/>
      </c>
    </row>
    <row r="30">
      <c r="A30" t="inlineStr">
        <is>
          <t>S30_H1: diff_ci_high (ci_hi)</t>
        </is>
      </c>
      <c r="B30" s="15">
        <f>H1!I52</f>
        <v/>
      </c>
      <c r="C30" s="15" t="n">
        <v>29.23945415764582</v>
      </c>
      <c r="D30" s="15">
        <f>B30-C30</f>
        <v/>
      </c>
      <c r="E30" s="15" t="n">
        <v>1e-06</v>
      </c>
      <c r="F30">
        <f>IF(ABS(D30)&lt;=E30,"OK","CHECK")</f>
        <v/>
      </c>
    </row>
    <row r="31">
      <c r="A31" t="inlineStr">
        <is>
          <t>S30_H1: es (dz)</t>
        </is>
      </c>
      <c r="B31" s="15">
        <f>H1!I53</f>
        <v/>
      </c>
      <c r="C31" s="15" t="n">
        <v>0.8827488508879773</v>
      </c>
      <c r="D31" s="15">
        <f>B31-C31</f>
        <v/>
      </c>
      <c r="E31" s="15" t="n">
        <v>1e-05</v>
      </c>
      <c r="F31">
        <f>IF(ABS(D31)&lt;=E31,"OK","CHECK")</f>
        <v/>
      </c>
    </row>
    <row r="32">
      <c r="A32" t="inlineStr">
        <is>
          <t>S30_H1: es_ci_low_approx (dz_lo)</t>
        </is>
      </c>
      <c r="B32" s="15">
        <f>H1!I55</f>
        <v/>
      </c>
      <c r="C32" s="15" t="n">
        <v>0.6760921341577328</v>
      </c>
      <c r="D32" s="15">
        <f>B32-C32</f>
        <v/>
      </c>
      <c r="E32" s="15" t="n">
        <v>1e-05</v>
      </c>
      <c r="F32">
        <f>IF(ABS(D32)&lt;=E32,"OK","CHECK")</f>
        <v/>
      </c>
    </row>
    <row r="33">
      <c r="A33" t="inlineStr">
        <is>
          <t>S30_H1: es_ci_high_approx (dz_hi)</t>
        </is>
      </c>
      <c r="B33" s="15">
        <f>H1!I56</f>
        <v/>
      </c>
      <c r="C33" s="15" t="n">
        <v>1.089405567618222</v>
      </c>
      <c r="D33" s="15">
        <f>B33-C33</f>
        <v/>
      </c>
      <c r="E33" s="15" t="n">
        <v>1e-05</v>
      </c>
      <c r="F33">
        <f>IF(ABS(D33)&lt;=E33,"OK","CHECK")</f>
        <v/>
      </c>
    </row>
    <row r="34">
      <c r="A34" t="inlineStr">
        <is>
          <t>S30_H1: d_z exact CI lower (noncentral t in R) versus the approximation</t>
        </is>
      </c>
      <c r="B34" s="15">
        <f>H1!I55</f>
        <v/>
      </c>
      <c r="C34" s="15" t="n">
        <v>0.6746216772979162</v>
      </c>
      <c r="D34" s="15">
        <f>B34-C34</f>
        <v/>
      </c>
      <c r="E34" s="15" t="n">
        <v>0.03</v>
      </c>
      <c r="F34">
        <f>IF(ABS(D34)&lt;=E34,"OK","CHECK")</f>
        <v/>
      </c>
      <c r="G34" s="6" t="inlineStr">
        <is>
          <t>method differs; looser tolerance</t>
        </is>
      </c>
    </row>
    <row r="35">
      <c r="A35" t="inlineStr">
        <is>
          <t>S30_H1: d_z exact CI upper (noncentral t in R) versus the approximation</t>
        </is>
      </c>
      <c r="B35" s="15">
        <f>H1!I56</f>
        <v/>
      </c>
      <c r="C35" s="15" t="n">
        <v>1.088273649731485</v>
      </c>
      <c r="D35" s="15">
        <f>B35-C35</f>
        <v/>
      </c>
      <c r="E35" s="15" t="n">
        <v>0.03</v>
      </c>
      <c r="F35">
        <f>IF(ABS(D35)&lt;=E35,"OK","CHECK")</f>
        <v/>
      </c>
      <c r="G35" s="6" t="inlineStr">
        <is>
          <t>method differs; looser tolerance</t>
        </is>
      </c>
    </row>
    <row r="36">
      <c r="A36" t="inlineStr">
        <is>
          <t>H3: m1 (m1)</t>
        </is>
      </c>
      <c r="B36" s="15">
        <f>H3!F7</f>
        <v/>
      </c>
      <c r="C36" s="15" t="n">
        <v>5.043478260869565</v>
      </c>
      <c r="D36" s="15">
        <f>B36-C36</f>
        <v/>
      </c>
      <c r="E36" s="15" t="n">
        <v>1e-06</v>
      </c>
      <c r="F36">
        <f>IF(ABS(D36)&lt;=E36,"OK","CHECK")</f>
        <v/>
      </c>
    </row>
    <row r="37">
      <c r="A37" t="inlineStr">
        <is>
          <t>H3: m2 (m2)</t>
        </is>
      </c>
      <c r="B37" s="15">
        <f>H3!F10</f>
        <v/>
      </c>
      <c r="C37" s="15" t="n">
        <v>5.342465753424658</v>
      </c>
      <c r="D37" s="15">
        <f>B37-C37</f>
        <v/>
      </c>
      <c r="E37" s="15" t="n">
        <v>1e-06</v>
      </c>
      <c r="F37">
        <f>IF(ABS(D37)&lt;=E37,"OK","CHECK")</f>
        <v/>
      </c>
    </row>
    <row r="38">
      <c r="A38" t="inlineStr">
        <is>
          <t>H3: n1 (n1)</t>
        </is>
      </c>
      <c r="B38" s="15">
        <f>H3!F9</f>
        <v/>
      </c>
      <c r="C38" s="15" t="n">
        <v>69</v>
      </c>
      <c r="D38" s="15">
        <f>B38-C38</f>
        <v/>
      </c>
      <c r="E38" s="15" t="n">
        <v>1e-09</v>
      </c>
      <c r="F38">
        <f>IF(ABS(D38)&lt;=E38,"OK","CHECK")</f>
        <v/>
      </c>
    </row>
    <row r="39">
      <c r="A39" t="inlineStr">
        <is>
          <t>H3: n2 (n2)</t>
        </is>
      </c>
      <c r="B39" s="15">
        <f>H3!F12</f>
        <v/>
      </c>
      <c r="C39" s="15" t="n">
        <v>73</v>
      </c>
      <c r="D39" s="15">
        <f>B39-C39</f>
        <v/>
      </c>
      <c r="E39" s="15" t="n">
        <v>1e-09</v>
      </c>
      <c r="F39">
        <f>IF(ABS(D39)&lt;=E39,"OK","CHECK")</f>
        <v/>
      </c>
    </row>
    <row r="40">
      <c r="A40" t="inlineStr">
        <is>
          <t>H3: mean_diff (diff)</t>
        </is>
      </c>
      <c r="B40" s="15">
        <f>H3!F13</f>
        <v/>
      </c>
      <c r="C40" s="15" t="n">
        <v>-0.2989874925550922</v>
      </c>
      <c r="D40" s="15">
        <f>B40-C40</f>
        <v/>
      </c>
      <c r="E40" s="15" t="n">
        <v>1e-06</v>
      </c>
      <c r="F40">
        <f>IF(ABS(D40)&lt;=E40,"OK","CHECK")</f>
        <v/>
      </c>
    </row>
    <row r="41">
      <c r="A41" t="inlineStr">
        <is>
          <t>H3: statistic (t)</t>
        </is>
      </c>
      <c r="B41" s="15">
        <f>H3!F15</f>
        <v/>
      </c>
      <c r="C41" s="15" t="n">
        <v>-1.374885804446096</v>
      </c>
      <c r="D41" s="15">
        <f>B41-C41</f>
        <v/>
      </c>
      <c r="E41" s="15" t="n">
        <v>0.0001</v>
      </c>
      <c r="F41">
        <f>IF(ABS(D41)&lt;=E41,"OK","CHECK")</f>
        <v/>
      </c>
    </row>
    <row r="42">
      <c r="A42" t="inlineStr">
        <is>
          <t>H3: df (df)</t>
        </is>
      </c>
      <c r="B42" s="15">
        <f>H3!F16</f>
        <v/>
      </c>
      <c r="C42" s="15" t="n">
        <v>135.9683546614657</v>
      </c>
      <c r="D42" s="15">
        <f>B42-C42</f>
        <v/>
      </c>
      <c r="E42" s="15" t="n">
        <v>0.0001</v>
      </c>
      <c r="F42">
        <f>IF(ABS(D42)&lt;=E42,"OK","CHECK")</f>
        <v/>
      </c>
    </row>
    <row r="43">
      <c r="A43" t="inlineStr">
        <is>
          <t>H3: p (p_tt)</t>
        </is>
      </c>
      <c r="B43" s="15">
        <f>H3!F17</f>
        <v/>
      </c>
      <c r="C43" s="15" t="n">
        <v>0.1714282806914537</v>
      </c>
      <c r="D43" s="15">
        <f>B43-C43</f>
        <v/>
      </c>
      <c r="E43" s="15" t="n">
        <v>1e-06</v>
      </c>
      <c r="F43">
        <f>IF(ABS(D43)&lt;=E43,"OK","CHECK")</f>
        <v/>
      </c>
    </row>
    <row r="44">
      <c r="A44" t="inlineStr">
        <is>
          <t>H3: diff_ci_low (ci_lo)</t>
        </is>
      </c>
      <c r="B44" s="15">
        <f>H3!F20</f>
        <v/>
      </c>
      <c r="C44" s="15" t="n">
        <v>-0.729035698238378</v>
      </c>
      <c r="D44" s="15">
        <f>B44-C44</f>
        <v/>
      </c>
      <c r="E44" s="15" t="n">
        <v>0.0005</v>
      </c>
      <c r="F44">
        <f>IF(ABS(D44)&lt;=E44,"OK","CHECK")</f>
        <v/>
      </c>
      <c r="G44" s="6" t="inlineStr">
        <is>
          <t>Welch CI: the spreadsheet critical t may use a whole number df</t>
        </is>
      </c>
    </row>
    <row r="45">
      <c r="A45" t="inlineStr">
        <is>
          <t>H3: diff_ci_high (ci_hi)</t>
        </is>
      </c>
      <c r="B45" s="15">
        <f>H3!F21</f>
        <v/>
      </c>
      <c r="C45" s="15" t="n">
        <v>0.1310607131281937</v>
      </c>
      <c r="D45" s="15">
        <f>B45-C45</f>
        <v/>
      </c>
      <c r="E45" s="15" t="n">
        <v>0.0005</v>
      </c>
      <c r="F45">
        <f>IF(ABS(D45)&lt;=E45,"OK","CHECK")</f>
        <v/>
      </c>
      <c r="G45" s="6" t="inlineStr">
        <is>
          <t>Welch CI: the spreadsheet critical t may use a whole number df</t>
        </is>
      </c>
    </row>
    <row r="46">
      <c r="A46" t="inlineStr">
        <is>
          <t>H3: sd_pooled (sp)</t>
        </is>
      </c>
      <c r="B46" s="15">
        <f>H3!F22</f>
        <v/>
      </c>
      <c r="C46" s="15" t="n">
        <v>1.290924146775078</v>
      </c>
      <c r="D46" s="15">
        <f>B46-C46</f>
        <v/>
      </c>
      <c r="E46" s="15" t="n">
        <v>1e-06</v>
      </c>
      <c r="F46">
        <f>IF(ABS(D46)&lt;=E46,"OK","CHECK")</f>
        <v/>
      </c>
    </row>
    <row r="47">
      <c r="A47" t="inlineStr">
        <is>
          <t>H3: es (d)</t>
        </is>
      </c>
      <c r="B47" s="15">
        <f>H3!F23</f>
        <v/>
      </c>
      <c r="C47" s="15" t="n">
        <v>-0.2316073282090259</v>
      </c>
      <c r="D47" s="15">
        <f>B47-C47</f>
        <v/>
      </c>
      <c r="E47" s="15" t="n">
        <v>1e-05</v>
      </c>
      <c r="F47">
        <f>IF(ABS(D47)&lt;=E47,"OK","CHECK")</f>
        <v/>
      </c>
    </row>
    <row r="48">
      <c r="A48" t="inlineStr">
        <is>
          <t>H3: g (g)</t>
        </is>
      </c>
      <c r="B48" s="15">
        <f>H3!F25</f>
        <v/>
      </c>
      <c r="C48" s="15" t="n">
        <v>-0.2303643550701581</v>
      </c>
      <c r="D48" s="15">
        <f>B48-C48</f>
        <v/>
      </c>
      <c r="E48" s="15" t="n">
        <v>1e-05</v>
      </c>
      <c r="F48">
        <f>IF(ABS(D48)&lt;=E48,"OK","CHECK")</f>
        <v/>
      </c>
    </row>
    <row r="49">
      <c r="A49" t="inlineStr">
        <is>
          <t>H3: g_ci_low_approx (g_lo)</t>
        </is>
      </c>
      <c r="B49" s="15">
        <f>H3!F27</f>
        <v/>
      </c>
      <c r="C49" s="15" t="n">
        <v>-0.5605428740758245</v>
      </c>
      <c r="D49" s="15">
        <f>B49-C49</f>
        <v/>
      </c>
      <c r="E49" s="15" t="n">
        <v>1e-05</v>
      </c>
      <c r="F49">
        <f>IF(ABS(D49)&lt;=E49,"OK","CHECK")</f>
        <v/>
      </c>
    </row>
    <row r="50">
      <c r="A50" t="inlineStr">
        <is>
          <t>H3: g_ci_high_approx (g_hi)</t>
        </is>
      </c>
      <c r="B50" s="15">
        <f>H3!F28</f>
        <v/>
      </c>
      <c r="C50" s="15" t="n">
        <v>0.09981416393550827</v>
      </c>
      <c r="D50" s="15">
        <f>B50-C50</f>
        <v/>
      </c>
      <c r="E50" s="15" t="n">
        <v>1e-05</v>
      </c>
      <c r="F50">
        <f>IF(ABS(D50)&lt;=E50,"OK","CHECK")</f>
        <v/>
      </c>
    </row>
    <row r="51">
      <c r="A51" t="inlineStr">
        <is>
          <t>DRIFT_ALL: m1 (m1)</t>
        </is>
      </c>
      <c r="B51" s="15">
        <f>Screening!S28</f>
        <v/>
      </c>
      <c r="C51" s="15" t="n">
        <v>1.706011235955056</v>
      </c>
      <c r="D51" s="15">
        <f>B51-C51</f>
        <v/>
      </c>
      <c r="E51" s="15" t="n">
        <v>1e-06</v>
      </c>
      <c r="F51">
        <f>IF(ABS(D51)&lt;=E51,"OK","CHECK")</f>
        <v/>
      </c>
    </row>
    <row r="52">
      <c r="A52" t="inlineStr">
        <is>
          <t>DRIFT_ALL: m2 (m2)</t>
        </is>
      </c>
      <c r="B52" s="15">
        <f>Screening!S30</f>
        <v/>
      </c>
      <c r="C52" s="15" t="n">
        <v>2.423820224719101</v>
      </c>
      <c r="D52" s="15">
        <f>B52-C52</f>
        <v/>
      </c>
      <c r="E52" s="15" t="n">
        <v>1e-06</v>
      </c>
      <c r="F52">
        <f>IF(ABS(D52)&lt;=E52,"OK","CHECK")</f>
        <v/>
      </c>
    </row>
    <row r="53">
      <c r="A53" t="inlineStr">
        <is>
          <t>DRIFT_ALL: n (n)</t>
        </is>
      </c>
      <c r="B53" s="15">
        <f>Screening!S32</f>
        <v/>
      </c>
      <c r="C53" s="15" t="n">
        <v>178</v>
      </c>
      <c r="D53" s="15">
        <f>B53-C53</f>
        <v/>
      </c>
      <c r="E53" s="15" t="n">
        <v>1e-09</v>
      </c>
      <c r="F53">
        <f>IF(ABS(D53)&lt;=E53,"OK","CHECK")</f>
        <v/>
      </c>
    </row>
    <row r="54">
      <c r="A54" t="inlineStr">
        <is>
          <t>DRIFT_ALL: mean_diff (md)</t>
        </is>
      </c>
      <c r="B54" s="15">
        <f>Screening!S33</f>
        <v/>
      </c>
      <c r="C54" s="15" t="n">
        <v>0.717808988764045</v>
      </c>
      <c r="D54" s="15">
        <f>B54-C54</f>
        <v/>
      </c>
      <c r="E54" s="15" t="n">
        <v>1e-06</v>
      </c>
      <c r="F54">
        <f>IF(ABS(D54)&lt;=E54,"OK","CHECK")</f>
        <v/>
      </c>
    </row>
    <row r="55">
      <c r="A55" t="inlineStr">
        <is>
          <t>DRIFT_ALL: sd_diff (sdd)</t>
        </is>
      </c>
      <c r="B55" s="15">
        <f>Screening!S34</f>
        <v/>
      </c>
      <c r="C55" s="15" t="n">
        <v>0.5027171678779208</v>
      </c>
      <c r="D55" s="15">
        <f>B55-C55</f>
        <v/>
      </c>
      <c r="E55" s="15" t="n">
        <v>1e-06</v>
      </c>
      <c r="F55">
        <f>IF(ABS(D55)&lt;=E55,"OK","CHECK")</f>
        <v/>
      </c>
    </row>
    <row r="56">
      <c r="A56" t="inlineStr">
        <is>
          <t>DRIFT_ALL: statistic (t)</t>
        </is>
      </c>
      <c r="B56" s="15">
        <f>Screening!S36</f>
        <v/>
      </c>
      <c r="C56" s="15" t="n">
        <v>19.05000863751232</v>
      </c>
      <c r="D56" s="15">
        <f>B56-C56</f>
        <v/>
      </c>
      <c r="E56" s="15" t="n">
        <v>0.0001</v>
      </c>
      <c r="F56">
        <f>IF(ABS(D56)&lt;=E56,"OK","CHECK")</f>
        <v/>
      </c>
    </row>
    <row r="57">
      <c r="A57" t="inlineStr">
        <is>
          <t>DRIFT_ALL: df (df)</t>
        </is>
      </c>
      <c r="B57" s="15">
        <f>Screening!S37</f>
        <v/>
      </c>
      <c r="C57" s="15" t="n">
        <v>177</v>
      </c>
      <c r="D57" s="15">
        <f>B57-C57</f>
        <v/>
      </c>
      <c r="E57" s="15" t="n">
        <v>1e-09</v>
      </c>
      <c r="F57">
        <f>IF(ABS(D57)&lt;=E57,"OK","CHECK")</f>
        <v/>
      </c>
    </row>
    <row r="58">
      <c r="A58" t="inlineStr">
        <is>
          <t>DRIFT_ALL: p (p_tt)</t>
        </is>
      </c>
      <c r="B58" s="15">
        <f>Screening!S38</f>
        <v/>
      </c>
      <c r="C58" s="15" t="n">
        <v>9.957041943081094e-45</v>
      </c>
      <c r="D58" s="15">
        <f>B58-C58</f>
        <v/>
      </c>
      <c r="E58" s="15" t="n">
        <v>1e-09</v>
      </c>
      <c r="F58">
        <f>IF(ABS(D58)&lt;=E58,"OK","CHECK")</f>
        <v/>
      </c>
    </row>
    <row r="59">
      <c r="A59" t="inlineStr">
        <is>
          <t>DRIFT_ALL: p (p_hand)</t>
        </is>
      </c>
      <c r="B59" s="15">
        <f>Screening!S39</f>
        <v/>
      </c>
      <c r="C59" s="15" t="n">
        <v>9.957041943081094e-45</v>
      </c>
      <c r="D59" s="15">
        <f>B59-C59</f>
        <v/>
      </c>
      <c r="E59" s="15" t="n">
        <v>1e-09</v>
      </c>
      <c r="F59">
        <f>IF(ABS(D59)&lt;=E59,"OK","CHECK")</f>
        <v/>
      </c>
    </row>
    <row r="60">
      <c r="A60" t="inlineStr">
        <is>
          <t>DRIFT_ALL: diff_ci_low (ci_lo)</t>
        </is>
      </c>
      <c r="B60" s="15">
        <f>Screening!S41</f>
        <v/>
      </c>
      <c r="C60" s="15" t="n">
        <v>0.6434486383201224</v>
      </c>
      <c r="D60" s="15">
        <f>B60-C60</f>
        <v/>
      </c>
      <c r="E60" s="15" t="n">
        <v>1e-06</v>
      </c>
      <c r="F60">
        <f>IF(ABS(D60)&lt;=E60,"OK","CHECK")</f>
        <v/>
      </c>
    </row>
    <row r="61">
      <c r="A61" t="inlineStr">
        <is>
          <t>DRIFT_ALL: diff_ci_high (ci_hi)</t>
        </is>
      </c>
      <c r="B61" s="15">
        <f>Screening!S42</f>
        <v/>
      </c>
      <c r="C61" s="15" t="n">
        <v>0.7921693392079675</v>
      </c>
      <c r="D61" s="15">
        <f>B61-C61</f>
        <v/>
      </c>
      <c r="E61" s="15" t="n">
        <v>1e-06</v>
      </c>
      <c r="F61">
        <f>IF(ABS(D61)&lt;=E61,"OK","CHECK")</f>
        <v/>
      </c>
    </row>
    <row r="62">
      <c r="A62" t="inlineStr">
        <is>
          <t>DRIFT_ALL: es (dz)</t>
        </is>
      </c>
      <c r="B62" s="15">
        <f>Screening!S43</f>
        <v/>
      </c>
      <c r="C62" s="15" t="n">
        <v>1.427858514946036</v>
      </c>
      <c r="D62" s="15">
        <f>B62-C62</f>
        <v/>
      </c>
      <c r="E62" s="15" t="n">
        <v>1e-05</v>
      </c>
      <c r="F62">
        <f>IF(ABS(D62)&lt;=E62,"OK","CHECK")</f>
        <v/>
      </c>
    </row>
    <row r="63">
      <c r="A63" t="inlineStr">
        <is>
          <t>DRIFT_ALL: es_ci_low_approx (dz_lo)</t>
        </is>
      </c>
      <c r="B63" s="15">
        <f>Screening!S45</f>
        <v/>
      </c>
      <c r="C63" s="15" t="n">
        <v>1.219094246695687</v>
      </c>
      <c r="D63" s="15">
        <f>B63-C63</f>
        <v/>
      </c>
      <c r="E63" s="15" t="n">
        <v>1e-05</v>
      </c>
      <c r="F63">
        <f>IF(ABS(D63)&lt;=E63,"OK","CHECK")</f>
        <v/>
      </c>
    </row>
    <row r="64">
      <c r="A64" t="inlineStr">
        <is>
          <t>DRIFT_ALL: es_ci_high_approx (dz_hi)</t>
        </is>
      </c>
      <c r="B64" s="15">
        <f>Screening!S46</f>
        <v/>
      </c>
      <c r="C64" s="15" t="n">
        <v>1.636622783196385</v>
      </c>
      <c r="D64" s="15">
        <f>B64-C64</f>
        <v/>
      </c>
      <c r="E64" s="15" t="n">
        <v>1e-05</v>
      </c>
      <c r="F64">
        <f>IF(ABS(D64)&lt;=E64,"OK","CHECK")</f>
        <v/>
      </c>
    </row>
    <row r="65">
      <c r="A65" t="inlineStr">
        <is>
          <t>DRIFT_ALL: d_z exact CI lower (noncentral t in R) versus the approximation</t>
        </is>
      </c>
      <c r="B65" s="15">
        <f>Screening!S45</f>
        <v/>
      </c>
      <c r="C65" s="15" t="n">
        <v>1.217835323674322</v>
      </c>
      <c r="D65" s="15">
        <f>B65-C65</f>
        <v/>
      </c>
      <c r="E65" s="15" t="n">
        <v>0.03</v>
      </c>
      <c r="F65">
        <f>IF(ABS(D65)&lt;=E65,"OK","CHECK")</f>
        <v/>
      </c>
      <c r="G65" s="6" t="inlineStr">
        <is>
          <t>method differs; looser tolerance</t>
        </is>
      </c>
    </row>
    <row r="66">
      <c r="A66" t="inlineStr">
        <is>
          <t>DRIFT_ALL: d_z exact CI upper (noncentral t in R) versus the approximation</t>
        </is>
      </c>
      <c r="B66" s="15">
        <f>Screening!S46</f>
        <v/>
      </c>
      <c r="C66" s="15" t="n">
        <v>1.635789799616919</v>
      </c>
      <c r="D66" s="15">
        <f>B66-C66</f>
        <v/>
      </c>
      <c r="E66" s="15" t="n">
        <v>0.03</v>
      </c>
      <c r="F66">
        <f>IF(ABS(D66)&lt;=E66,"OK","CHECK")</f>
        <v/>
      </c>
      <c r="G66" s="6" t="inlineStr">
        <is>
          <t>method differs; looser tolerance</t>
        </is>
      </c>
    </row>
    <row r="67">
      <c r="A67" t="inlineStr">
        <is>
          <t>ATTRITION_ALL: statistic (x2)</t>
        </is>
      </c>
      <c r="B67" s="15">
        <f>Funnel!L23</f>
        <v/>
      </c>
      <c r="C67" s="15" t="n">
        <v>0.03889256688019765</v>
      </c>
      <c r="D67" s="15">
        <f>B67-C67</f>
        <v/>
      </c>
      <c r="E67" s="15" t="n">
        <v>1e-06</v>
      </c>
      <c r="F67">
        <f>IF(ABS(D67)&lt;=E67,"OK","CHECK")</f>
        <v/>
      </c>
    </row>
    <row r="68">
      <c r="A68" t="inlineStr">
        <is>
          <t>ATTRITION_ALL: p (p)</t>
        </is>
      </c>
      <c r="B68" s="15">
        <f>Funnel!L25</f>
        <v/>
      </c>
      <c r="C68" s="15" t="n">
        <v>0.8436616524113609</v>
      </c>
      <c r="D68" s="15">
        <f>B68-C68</f>
        <v/>
      </c>
      <c r="E68" s="15" t="n">
        <v>1e-06</v>
      </c>
      <c r="F68">
        <f>IF(ABS(D68)&lt;=E68,"OK","CHECK")</f>
        <v/>
      </c>
    </row>
    <row r="69">
      <c r="A69" t="inlineStr">
        <is>
          <t>ATTRITION_ALL: p (p_ct)</t>
        </is>
      </c>
      <c r="B69" s="15">
        <f>Funnel!L26</f>
        <v/>
      </c>
      <c r="C69" s="15" t="n">
        <v>0.8436616524113609</v>
      </c>
      <c r="D69" s="15">
        <f>B69-C69</f>
        <v/>
      </c>
      <c r="E69" s="15" t="n">
        <v>1e-06</v>
      </c>
      <c r="F69">
        <f>IF(ABS(D69)&lt;=E69,"OK","CHECK")</f>
        <v/>
      </c>
    </row>
    <row r="70">
      <c r="A70" t="inlineStr">
        <is>
          <t>ATTRITION_ALL: es (phi)</t>
        </is>
      </c>
      <c r="B70" s="15">
        <f>Funnel!L27</f>
        <v/>
      </c>
      <c r="C70" s="15" t="n">
        <v>0.0122305680854598</v>
      </c>
      <c r="D70" s="15">
        <f>B70-C70</f>
        <v/>
      </c>
      <c r="E70" s="15" t="n">
        <v>1e-06</v>
      </c>
      <c r="F70">
        <f>IF(ABS(D70)&lt;=E70,"OK","CHECK")</f>
        <v/>
      </c>
    </row>
    <row r="71">
      <c r="A71" t="inlineStr">
        <is>
          <t>ATTRITION_STIMULI: statistic (x2)</t>
        </is>
      </c>
      <c r="B71" s="15">
        <f>Funnel!L38</f>
        <v/>
      </c>
      <c r="C71" s="15" t="n">
        <v>0.1841445583547971</v>
      </c>
      <c r="D71" s="15">
        <f>B71-C71</f>
        <v/>
      </c>
      <c r="E71" s="15" t="n">
        <v>1e-06</v>
      </c>
      <c r="F71">
        <f>IF(ABS(D71)&lt;=E71,"OK","CHECK")</f>
        <v/>
      </c>
    </row>
    <row r="72">
      <c r="A72" t="inlineStr">
        <is>
          <t>ATTRITION_STIMULI: p (p)</t>
        </is>
      </c>
      <c r="B72" s="15">
        <f>Funnel!L39</f>
        <v/>
      </c>
      <c r="C72" s="15" t="n">
        <v>0.667835403038756</v>
      </c>
      <c r="D72" s="15">
        <f>B72-C72</f>
        <v/>
      </c>
      <c r="E72" s="15" t="n">
        <v>1e-06</v>
      </c>
      <c r="F72">
        <f>IF(ABS(D72)&lt;=E72,"OK","CHECK")</f>
        <v/>
      </c>
    </row>
    <row r="73">
      <c r="A73" t="inlineStr">
        <is>
          <t>Funnel Entered STEP 1 Testing upload</t>
        </is>
      </c>
      <c r="B73" s="15">
        <f>Funnel!C5</f>
        <v/>
      </c>
      <c r="C73" s="15" t="n">
        <v>260</v>
      </c>
      <c r="D73" s="15">
        <f>B73-C73</f>
        <v/>
      </c>
      <c r="E73" s="15" t="n">
        <v>1e-09</v>
      </c>
      <c r="F73">
        <f>IF(ABS(D73)&lt;=E73,"OK","CHECK")</f>
        <v/>
      </c>
      <c r="G73" s="6" t="inlineStr">
        <is>
          <t>from SIMULATED_descriptives.csv or counted by this script</t>
        </is>
      </c>
    </row>
    <row r="74">
      <c r="A74" t="inlineStr">
        <is>
          <t>Funnel Stopped at STEP 1 Testing upload</t>
        </is>
      </c>
      <c r="B74" s="15">
        <f>Funnel!D5</f>
        <v/>
      </c>
      <c r="C74" s="15" t="n">
        <v>2</v>
      </c>
      <c r="D74" s="15">
        <f>B74-C74</f>
        <v/>
      </c>
      <c r="E74" s="15" t="n">
        <v>1e-09</v>
      </c>
      <c r="F74">
        <f>IF(ABS(D74)&lt;=E74,"OK","CHECK")</f>
        <v/>
      </c>
      <c r="G74" s="6" t="inlineStr">
        <is>
          <t>from SIMULATED_descriptives.csv or counted by this script</t>
        </is>
      </c>
    </row>
    <row r="75">
      <c r="A75" t="inlineStr">
        <is>
          <t>Funnel Percent of opened</t>
        </is>
      </c>
      <c r="B75" s="15">
        <f>Funnel!F5</f>
        <v/>
      </c>
      <c r="C75" s="15" t="n">
        <v>100</v>
      </c>
      <c r="D75" s="15">
        <f>B75-C75</f>
        <v/>
      </c>
      <c r="E75" s="15" t="n">
        <v>0.05</v>
      </c>
      <c r="F75">
        <f>IF(ABS(D75)&lt;=E75,"OK","CHECK")</f>
        <v/>
      </c>
      <c r="G75" s="6" t="inlineStr">
        <is>
          <t>from SIMULATED_descriptives.csv or counted by this script</t>
        </is>
      </c>
    </row>
    <row r="76">
      <c r="A76" t="inlineStr">
        <is>
          <t>Funnel Entered STEP 2 Consent screen</t>
        </is>
      </c>
      <c r="B76" s="15">
        <f>Funnel!C6</f>
        <v/>
      </c>
      <c r="C76" s="15" t="n">
        <v>258</v>
      </c>
      <c r="D76" s="15">
        <f>B76-C76</f>
        <v/>
      </c>
      <c r="E76" s="15" t="n">
        <v>1e-09</v>
      </c>
      <c r="F76">
        <f>IF(ABS(D76)&lt;=E76,"OK","CHECK")</f>
        <v/>
      </c>
      <c r="G76" s="6" t="inlineStr">
        <is>
          <t>from SIMULATED_descriptives.csv or counted by this script</t>
        </is>
      </c>
    </row>
    <row r="77">
      <c r="A77" t="inlineStr">
        <is>
          <t>Funnel Stopped at STEP 2 Consent screen</t>
        </is>
      </c>
      <c r="B77" s="15">
        <f>Funnel!D6</f>
        <v/>
      </c>
      <c r="C77" s="15" t="n">
        <v>14</v>
      </c>
      <c r="D77" s="15">
        <f>B77-C77</f>
        <v/>
      </c>
      <c r="E77" s="15" t="n">
        <v>1e-09</v>
      </c>
      <c r="F77">
        <f>IF(ABS(D77)&lt;=E77,"OK","CHECK")</f>
        <v/>
      </c>
      <c r="G77" s="6" t="inlineStr">
        <is>
          <t>from SIMULATED_descriptives.csv or counted by this script</t>
        </is>
      </c>
    </row>
    <row r="78">
      <c r="A78" t="inlineStr">
        <is>
          <t>Funnel Percent of opened</t>
        </is>
      </c>
      <c r="B78" s="15">
        <f>Funnel!F6</f>
        <v/>
      </c>
      <c r="C78" s="15" t="n">
        <v>99.23076923076923</v>
      </c>
      <c r="D78" s="15">
        <f>B78-C78</f>
        <v/>
      </c>
      <c r="E78" s="15" t="n">
        <v>0.05</v>
      </c>
      <c r="F78">
        <f>IF(ABS(D78)&lt;=E78,"OK","CHECK")</f>
        <v/>
      </c>
      <c r="G78" s="6" t="inlineStr">
        <is>
          <t>from SIMULATED_descriptives.csv or counted by this script</t>
        </is>
      </c>
    </row>
    <row r="79">
      <c r="A79" t="inlineStr">
        <is>
          <t>Funnel Entered STEP 3 Screen recording setup</t>
        </is>
      </c>
      <c r="B79" s="15">
        <f>Funnel!C7</f>
        <v/>
      </c>
      <c r="C79" s="15" t="n">
        <v>244</v>
      </c>
      <c r="D79" s="15">
        <f>B79-C79</f>
        <v/>
      </c>
      <c r="E79" s="15" t="n">
        <v>1e-09</v>
      </c>
      <c r="F79">
        <f>IF(ABS(D79)&lt;=E79,"OK","CHECK")</f>
        <v/>
      </c>
      <c r="G79" s="6" t="inlineStr">
        <is>
          <t>from SIMULATED_descriptives.csv or counted by this script</t>
        </is>
      </c>
    </row>
    <row r="80">
      <c r="A80" t="inlineStr">
        <is>
          <t>Funnel Stopped at STEP 3 Screen recording setup</t>
        </is>
      </c>
      <c r="B80" s="15">
        <f>Funnel!D7</f>
        <v/>
      </c>
      <c r="C80" s="15" t="n">
        <v>0</v>
      </c>
      <c r="D80" s="15">
        <f>B80-C80</f>
        <v/>
      </c>
      <c r="E80" s="15" t="n">
        <v>1e-09</v>
      </c>
      <c r="F80">
        <f>IF(ABS(D80)&lt;=E80,"OK","CHECK")</f>
        <v/>
      </c>
      <c r="G80" s="6" t="inlineStr">
        <is>
          <t>from SIMULATED_descriptives.csv or counted by this script</t>
        </is>
      </c>
    </row>
    <row r="81">
      <c r="A81" t="inlineStr">
        <is>
          <t>Funnel Percent of opened</t>
        </is>
      </c>
      <c r="B81" s="15">
        <f>Funnel!F7</f>
        <v/>
      </c>
      <c r="C81" s="15" t="n">
        <v>93.84615384615384</v>
      </c>
      <c r="D81" s="15">
        <f>B81-C81</f>
        <v/>
      </c>
      <c r="E81" s="15" t="n">
        <v>0.05</v>
      </c>
      <c r="F81">
        <f>IF(ABS(D81)&lt;=E81,"OK","CHECK")</f>
        <v/>
      </c>
      <c r="G81" s="6" t="inlineStr">
        <is>
          <t>from SIMULATED_descriptives.csv or counted by this script</t>
        </is>
      </c>
    </row>
    <row r="82">
      <c r="A82" t="inlineStr">
        <is>
          <t>Funnel Entered STEP 4 Respondent camera setup</t>
        </is>
      </c>
      <c r="B82" s="15">
        <f>Funnel!C8</f>
        <v/>
      </c>
      <c r="C82" s="15" t="n">
        <v>244</v>
      </c>
      <c r="D82" s="15">
        <f>B82-C82</f>
        <v/>
      </c>
      <c r="E82" s="15" t="n">
        <v>1e-09</v>
      </c>
      <c r="F82">
        <f>IF(ABS(D82)&lt;=E82,"OK","CHECK")</f>
        <v/>
      </c>
      <c r="G82" s="6" t="inlineStr">
        <is>
          <t>from SIMULATED_descriptives.csv or counted by this script</t>
        </is>
      </c>
    </row>
    <row r="83">
      <c r="A83" t="inlineStr">
        <is>
          <t>Funnel Stopped at STEP 4 Respondent camera setup</t>
        </is>
      </c>
      <c r="B83" s="15">
        <f>Funnel!D8</f>
        <v/>
      </c>
      <c r="C83" s="15" t="n">
        <v>12</v>
      </c>
      <c r="D83" s="15">
        <f>B83-C83</f>
        <v/>
      </c>
      <c r="E83" s="15" t="n">
        <v>1e-09</v>
      </c>
      <c r="F83">
        <f>IF(ABS(D83)&lt;=E83,"OK","CHECK")</f>
        <v/>
      </c>
      <c r="G83" s="6" t="inlineStr">
        <is>
          <t>from SIMULATED_descriptives.csv or counted by this script</t>
        </is>
      </c>
    </row>
    <row r="84">
      <c r="A84" t="inlineStr">
        <is>
          <t>Funnel Percent of opened</t>
        </is>
      </c>
      <c r="B84" s="15">
        <f>Funnel!F8</f>
        <v/>
      </c>
      <c r="C84" s="15" t="n">
        <v>93.84615384615384</v>
      </c>
      <c r="D84" s="15">
        <f>B84-C84</f>
        <v/>
      </c>
      <c r="E84" s="15" t="n">
        <v>0.05</v>
      </c>
      <c r="F84">
        <f>IF(ABS(D84)&lt;=E84,"OK","CHECK")</f>
        <v/>
      </c>
      <c r="G84" s="6" t="inlineStr">
        <is>
          <t>from SIMULATED_descriptives.csv or counted by this script</t>
        </is>
      </c>
    </row>
    <row r="85">
      <c r="A85" t="inlineStr">
        <is>
          <t>Funnel Entered STEP 5 Screen size</t>
        </is>
      </c>
      <c r="B85" s="15">
        <f>Funnel!C9</f>
        <v/>
      </c>
      <c r="C85" s="15" t="n">
        <v>232</v>
      </c>
      <c r="D85" s="15">
        <f>B85-C85</f>
        <v/>
      </c>
      <c r="E85" s="15" t="n">
        <v>1e-09</v>
      </c>
      <c r="F85">
        <f>IF(ABS(D85)&lt;=E85,"OK","CHECK")</f>
        <v/>
      </c>
      <c r="G85" s="6" t="inlineStr">
        <is>
          <t>from SIMULATED_descriptives.csv or counted by this script</t>
        </is>
      </c>
    </row>
    <row r="86">
      <c r="A86" t="inlineStr">
        <is>
          <t>Funnel Stopped at STEP 5 Screen size</t>
        </is>
      </c>
      <c r="B86" s="15">
        <f>Funnel!D9</f>
        <v/>
      </c>
      <c r="C86" s="15" t="n">
        <v>36</v>
      </c>
      <c r="D86" s="15">
        <f>B86-C86</f>
        <v/>
      </c>
      <c r="E86" s="15" t="n">
        <v>1e-09</v>
      </c>
      <c r="F86">
        <f>IF(ABS(D86)&lt;=E86,"OK","CHECK")</f>
        <v/>
      </c>
      <c r="G86" s="6" t="inlineStr">
        <is>
          <t>from SIMULATED_descriptives.csv or counted by this script</t>
        </is>
      </c>
    </row>
    <row r="87">
      <c r="A87" t="inlineStr">
        <is>
          <t>Funnel Percent of opened</t>
        </is>
      </c>
      <c r="B87" s="15">
        <f>Funnel!F9</f>
        <v/>
      </c>
      <c r="C87" s="15" t="n">
        <v>89.23076923076923</v>
      </c>
      <c r="D87" s="15">
        <f>B87-C87</f>
        <v/>
      </c>
      <c r="E87" s="15" t="n">
        <v>0.05</v>
      </c>
      <c r="F87">
        <f>IF(ABS(D87)&lt;=E87,"OK","CHECK")</f>
        <v/>
      </c>
      <c r="G87" s="6" t="inlineStr">
        <is>
          <t>from SIMULATED_descriptives.csv or counted by this script</t>
        </is>
      </c>
    </row>
    <row r="88">
      <c r="A88" t="inlineStr">
        <is>
          <t>Funnel Entered STEP 6 Enter fullscreen</t>
        </is>
      </c>
      <c r="B88" s="15">
        <f>Funnel!C10</f>
        <v/>
      </c>
      <c r="C88" s="15" t="n">
        <v>196</v>
      </c>
      <c r="D88" s="15">
        <f>B88-C88</f>
        <v/>
      </c>
      <c r="E88" s="15" t="n">
        <v>1e-09</v>
      </c>
      <c r="F88">
        <f>IF(ABS(D88)&lt;=E88,"OK","CHECK")</f>
        <v/>
      </c>
      <c r="G88" s="6" t="inlineStr">
        <is>
          <t>from SIMULATED_descriptives.csv or counted by this script</t>
        </is>
      </c>
    </row>
    <row r="89">
      <c r="A89" t="inlineStr">
        <is>
          <t>Funnel Stopped at STEP 6 Enter fullscreen</t>
        </is>
      </c>
      <c r="B89" s="15">
        <f>Funnel!D10</f>
        <v/>
      </c>
      <c r="C89" s="15" t="n">
        <v>3</v>
      </c>
      <c r="D89" s="15">
        <f>B89-C89</f>
        <v/>
      </c>
      <c r="E89" s="15" t="n">
        <v>1e-09</v>
      </c>
      <c r="F89">
        <f>IF(ABS(D89)&lt;=E89,"OK","CHECK")</f>
        <v/>
      </c>
      <c r="G89" s="6" t="inlineStr">
        <is>
          <t>from SIMULATED_descriptives.csv or counted by this script</t>
        </is>
      </c>
    </row>
    <row r="90">
      <c r="A90" t="inlineStr">
        <is>
          <t>Funnel Percent of opened</t>
        </is>
      </c>
      <c r="B90" s="15">
        <f>Funnel!F10</f>
        <v/>
      </c>
      <c r="C90" s="15" t="n">
        <v>75.38461538461539</v>
      </c>
      <c r="D90" s="15">
        <f>B90-C90</f>
        <v/>
      </c>
      <c r="E90" s="15" t="n">
        <v>0.05</v>
      </c>
      <c r="F90">
        <f>IF(ABS(D90)&lt;=E90,"OK","CHECK")</f>
        <v/>
      </c>
      <c r="G90" s="6" t="inlineStr">
        <is>
          <t>from SIMULATED_descriptives.csv or counted by this script</t>
        </is>
      </c>
    </row>
    <row r="91">
      <c r="A91" t="inlineStr">
        <is>
          <t>Funnel Entered STEP 7 Prepare positioning</t>
        </is>
      </c>
      <c r="B91" s="15">
        <f>Funnel!C11</f>
        <v/>
      </c>
      <c r="C91" s="15" t="n">
        <v>193</v>
      </c>
      <c r="D91" s="15">
        <f>B91-C91</f>
        <v/>
      </c>
      <c r="E91" s="15" t="n">
        <v>1e-09</v>
      </c>
      <c r="F91">
        <f>IF(ABS(D91)&lt;=E91,"OK","CHECK")</f>
        <v/>
      </c>
      <c r="G91" s="6" t="inlineStr">
        <is>
          <t>from SIMULATED_descriptives.csv or counted by this script</t>
        </is>
      </c>
    </row>
    <row r="92">
      <c r="A92" t="inlineStr">
        <is>
          <t>Funnel Stopped at STEP 7 Prepare positioning</t>
        </is>
      </c>
      <c r="B92" s="15">
        <f>Funnel!D11</f>
        <v/>
      </c>
      <c r="C92" s="15" t="n">
        <v>2</v>
      </c>
      <c r="D92" s="15">
        <f>B92-C92</f>
        <v/>
      </c>
      <c r="E92" s="15" t="n">
        <v>1e-09</v>
      </c>
      <c r="F92">
        <f>IF(ABS(D92)&lt;=E92,"OK","CHECK")</f>
        <v/>
      </c>
      <c r="G92" s="6" t="inlineStr">
        <is>
          <t>from SIMULATED_descriptives.csv or counted by this script</t>
        </is>
      </c>
    </row>
    <row r="93">
      <c r="A93" t="inlineStr">
        <is>
          <t>Funnel Percent of opened</t>
        </is>
      </c>
      <c r="B93" s="15">
        <f>Funnel!F11</f>
        <v/>
      </c>
      <c r="C93" s="15" t="n">
        <v>74.23076923076923</v>
      </c>
      <c r="D93" s="15">
        <f>B93-C93</f>
        <v/>
      </c>
      <c r="E93" s="15" t="n">
        <v>0.05</v>
      </c>
      <c r="F93">
        <f>IF(ABS(D93)&lt;=E93,"OK","CHECK")</f>
        <v/>
      </c>
      <c r="G93" s="6" t="inlineStr">
        <is>
          <t>from SIMULATED_descriptives.csv or counted by this script</t>
        </is>
      </c>
    </row>
    <row r="94">
      <c r="A94" t="inlineStr">
        <is>
          <t>Funnel Entered STEP 8 Positioning check</t>
        </is>
      </c>
      <c r="B94" s="15">
        <f>Funnel!C12</f>
        <v/>
      </c>
      <c r="C94" s="15" t="n">
        <v>191</v>
      </c>
      <c r="D94" s="15">
        <f>B94-C94</f>
        <v/>
      </c>
      <c r="E94" s="15" t="n">
        <v>1e-09</v>
      </c>
      <c r="F94">
        <f>IF(ABS(D94)&lt;=E94,"OK","CHECK")</f>
        <v/>
      </c>
      <c r="G94" s="6" t="inlineStr">
        <is>
          <t>from SIMULATED_descriptives.csv or counted by this script</t>
        </is>
      </c>
    </row>
    <row r="95">
      <c r="A95" t="inlineStr">
        <is>
          <t>Funnel Stopped at STEP 8 Positioning check</t>
        </is>
      </c>
      <c r="B95" s="15">
        <f>Funnel!D12</f>
        <v/>
      </c>
      <c r="C95" s="15" t="n">
        <v>6</v>
      </c>
      <c r="D95" s="15">
        <f>B95-C95</f>
        <v/>
      </c>
      <c r="E95" s="15" t="n">
        <v>1e-09</v>
      </c>
      <c r="F95">
        <f>IF(ABS(D95)&lt;=E95,"OK","CHECK")</f>
        <v/>
      </c>
      <c r="G95" s="6" t="inlineStr">
        <is>
          <t>from SIMULATED_descriptives.csv or counted by this script</t>
        </is>
      </c>
    </row>
    <row r="96">
      <c r="A96" t="inlineStr">
        <is>
          <t>Funnel Percent of opened</t>
        </is>
      </c>
      <c r="B96" s="15">
        <f>Funnel!F12</f>
        <v/>
      </c>
      <c r="C96" s="15" t="n">
        <v>73.46153846153847</v>
      </c>
      <c r="D96" s="15">
        <f>B96-C96</f>
        <v/>
      </c>
      <c r="E96" s="15" t="n">
        <v>0.05</v>
      </c>
      <c r="F96">
        <f>IF(ABS(D96)&lt;=E96,"OK","CHECK")</f>
        <v/>
      </c>
      <c r="G96" s="6" t="inlineStr">
        <is>
          <t>from SIMULATED_descriptives.csv or counted by this script</t>
        </is>
      </c>
    </row>
    <row r="97">
      <c r="A97" t="inlineStr">
        <is>
          <t>Funnel Entered STEP 9 Stimuli presentation*</t>
        </is>
      </c>
      <c r="B97" s="15">
        <f>Funnel!C13</f>
        <v/>
      </c>
      <c r="C97" s="15" t="n">
        <v>185</v>
      </c>
      <c r="D97" s="15">
        <f>B97-C97</f>
        <v/>
      </c>
      <c r="E97" s="15" t="n">
        <v>1e-09</v>
      </c>
      <c r="F97">
        <f>IF(ABS(D97)&lt;=E97,"OK","CHECK")</f>
        <v/>
      </c>
      <c r="G97" s="6" t="inlineStr">
        <is>
          <t>from SIMULATED_descriptives.csv or counted by this script</t>
        </is>
      </c>
    </row>
    <row r="98">
      <c r="A98" t="inlineStr">
        <is>
          <t>Funnel Stopped at STEP 9 Stimuli presentation*</t>
        </is>
      </c>
      <c r="B98" s="15">
        <f>Funnel!D13</f>
        <v/>
      </c>
      <c r="C98" s="15" t="n">
        <v>4</v>
      </c>
      <c r="D98" s="15">
        <f>B98-C98</f>
        <v/>
      </c>
      <c r="E98" s="15" t="n">
        <v>1e-09</v>
      </c>
      <c r="F98">
        <f>IF(ABS(D98)&lt;=E98,"OK","CHECK")</f>
        <v/>
      </c>
      <c r="G98" s="6" t="inlineStr">
        <is>
          <t>from SIMULATED_descriptives.csv or counted by this script</t>
        </is>
      </c>
    </row>
    <row r="99">
      <c r="A99" t="inlineStr">
        <is>
          <t>Funnel Percent of opened</t>
        </is>
      </c>
      <c r="B99" s="15">
        <f>Funnel!F13</f>
        <v/>
      </c>
      <c r="C99" s="15" t="n">
        <v>71.15384615384616</v>
      </c>
      <c r="D99" s="15">
        <f>B99-C99</f>
        <v/>
      </c>
      <c r="E99" s="15" t="n">
        <v>0.05</v>
      </c>
      <c r="F99">
        <f>IF(ABS(D99)&lt;=E99,"OK","CHECK")</f>
        <v/>
      </c>
      <c r="G99" s="6" t="inlineStr">
        <is>
          <t>from SIMULATED_descriptives.csv or counted by this script</t>
        </is>
      </c>
    </row>
    <row r="100">
      <c r="A100" t="inlineStr">
        <is>
          <t>Funnel Entered STEP 10 Study data upload</t>
        </is>
      </c>
      <c r="B100" s="15">
        <f>Funnel!C14</f>
        <v/>
      </c>
      <c r="C100" s="15" t="n">
        <v>181</v>
      </c>
      <c r="D100" s="15">
        <f>B100-C100</f>
        <v/>
      </c>
      <c r="E100" s="15" t="n">
        <v>1e-09</v>
      </c>
      <c r="F100">
        <f>IF(ABS(D100)&lt;=E100,"OK","CHECK")</f>
        <v/>
      </c>
      <c r="G100" s="6" t="inlineStr">
        <is>
          <t>from SIMULATED_descriptives.csv or counted by this script</t>
        </is>
      </c>
    </row>
    <row r="101">
      <c r="A101" t="inlineStr">
        <is>
          <t>Funnel Stopped at STEP 10 Study data upload</t>
        </is>
      </c>
      <c r="B101" s="15">
        <f>Funnel!D14</f>
        <v/>
      </c>
      <c r="C101" s="15" t="n">
        <v>3</v>
      </c>
      <c r="D101" s="15">
        <f>B101-C101</f>
        <v/>
      </c>
      <c r="E101" s="15" t="n">
        <v>1e-09</v>
      </c>
      <c r="F101">
        <f>IF(ABS(D101)&lt;=E101,"OK","CHECK")</f>
        <v/>
      </c>
      <c r="G101" s="6" t="inlineStr">
        <is>
          <t>from SIMULATED_descriptives.csv or counted by this script</t>
        </is>
      </c>
    </row>
    <row r="102">
      <c r="A102" t="inlineStr">
        <is>
          <t>Funnel Percent of opened</t>
        </is>
      </c>
      <c r="B102" s="15">
        <f>Funnel!F14</f>
        <v/>
      </c>
      <c r="C102" s="15" t="n">
        <v>69.61538461538461</v>
      </c>
      <c r="D102" s="15">
        <f>B102-C102</f>
        <v/>
      </c>
      <c r="E102" s="15" t="n">
        <v>0.05</v>
      </c>
      <c r="F102">
        <f>IF(ABS(D102)&lt;=E102,"OK","CHECK")</f>
        <v/>
      </c>
      <c r="G102" s="6" t="inlineStr">
        <is>
          <t>from SIMULATED_descriptives.csv or counted by this script</t>
        </is>
      </c>
    </row>
    <row r="103">
      <c r="A103" t="inlineStr">
        <is>
          <t>Funnel Completed (Status Processed)</t>
        </is>
      </c>
      <c r="B103" s="15">
        <f>Funnel!C15</f>
        <v/>
      </c>
      <c r="C103" s="15" t="n">
        <v>178</v>
      </c>
      <c r="D103" s="15">
        <f>B103-C103</f>
        <v/>
      </c>
      <c r="E103" s="15" t="n">
        <v>1e-09</v>
      </c>
      <c r="F103">
        <f>IF(ABS(D103)&lt;=E103,"OK","CHECK")</f>
        <v/>
      </c>
      <c r="G103" s="6" t="inlineStr">
        <is>
          <t>from SIMULATED_descriptives.csv or counted by this script</t>
        </is>
      </c>
    </row>
    <row r="104">
      <c r="A104" t="inlineStr">
        <is>
          <t>Funnel Completed, percent of opened</t>
        </is>
      </c>
      <c r="B104" s="15">
        <f>Funnel!F15</f>
        <v/>
      </c>
      <c r="C104" s="15" t="n">
        <v>68.46153846153847</v>
      </c>
      <c r="D104" s="15">
        <f>B104-C104</f>
        <v/>
      </c>
      <c r="E104" s="15" t="n">
        <v>0.05</v>
      </c>
      <c r="F104">
        <f>IF(ABS(D104)&lt;=E104,"OK","CHECK")</f>
        <v/>
      </c>
      <c r="G104" s="6" t="inlineStr">
        <is>
          <t>from SIMULATED_descriptives.csv or counted by this script</t>
        </is>
      </c>
    </row>
    <row r="105">
      <c r="A105" t="inlineStr">
        <is>
          <t>Funnel Continued after STEP 10 minus Completed</t>
        </is>
      </c>
      <c r="B105" s="15">
        <f>Funnel!C16</f>
        <v/>
      </c>
      <c r="C105" s="15" t="n">
        <v>0</v>
      </c>
      <c r="D105" s="15">
        <f>B105-C105</f>
        <v/>
      </c>
      <c r="E105" s="15" t="n">
        <v>1e-09</v>
      </c>
      <c r="F105">
        <f>IF(ABS(D105)&lt;=E105,"OK","CHECK")</f>
        <v/>
      </c>
      <c r="G105" s="6" t="inlineStr">
        <is>
          <t>from SIMULATED_descriptives.csv or counted by this script</t>
        </is>
      </c>
    </row>
    <row r="106">
      <c r="A106" t="inlineStr">
        <is>
          <t>Funnel Sessions that opened a link</t>
        </is>
      </c>
      <c r="B106" s="15">
        <f>Funnel!C19</f>
        <v/>
      </c>
      <c r="C106" s="15" t="n">
        <v>260</v>
      </c>
      <c r="D106" s="15">
        <f>B106-C106</f>
        <v/>
      </c>
      <c r="E106" s="15" t="n">
        <v>1e-09</v>
      </c>
      <c r="F106">
        <f>IF(ABS(D106)&lt;=E106,"OK","CHECK")</f>
        <v/>
      </c>
      <c r="G106" s="6" t="inlineStr">
        <is>
          <t>from SIMULATED_descriptives.csv or counted by this script</t>
        </is>
      </c>
    </row>
    <row r="107">
      <c r="A107" t="inlineStr">
        <is>
          <t>Funnel Opened, Narrative first</t>
        </is>
      </c>
      <c r="B107" s="15">
        <f>Funnel!B22</f>
        <v/>
      </c>
      <c r="C107" s="15" t="n">
        <v>126</v>
      </c>
      <c r="D107" s="15">
        <f>B107-C107</f>
        <v/>
      </c>
      <c r="E107" s="15" t="n">
        <v>1e-09</v>
      </c>
      <c r="F107">
        <f>IF(ABS(D107)&lt;=E107,"OK","CHECK")</f>
        <v/>
      </c>
      <c r="G107" s="6" t="inlineStr">
        <is>
          <t>from SIMULATED_descriptives.csv or counted by this script</t>
        </is>
      </c>
    </row>
    <row r="108">
      <c r="A108" t="inlineStr">
        <is>
          <t>Funnel Completed, Narrative first</t>
        </is>
      </c>
      <c r="B108" s="15">
        <f>Funnel!D22</f>
        <v/>
      </c>
      <c r="C108" s="15" t="n">
        <v>87</v>
      </c>
      <c r="D108" s="15">
        <f>B108-C108</f>
        <v/>
      </c>
      <c r="E108" s="15" t="n">
        <v>1e-09</v>
      </c>
      <c r="F108">
        <f>IF(ABS(D108)&lt;=E108,"OK","CHECK")</f>
        <v/>
      </c>
      <c r="G108" s="6" t="inlineStr">
        <is>
          <t>from SIMULATED_descriptives.csv or counted by this script</t>
        </is>
      </c>
    </row>
    <row r="109">
      <c r="A109" t="inlineStr">
        <is>
          <t>Funnel Percent completed, Narrative first</t>
        </is>
      </c>
      <c r="B109" s="15">
        <f>Funnel!F22</f>
        <v/>
      </c>
      <c r="C109" s="15" t="n">
        <v>69</v>
      </c>
      <c r="D109" s="15">
        <f>B109-C109</f>
        <v/>
      </c>
      <c r="E109" s="15" t="n">
        <v>0.05</v>
      </c>
      <c r="F109">
        <f>IF(ABS(D109)&lt;=E109,"OK","CHECK")</f>
        <v/>
      </c>
      <c r="G109" s="6" t="inlineStr">
        <is>
          <t>from SIMULATED_descriptives.csv or counted by this script</t>
        </is>
      </c>
    </row>
    <row r="110">
      <c r="A110" t="inlineStr">
        <is>
          <t>Funnel Opened, Visual first</t>
        </is>
      </c>
      <c r="B110" s="15">
        <f>Funnel!B23</f>
        <v/>
      </c>
      <c r="C110" s="15" t="n">
        <v>134</v>
      </c>
      <c r="D110" s="15">
        <f>B110-C110</f>
        <v/>
      </c>
      <c r="E110" s="15" t="n">
        <v>1e-09</v>
      </c>
      <c r="F110">
        <f>IF(ABS(D110)&lt;=E110,"OK","CHECK")</f>
        <v/>
      </c>
      <c r="G110" s="6" t="inlineStr">
        <is>
          <t>from SIMULATED_descriptives.csv or counted by this script</t>
        </is>
      </c>
    </row>
    <row r="111">
      <c r="A111" t="inlineStr">
        <is>
          <t>Funnel Completed, Visual first</t>
        </is>
      </c>
      <c r="B111" s="15">
        <f>Funnel!D23</f>
        <v/>
      </c>
      <c r="C111" s="15" t="n">
        <v>91</v>
      </c>
      <c r="D111" s="15">
        <f>B111-C111</f>
        <v/>
      </c>
      <c r="E111" s="15" t="n">
        <v>1e-09</v>
      </c>
      <c r="F111">
        <f>IF(ABS(D111)&lt;=E111,"OK","CHECK")</f>
        <v/>
      </c>
      <c r="G111" s="6" t="inlineStr">
        <is>
          <t>from SIMULATED_descriptives.csv or counted by this script</t>
        </is>
      </c>
    </row>
    <row r="112">
      <c r="A112" t="inlineStr">
        <is>
          <t>Funnel Percent completed, Visual first</t>
        </is>
      </c>
      <c r="B112" s="15">
        <f>Funnel!F23</f>
        <v/>
      </c>
      <c r="C112" s="15" t="n">
        <v>67.90000000000001</v>
      </c>
      <c r="D112" s="15">
        <f>B112-C112</f>
        <v/>
      </c>
      <c r="E112" s="15" t="n">
        <v>0.05</v>
      </c>
      <c r="F112">
        <f>IF(ABS(D112)&lt;=E112,"OK","CHECK")</f>
        <v/>
      </c>
      <c r="G112" s="6" t="inlineStr">
        <is>
          <t>from SIMULATED_descriptives.csv or counted by this script</t>
        </is>
      </c>
    </row>
    <row r="113">
      <c r="A113" t="inlineStr">
        <is>
          <t>Screening Completed respondents screened</t>
        </is>
      </c>
      <c r="B113" s="15">
        <f>Screening!S7</f>
        <v/>
      </c>
      <c r="C113" s="15" t="n">
        <v>178</v>
      </c>
      <c r="D113" s="15">
        <f>B113-C113</f>
        <v/>
      </c>
      <c r="E113" s="15" t="n">
        <v>1e-09</v>
      </c>
      <c r="F113">
        <f>IF(ABS(D113)&lt;=E113,"OK","CHECK")</f>
        <v/>
      </c>
      <c r="G113" s="6" t="inlineStr">
        <is>
          <t>from SIMULATED_descriptives.csv or counted by this script</t>
        </is>
      </c>
    </row>
    <row r="114">
      <c r="A114" t="inlineStr">
        <is>
          <t>Screening Excluded</t>
        </is>
      </c>
      <c r="B114" s="15">
        <f>Screening!S8</f>
        <v/>
      </c>
      <c r="C114" s="15" t="n">
        <v>36</v>
      </c>
      <c r="D114" s="15">
        <f>B114-C114</f>
        <v/>
      </c>
      <c r="E114" s="15" t="n">
        <v>1e-09</v>
      </c>
      <c r="F114">
        <f>IF(ABS(D114)&lt;=E114,"OK","CHECK")</f>
        <v/>
      </c>
      <c r="G114" s="6" t="inlineStr">
        <is>
          <t>from SIMULATED_descriptives.csv or counted by this script</t>
        </is>
      </c>
    </row>
    <row r="115">
      <c r="A115" t="inlineStr">
        <is>
          <t>Screening Kept</t>
        </is>
      </c>
      <c r="B115" s="15">
        <f>Screening!S9</f>
        <v/>
      </c>
      <c r="C115" s="15" t="n">
        <v>142</v>
      </c>
      <c r="D115" s="15">
        <f>B115-C115</f>
        <v/>
      </c>
      <c r="E115" s="15" t="n">
        <v>1e-09</v>
      </c>
      <c r="F115">
        <f>IF(ABS(D115)&lt;=E115,"OK","CHECK")</f>
        <v/>
      </c>
      <c r="G115" s="6" t="inlineStr">
        <is>
          <t>from SIMULATED_descriptives.csv or counted by this script</t>
        </is>
      </c>
    </row>
    <row r="116">
      <c r="A116" t="inlineStr">
        <is>
          <t>Screening First reason: Pre-study accuracy</t>
        </is>
      </c>
      <c r="B116" s="15">
        <f>Screening!S10</f>
        <v/>
      </c>
      <c r="C116" s="15" t="n">
        <v>5</v>
      </c>
      <c r="D116" s="15">
        <f>B116-C116</f>
        <v/>
      </c>
      <c r="E116" s="15" t="n">
        <v>1e-09</v>
      </c>
      <c r="F116">
        <f>IF(ABS(D116)&lt;=E116,"OK","CHECK")</f>
        <v/>
      </c>
      <c r="G116" s="6" t="inlineStr">
        <is>
          <t>from SIMULATED_descriptives.csv or counted by this script</t>
        </is>
      </c>
    </row>
    <row r="117">
      <c r="A117" t="inlineStr">
        <is>
          <t>Screening First reason: Post-study accuracy</t>
        </is>
      </c>
      <c r="B117" s="15">
        <f>Screening!S11</f>
        <v/>
      </c>
      <c r="C117" s="15" t="n">
        <v>12</v>
      </c>
      <c r="D117" s="15">
        <f>B117-C117</f>
        <v/>
      </c>
      <c r="E117" s="15" t="n">
        <v>1e-09</v>
      </c>
      <c r="F117">
        <f>IF(ABS(D117)&lt;=E117,"OK","CHECK")</f>
        <v/>
      </c>
      <c r="G117" s="6" t="inlineStr">
        <is>
          <t>from SIMULATED_descriptives.csv or counted by this script</t>
        </is>
      </c>
    </row>
    <row r="118">
      <c r="A118" t="inlineStr">
        <is>
          <t>Screening First reason: Eye tracking quality</t>
        </is>
      </c>
      <c r="B118" s="15">
        <f>Screening!S12</f>
        <v/>
      </c>
      <c r="C118" s="15" t="n">
        <v>14</v>
      </c>
      <c r="D118" s="15">
        <f>B118-C118</f>
        <v/>
      </c>
      <c r="E118" s="15" t="n">
        <v>1e-09</v>
      </c>
      <c r="F118">
        <f>IF(ABS(D118)&lt;=E118,"OK","CHECK")</f>
        <v/>
      </c>
      <c r="G118" s="6" t="inlineStr">
        <is>
          <t>from SIMULATED_descriptives.csv or counted by this script</t>
        </is>
      </c>
    </row>
    <row r="119">
      <c r="A119" t="inlineStr">
        <is>
          <t>Screening First reason: Face quality</t>
        </is>
      </c>
      <c r="B119" s="15">
        <f>Screening!S13</f>
        <v/>
      </c>
      <c r="C119" s="15" t="n">
        <v>5</v>
      </c>
      <c r="D119" s="15">
        <f>B119-C119</f>
        <v/>
      </c>
      <c r="E119" s="15" t="n">
        <v>1e-09</v>
      </c>
      <c r="F119">
        <f>IF(ABS(D119)&lt;=E119,"OK","CHECK")</f>
        <v/>
      </c>
      <c r="G119" s="6" t="inlineStr">
        <is>
          <t>from SIMULATED_descriptives.csv or counted by this script</t>
        </is>
      </c>
    </row>
    <row r="120">
      <c r="A120" t="inlineStr">
        <is>
          <t>Screening Failed (any): Pre-study accuracy</t>
        </is>
      </c>
      <c r="B120" s="15">
        <f>Screening!S14</f>
        <v/>
      </c>
      <c r="C120" s="15" t="n">
        <v>5</v>
      </c>
      <c r="D120" s="15">
        <f>B120-C120</f>
        <v/>
      </c>
      <c r="E120" s="15" t="n">
        <v>1e-09</v>
      </c>
      <c r="F120">
        <f>IF(ABS(D120)&lt;=E120,"OK","CHECK")</f>
        <v/>
      </c>
      <c r="G120" s="6" t="inlineStr">
        <is>
          <t>from SIMULATED_descriptives.csv or counted by this script</t>
        </is>
      </c>
    </row>
    <row r="121">
      <c r="A121" t="inlineStr">
        <is>
          <t>Screening Failed (any): Post-study accuracy</t>
        </is>
      </c>
      <c r="B121" s="15">
        <f>Screening!S15</f>
        <v/>
      </c>
      <c r="C121" s="15" t="n">
        <v>17</v>
      </c>
      <c r="D121" s="15">
        <f>B121-C121</f>
        <v/>
      </c>
      <c r="E121" s="15" t="n">
        <v>1e-09</v>
      </c>
      <c r="F121">
        <f>IF(ABS(D121)&lt;=E121,"OK","CHECK")</f>
        <v/>
      </c>
      <c r="G121" s="6" t="inlineStr">
        <is>
          <t>from SIMULATED_descriptives.csv or counted by this script</t>
        </is>
      </c>
    </row>
    <row r="122">
      <c r="A122" t="inlineStr">
        <is>
          <t>Screening Failed (any): Eye tracking quality</t>
        </is>
      </c>
      <c r="B122" s="15">
        <f>Screening!S16</f>
        <v/>
      </c>
      <c r="C122" s="15" t="n">
        <v>20</v>
      </c>
      <c r="D122" s="15">
        <f>B122-C122</f>
        <v/>
      </c>
      <c r="E122" s="15" t="n">
        <v>1e-09</v>
      </c>
      <c r="F122">
        <f>IF(ABS(D122)&lt;=E122,"OK","CHECK")</f>
        <v/>
      </c>
      <c r="G122" s="6" t="inlineStr">
        <is>
          <t>from SIMULATED_descriptives.csv or counted by this script</t>
        </is>
      </c>
    </row>
    <row r="123">
      <c r="A123" t="inlineStr">
        <is>
          <t>Screening Failed (any): Face quality</t>
        </is>
      </c>
      <c r="B123" s="15">
        <f>Screening!S17</f>
        <v/>
      </c>
      <c r="C123" s="15" t="n">
        <v>14</v>
      </c>
      <c r="D123" s="15">
        <f>B123-C123</f>
        <v/>
      </c>
      <c r="E123" s="15" t="n">
        <v>1e-09</v>
      </c>
      <c r="F123">
        <f>IF(ABS(D123)&lt;=E123,"OK","CHECK")</f>
        <v/>
      </c>
      <c r="G123" s="6" t="inlineStr">
        <is>
          <t>from SIMULATED_descriptives.csv or counted by this script</t>
        </is>
      </c>
    </row>
    <row r="124">
      <c r="A124" t="inlineStr">
        <is>
          <t>Screening Kept, Narrative first</t>
        </is>
      </c>
      <c r="B124" s="15">
        <f>Screening!S20</f>
        <v/>
      </c>
      <c r="C124" s="15" t="n">
        <v>69</v>
      </c>
      <c r="D124" s="15">
        <f>B124-C124</f>
        <v/>
      </c>
      <c r="E124" s="15" t="n">
        <v>1e-09</v>
      </c>
      <c r="F124">
        <f>IF(ABS(D124)&lt;=E124,"OK","CHECK")</f>
        <v/>
      </c>
      <c r="G124" s="6" t="inlineStr">
        <is>
          <t>from SIMULATED_descriptives.csv or counted by this script</t>
        </is>
      </c>
    </row>
    <row r="125">
      <c r="A125" t="inlineStr">
        <is>
          <t>Screening Kept, Visual first</t>
        </is>
      </c>
      <c r="B125" s="15">
        <f>Screening!S21</f>
        <v/>
      </c>
      <c r="C125" s="15" t="n">
        <v>73</v>
      </c>
      <c r="D125" s="15">
        <f>B125-C125</f>
        <v/>
      </c>
      <c r="E125" s="15" t="n">
        <v>1e-09</v>
      </c>
      <c r="F125">
        <f>IF(ABS(D125)&lt;=E125,"OK","CHECK")</f>
        <v/>
      </c>
      <c r="G125" s="6" t="inlineStr">
        <is>
          <t>from SIMULATED_descriptives.csv or counted by this script</t>
        </is>
      </c>
    </row>
    <row r="126">
      <c r="A126" t="inlineStr">
        <is>
          <t>Screening Kept at 3.0 degrees</t>
        </is>
      </c>
      <c r="B126" s="15">
        <f>Screening!S22</f>
        <v/>
      </c>
      <c r="C126" s="15" t="n">
        <v>125</v>
      </c>
      <c r="D126" s="15">
        <f>B126-C126</f>
        <v/>
      </c>
      <c r="E126" s="15" t="n">
        <v>1e-09</v>
      </c>
      <c r="F126">
        <f>IF(ABS(D126)&lt;=E126,"OK","CHECK")</f>
        <v/>
      </c>
      <c r="G126" s="6" t="inlineStr">
        <is>
          <t>from SIMULATED_descriptives.csv or counted by this script</t>
        </is>
      </c>
    </row>
    <row r="127">
      <c r="A127" t="inlineStr">
        <is>
          <t>Screening Further removed at 3.0 degrees</t>
        </is>
      </c>
      <c r="B127" s="15">
        <f>Screening!S23</f>
        <v/>
      </c>
      <c r="C127" s="15" t="n">
        <v>17</v>
      </c>
      <c r="D127" s="15">
        <f>B127-C127</f>
        <v/>
      </c>
      <c r="E127" s="15" t="n">
        <v>1e-09</v>
      </c>
      <c r="F127">
        <f>IF(ABS(D127)&lt;=E127,"OK","CHECK")</f>
        <v/>
      </c>
      <c r="G127" s="6" t="inlineStr">
        <is>
          <t>from SIMULATED_descriptives.csv or counted by this script</t>
        </is>
      </c>
    </row>
    <row r="128">
      <c r="A128" t="inlineStr">
        <is>
          <t>H1 Kept respondents on the Screening sheet</t>
        </is>
      </c>
      <c r="B128" s="15">
        <f>H1!I64</f>
        <v/>
      </c>
      <c r="C128" s="15" t="n">
        <v>142</v>
      </c>
      <c r="D128" s="15">
        <f>B128-C128</f>
        <v/>
      </c>
      <c r="E128" s="15" t="n">
        <v>1e-09</v>
      </c>
      <c r="F128">
        <f>IF(ABS(D128)&lt;=E128,"OK","CHECK")</f>
        <v/>
      </c>
      <c r="G128" s="6" t="inlineStr">
        <is>
          <t>from SIMULATED_descriptives.csv or counted by this script</t>
        </is>
      </c>
    </row>
    <row r="129">
      <c r="A129" t="inlineStr">
        <is>
          <t>H1 Rows in the sensitivity block marked Exclude at 3.0 (must be 0)</t>
        </is>
      </c>
      <c r="B129" s="15">
        <f>H1!I65</f>
        <v/>
      </c>
      <c r="C129" s="15" t="n">
        <v>0</v>
      </c>
      <c r="D129" s="15">
        <f>B129-C129</f>
        <v/>
      </c>
      <c r="E129" s="15" t="n">
        <v>1e-09</v>
      </c>
      <c r="F129">
        <f>IF(ABS(D129)&lt;=E129,"OK","CHECK")</f>
        <v/>
      </c>
      <c r="G129" s="6" t="inlineStr">
        <is>
          <t>from SIMULATED_descriptives.csv or counted by this script</t>
        </is>
      </c>
    </row>
    <row r="130">
      <c r="A130" t="inlineStr">
        <is>
          <t>H1 Rows below the sensitivity block marked Exclude at 3.0</t>
        </is>
      </c>
      <c r="B130" s="15">
        <f>H1!I66</f>
        <v/>
      </c>
      <c r="C130" s="15" t="n">
        <v>17</v>
      </c>
      <c r="D130" s="15">
        <f>B130-C130</f>
        <v/>
      </c>
      <c r="E130" s="15" t="n">
        <v>1e-09</v>
      </c>
      <c r="F130">
        <f>IF(ABS(D130)&lt;=E130,"OK","CHECK")</f>
        <v/>
      </c>
      <c r="G130" s="6" t="inlineStr">
        <is>
          <t>from SIMULATED_descriptives.csv or counted by this script</t>
        </is>
      </c>
    </row>
    <row r="131"/>
    <row r="132">
      <c r="A132" s="9" t="inlineStr">
        <is>
          <t>Rows with status CHECK</t>
        </is>
      </c>
      <c r="B132">
        <f>COUNTIF(F4:F130,"CHECK")</f>
        <v/>
      </c>
    </row>
    <row r="133">
      <c r="A133" s="6" t="inlineStr">
        <is>
          <t>Not reproducible in Excel: H2 (Friedman test, Kendall's W, Holm adjusted Wilcoxon tests), the Wilcoxon, Mann Whitney, and Fisher exact tests, the exact noncentral t intervals, the logistic regression of the Headline hit on accuracy, Shapiro Wilk tests, and the Spearman correlations. See analysis_output.txt.</t>
        </is>
      </c>
    </row>
    <row r="134"/>
    <row r="135">
      <c r="A135" s="9" t="inlineStr">
        <is>
          <t>analysis.R: SIMULATED_test_results.csv</t>
        </is>
      </c>
    </row>
    <row r="136">
      <c r="A136" s="2" t="inlineStr">
        <is>
          <t>id</t>
        </is>
      </c>
      <c r="B136" s="2" t="inlineStr">
        <is>
          <t>test</t>
        </is>
      </c>
      <c r="C136" s="2" t="inlineStr">
        <is>
          <t>comparison</t>
        </is>
      </c>
      <c r="D136" s="2" t="inlineStr">
        <is>
          <t>n</t>
        </is>
      </c>
      <c r="E136" s="2" t="inlineStr">
        <is>
          <t>n1</t>
        </is>
      </c>
      <c r="F136" s="2" t="inlineStr">
        <is>
          <t>n2</t>
        </is>
      </c>
      <c r="G136" s="2" t="inlineStr">
        <is>
          <t>m1</t>
        </is>
      </c>
      <c r="H136" s="2" t="inlineStr">
        <is>
          <t>m2</t>
        </is>
      </c>
      <c r="I136" s="2" t="inlineStr">
        <is>
          <t>sd1</t>
        </is>
      </c>
      <c r="J136" s="2" t="inlineStr">
        <is>
          <t>sd2</t>
        </is>
      </c>
      <c r="K136" s="2" t="inlineStr">
        <is>
          <t>mean_diff</t>
        </is>
      </c>
      <c r="L136" s="2" t="inlineStr">
        <is>
          <t>sd_diff</t>
        </is>
      </c>
      <c r="M136" s="2" t="inlineStr">
        <is>
          <t>sd_pooled</t>
        </is>
      </c>
      <c r="N136" s="2" t="inlineStr">
        <is>
          <t>diff_ci_low</t>
        </is>
      </c>
      <c r="O136" s="2" t="inlineStr">
        <is>
          <t>diff_ci_high</t>
        </is>
      </c>
      <c r="P136" s="2" t="inlineStr">
        <is>
          <t>statistic_name</t>
        </is>
      </c>
      <c r="Q136" s="2" t="inlineStr">
        <is>
          <t>statistic</t>
        </is>
      </c>
      <c r="R136" s="2" t="inlineStr">
        <is>
          <t>df</t>
        </is>
      </c>
      <c r="S136" s="2" t="inlineStr">
        <is>
          <t>p</t>
        </is>
      </c>
      <c r="T136" s="2" t="inlineStr">
        <is>
          <t>p_holm</t>
        </is>
      </c>
      <c r="U136" s="2" t="inlineStr">
        <is>
          <t>es_type</t>
        </is>
      </c>
      <c r="V136" s="2" t="inlineStr">
        <is>
          <t>es</t>
        </is>
      </c>
      <c r="W136" s="2" t="inlineStr">
        <is>
          <t>es_ci_low</t>
        </is>
      </c>
      <c r="X136" s="2" t="inlineStr">
        <is>
          <t>es_ci_high</t>
        </is>
      </c>
      <c r="Y136" s="2" t="inlineStr">
        <is>
          <t>es_ci_low_approx</t>
        </is>
      </c>
      <c r="Z136" s="2" t="inlineStr">
        <is>
          <t>es_ci_high_approx</t>
        </is>
      </c>
      <c r="AA136" s="2" t="inlineStr">
        <is>
          <t>g</t>
        </is>
      </c>
      <c r="AB136" s="2" t="inlineStr">
        <is>
          <t>g_ci_low</t>
        </is>
      </c>
      <c r="AC136" s="2" t="inlineStr">
        <is>
          <t>g_ci_high</t>
        </is>
      </c>
      <c r="AD136" s="2" t="inlineStr">
        <is>
          <t>g_ci_low_approx</t>
        </is>
      </c>
      <c r="AE136" s="2" t="inlineStr">
        <is>
          <t>g_ci_high_approx</t>
        </is>
      </c>
      <c r="AF136" s="2" t="inlineStr">
        <is>
          <t>nonparam_test</t>
        </is>
      </c>
      <c r="AG136" s="2" t="inlineStr">
        <is>
          <t>nonparam_stat</t>
        </is>
      </c>
      <c r="AH136" s="2" t="inlineStr">
        <is>
          <t>nonparam_p</t>
        </is>
      </c>
      <c r="AI136" s="2" t="inlineStr">
        <is>
          <t>shapiro_p</t>
        </is>
      </c>
      <c r="AJ136" s="2" t="inlineStr">
        <is>
          <t>note</t>
        </is>
      </c>
    </row>
    <row r="137">
      <c r="A137" t="inlineStr">
        <is>
          <t>H1</t>
        </is>
      </c>
      <c r="B137" t="inlineStr">
        <is>
          <t>paired t (one sample t on the differences)</t>
        </is>
      </c>
      <c r="C137" t="inlineStr">
        <is>
          <t>H1: Engagement (percent of time above 50), kept respondents, n = 142</t>
        </is>
      </c>
      <c r="D137" t="n">
        <v>142</v>
      </c>
      <c r="E137" t="inlineStr">
        <is>
          <t>NA</t>
        </is>
      </c>
      <c r="F137" t="inlineStr">
        <is>
          <t>NA</t>
        </is>
      </c>
      <c r="G137" t="n">
        <v>19.49</v>
      </c>
      <c r="H137" t="n">
        <v>43.6312676056338</v>
      </c>
      <c r="I137" t="n">
        <v>19.97152476448505</v>
      </c>
      <c r="J137" t="n">
        <v>26.39296752076191</v>
      </c>
      <c r="K137" t="n">
        <v>24.1412676056338</v>
      </c>
      <c r="L137" t="n">
        <v>28.83375058589959</v>
      </c>
      <c r="M137" t="inlineStr">
        <is>
          <t>NA</t>
        </is>
      </c>
      <c r="N137" t="n">
        <v>19.35773670030994</v>
      </c>
      <c r="O137" t="n">
        <v>28.92479851095767</v>
      </c>
      <c r="P137" t="inlineStr">
        <is>
          <t>t</t>
        </is>
      </c>
      <c r="Q137" t="n">
        <v>9.977071968325049</v>
      </c>
      <c r="R137" t="n">
        <v>141</v>
      </c>
      <c r="S137" t="n">
        <v>4.570284228789562e-18</v>
      </c>
      <c r="T137" t="inlineStr">
        <is>
          <t>NA</t>
        </is>
      </c>
      <c r="U137" t="inlineStr">
        <is>
          <t>d_z</t>
        </is>
      </c>
      <c r="V137" t="n">
        <v>0.8372572806202836</v>
      </c>
      <c r="W137" t="n">
        <v>0.6448714839773173</v>
      </c>
      <c r="X137" t="n">
        <v>1.027412208774743</v>
      </c>
      <c r="Y137" t="n">
        <v>0.6461139392414814</v>
      </c>
      <c r="Z137" t="n">
        <v>1.028400621999086</v>
      </c>
      <c r="AA137" t="inlineStr">
        <is>
          <t>NA</t>
        </is>
      </c>
      <c r="AB137" t="inlineStr">
        <is>
          <t>NA</t>
        </is>
      </c>
      <c r="AC137" t="inlineStr">
        <is>
          <t>NA</t>
        </is>
      </c>
      <c r="AD137" t="inlineStr">
        <is>
          <t>NA</t>
        </is>
      </c>
      <c r="AE137" t="inlineStr">
        <is>
          <t>NA</t>
        </is>
      </c>
      <c r="AF137" t="inlineStr">
        <is>
          <t>Wilcoxon signed rank V</t>
        </is>
      </c>
      <c r="AG137" t="n">
        <v>8852</v>
      </c>
      <c r="AH137" t="n">
        <v>2.466368400464359e-15</v>
      </c>
      <c r="AI137" t="n">
        <v>0.1046720215245714</v>
      </c>
      <c r="AJ137" t="inlineStr">
        <is>
          <t>NA</t>
        </is>
      </c>
    </row>
    <row r="138">
      <c r="A138" t="inlineStr">
        <is>
          <t>H2_FRIEDMAN</t>
        </is>
      </c>
      <c r="B138" t="inlineStr">
        <is>
          <t>Friedman test</t>
        </is>
      </c>
      <c r="C138" t="inlineStr">
        <is>
          <t>H2: dwell time (ms) on Tip_1 to Tip_4, kept respondents, n = 142</t>
        </is>
      </c>
      <c r="D138" t="n">
        <v>142</v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NA</t>
        </is>
      </c>
      <c r="N138" t="inlineStr">
        <is>
          <t>NA</t>
        </is>
      </c>
      <c r="O138" t="inlineStr">
        <is>
          <t>NA</t>
        </is>
      </c>
      <c r="P138" t="inlineStr">
        <is>
          <t>Friedman chi square</t>
        </is>
      </c>
      <c r="Q138" t="n">
        <v>78.95492957746478</v>
      </c>
      <c r="R138" t="n">
        <v>3</v>
      </c>
      <c r="S138" t="n">
        <v>5.142617521277712e-17</v>
      </c>
      <c r="T138" t="inlineStr">
        <is>
          <t>NA</t>
        </is>
      </c>
      <c r="U138" t="inlineStr">
        <is>
          <t>Kendall's W</t>
        </is>
      </c>
      <c r="V138" t="n">
        <v>0.1853402102757389</v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A138" t="inlineStr">
        <is>
          <t>NA</t>
        </is>
      </c>
      <c r="AB138" t="inlineStr">
        <is>
          <t>NA</t>
        </is>
      </c>
      <c r="AC138" t="inlineStr">
        <is>
          <t>NA</t>
        </is>
      </c>
      <c r="AD138" t="inlineStr">
        <is>
          <t>NA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H138" t="inlineStr">
        <is>
          <t>NA</t>
        </is>
      </c>
      <c r="AI138" t="inlineStr">
        <is>
          <t>NA</t>
        </is>
      </c>
      <c r="AJ138" t="inlineStr">
        <is>
          <t>NA</t>
        </is>
      </c>
    </row>
    <row r="139">
      <c r="A139" t="inlineStr">
        <is>
          <t>H2_PAIR_Tip_1_Tip_2</t>
        </is>
      </c>
      <c r="B139" t="inlineStr">
        <is>
          <t>Wilcoxon signed rank (paired), Holm adjusted</t>
        </is>
      </c>
      <c r="C139" t="inlineStr">
        <is>
          <t>H2: dwell time (ms) on Tip_1 to Tip_4, kept respondents, n = 142: Tip_1 vs Tip_2, dwell time (ms)</t>
        </is>
      </c>
      <c r="D139" t="n">
        <v>142</v>
      </c>
      <c r="E139" t="inlineStr">
        <is>
          <t>NA</t>
        </is>
      </c>
      <c r="F139" t="inlineStr">
        <is>
          <t>NA</t>
        </is>
      </c>
      <c r="G139" t="n">
        <v>3742.24647887324</v>
      </c>
      <c r="H139" t="n">
        <v>2099.619718309859</v>
      </c>
      <c r="I139" t="inlineStr">
        <is>
          <t>NA</t>
        </is>
      </c>
      <c r="J139" t="inlineStr">
        <is>
          <t>NA</t>
        </is>
      </c>
      <c r="K139" t="n">
        <v>1642.62676056338</v>
      </c>
      <c r="L139" t="n">
        <v>2477.196893336662</v>
      </c>
      <c r="M139" t="inlineStr">
        <is>
          <t>NA</t>
        </is>
      </c>
      <c r="N139" t="inlineStr">
        <is>
          <t>NA</t>
        </is>
      </c>
      <c r="O139" t="inlineStr">
        <is>
          <t>NA</t>
        </is>
      </c>
      <c r="P139" t="inlineStr">
        <is>
          <t>Wilcoxon V</t>
        </is>
      </c>
      <c r="Q139" t="n">
        <v>8420.5</v>
      </c>
      <c r="R139" t="inlineStr">
        <is>
          <t>NA</t>
        </is>
      </c>
      <c r="S139" t="n">
        <v>9.839500604901505e-12</v>
      </c>
      <c r="T139" t="n">
        <v>3.935800241960602e-11</v>
      </c>
      <c r="U139" t="inlineStr">
        <is>
          <t>d_z (descriptive)</t>
        </is>
      </c>
      <c r="V139" t="n">
        <v>0.6630989910337096</v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A139" t="inlineStr">
        <is>
          <t>NA</t>
        </is>
      </c>
      <c r="AB139" t="inlineStr">
        <is>
          <t>NA</t>
        </is>
      </c>
      <c r="AC139" t="inlineStr">
        <is>
          <t>NA</t>
        </is>
      </c>
      <c r="AD139" t="inlineStr">
        <is>
          <t>NA</t>
        </is>
      </c>
      <c r="AE139" t="inlineStr">
        <is>
          <t>NA</t>
        </is>
      </c>
      <c r="AF139" t="inlineStr">
        <is>
          <t>Wilcoxon signed rank V</t>
        </is>
      </c>
      <c r="AG139" t="n">
        <v>8420.5</v>
      </c>
      <c r="AH139" t="n">
        <v>9.839500604901505e-12</v>
      </c>
      <c r="AI139" t="inlineStr">
        <is>
          <t>NA</t>
        </is>
      </c>
      <c r="AJ139" t="inlineStr">
        <is>
          <t>median difference 1618.5 ms; 108 of 142 respondents dwelled longer on Tip_1</t>
        </is>
      </c>
    </row>
    <row r="140">
      <c r="A140" t="inlineStr">
        <is>
          <t>H2_PAIR_Tip_1_Tip_3</t>
        </is>
      </c>
      <c r="B140" t="inlineStr">
        <is>
          <t>Wilcoxon signed rank (paired), Holm adjusted</t>
        </is>
      </c>
      <c r="C140" t="inlineStr">
        <is>
          <t>H2: dwell time (ms) on Tip_1 to Tip_4, kept respondents, n = 142: Tip_1 vs Tip_3, dwell time (ms)</t>
        </is>
      </c>
      <c r="D140" t="n">
        <v>142</v>
      </c>
      <c r="E140" t="inlineStr">
        <is>
          <t>NA</t>
        </is>
      </c>
      <c r="F140" t="inlineStr">
        <is>
          <t>NA</t>
        </is>
      </c>
      <c r="G140" t="n">
        <v>3742.24647887324</v>
      </c>
      <c r="H140" t="n">
        <v>2032.070422535211</v>
      </c>
      <c r="I140" t="inlineStr">
        <is>
          <t>NA</t>
        </is>
      </c>
      <c r="J140" t="inlineStr">
        <is>
          <t>NA</t>
        </is>
      </c>
      <c r="K140" t="n">
        <v>1710.176056338028</v>
      </c>
      <c r="L140" t="n">
        <v>2327.878888112632</v>
      </c>
      <c r="M140" t="inlineStr">
        <is>
          <t>NA</t>
        </is>
      </c>
      <c r="N140" t="inlineStr">
        <is>
          <t>NA</t>
        </is>
      </c>
      <c r="O140" t="inlineStr">
        <is>
          <t>NA</t>
        </is>
      </c>
      <c r="P140" t="inlineStr">
        <is>
          <t>Wilcoxon V</t>
        </is>
      </c>
      <c r="Q140" t="n">
        <v>8602</v>
      </c>
      <c r="R140" t="inlineStr">
        <is>
          <t>NA</t>
        </is>
      </c>
      <c r="S140" t="n">
        <v>7.051092593837973e-13</v>
      </c>
      <c r="T140" t="n">
        <v>4.230655556302783e-12</v>
      </c>
      <c r="U140" t="inlineStr">
        <is>
          <t>d_z (descriptive)</t>
        </is>
      </c>
      <c r="V140" t="n">
        <v>0.734649927481658</v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A140" t="inlineStr">
        <is>
          <t>NA</t>
        </is>
      </c>
      <c r="AB140" t="inlineStr">
        <is>
          <t>NA</t>
        </is>
      </c>
      <c r="AC140" t="inlineStr">
        <is>
          <t>NA</t>
        </is>
      </c>
      <c r="AD140" t="inlineStr">
        <is>
          <t>NA</t>
        </is>
      </c>
      <c r="AE140" t="inlineStr">
        <is>
          <t>NA</t>
        </is>
      </c>
      <c r="AF140" t="inlineStr">
        <is>
          <t>Wilcoxon signed rank V</t>
        </is>
      </c>
      <c r="AG140" t="n">
        <v>8602</v>
      </c>
      <c r="AH140" t="n">
        <v>7.051092593837973e-13</v>
      </c>
      <c r="AI140" t="inlineStr">
        <is>
          <t>NA</t>
        </is>
      </c>
      <c r="AJ140" t="inlineStr">
        <is>
          <t>median difference 1638.0 ms; 110 of 142 respondents dwelled longer on Tip_1</t>
        </is>
      </c>
    </row>
    <row r="141">
      <c r="A141" t="inlineStr">
        <is>
          <t>H2_PAIR_Tip_1_Tip_4</t>
        </is>
      </c>
      <c r="B141" t="inlineStr">
        <is>
          <t>Wilcoxon signed rank (paired), Holm adjusted</t>
        </is>
      </c>
      <c r="C141" t="inlineStr">
        <is>
          <t>H2: dwell time (ms) on Tip_1 to Tip_4, kept respondents, n = 142: Tip_1 vs Tip_4, dwell time (ms)</t>
        </is>
      </c>
      <c r="D141" t="n">
        <v>142</v>
      </c>
      <c r="E141" t="inlineStr">
        <is>
          <t>NA</t>
        </is>
      </c>
      <c r="F141" t="inlineStr">
        <is>
          <t>NA</t>
        </is>
      </c>
      <c r="G141" t="n">
        <v>3742.24647887324</v>
      </c>
      <c r="H141" t="n">
        <v>2003.323943661972</v>
      </c>
      <c r="I141" t="inlineStr">
        <is>
          <t>NA</t>
        </is>
      </c>
      <c r="J141" t="inlineStr">
        <is>
          <t>NA</t>
        </is>
      </c>
      <c r="K141" t="n">
        <v>1738.922535211268</v>
      </c>
      <c r="L141" t="n">
        <v>2438.721968148128</v>
      </c>
      <c r="M141" t="inlineStr">
        <is>
          <t>NA</t>
        </is>
      </c>
      <c r="N141" t="inlineStr">
        <is>
          <t>NA</t>
        </is>
      </c>
      <c r="O141" t="inlineStr">
        <is>
          <t>NA</t>
        </is>
      </c>
      <c r="P141" t="inlineStr">
        <is>
          <t>Wilcoxon V</t>
        </is>
      </c>
      <c r="Q141" t="n">
        <v>8599</v>
      </c>
      <c r="R141" t="inlineStr">
        <is>
          <t>NA</t>
        </is>
      </c>
      <c r="S141" t="n">
        <v>7.372915778019179e-13</v>
      </c>
      <c r="T141" t="n">
        <v>4.230655556302783e-12</v>
      </c>
      <c r="U141" t="inlineStr">
        <is>
          <t>d_z (descriptive)</t>
        </is>
      </c>
      <c r="V141" t="n">
        <v>0.7130466522724355</v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A141" t="inlineStr">
        <is>
          <t>NA</t>
        </is>
      </c>
      <c r="AB141" t="inlineStr">
        <is>
          <t>NA</t>
        </is>
      </c>
      <c r="AC141" t="inlineStr">
        <is>
          <t>NA</t>
        </is>
      </c>
      <c r="AD141" t="inlineStr">
        <is>
          <t>NA</t>
        </is>
      </c>
      <c r="AE141" t="inlineStr">
        <is>
          <t>NA</t>
        </is>
      </c>
      <c r="AF141" t="inlineStr">
        <is>
          <t>Wilcoxon signed rank V</t>
        </is>
      </c>
      <c r="AG141" t="n">
        <v>8599</v>
      </c>
      <c r="AH141" t="n">
        <v>7.372915778019179e-13</v>
      </c>
      <c r="AI141" t="inlineStr">
        <is>
          <t>NA</t>
        </is>
      </c>
      <c r="AJ141" t="inlineStr">
        <is>
          <t>median difference 1593.0 ms; 113 of 142 respondents dwelled longer on Tip_1</t>
        </is>
      </c>
    </row>
    <row r="142">
      <c r="A142" t="inlineStr">
        <is>
          <t>H2_PAIR_Tip_2_Tip_3</t>
        </is>
      </c>
      <c r="B142" t="inlineStr">
        <is>
          <t>Wilcoxon signed rank (paired), Holm adjusted</t>
        </is>
      </c>
      <c r="C142" t="inlineStr">
        <is>
          <t>H2: dwell time (ms) on Tip_1 to Tip_4, kept respondents, n = 142: Tip_2 vs Tip_3, dwell time (ms)</t>
        </is>
      </c>
      <c r="D142" t="n">
        <v>142</v>
      </c>
      <c r="E142" t="inlineStr">
        <is>
          <t>NA</t>
        </is>
      </c>
      <c r="F142" t="inlineStr">
        <is>
          <t>NA</t>
        </is>
      </c>
      <c r="G142" t="n">
        <v>2099.619718309859</v>
      </c>
      <c r="H142" t="n">
        <v>2032.070422535211</v>
      </c>
      <c r="I142" t="inlineStr">
        <is>
          <t>NA</t>
        </is>
      </c>
      <c r="J142" t="inlineStr">
        <is>
          <t>NA</t>
        </is>
      </c>
      <c r="K142" t="n">
        <v>67.54929577464789</v>
      </c>
      <c r="L142" t="n">
        <v>2132.384020533794</v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Wilcoxon V</t>
        </is>
      </c>
      <c r="Q142" t="n">
        <v>5169.5</v>
      </c>
      <c r="R142" t="inlineStr">
        <is>
          <t>NA</t>
        </is>
      </c>
      <c r="S142" t="n">
        <v>0.8505862387185079</v>
      </c>
      <c r="T142" t="n">
        <v>1</v>
      </c>
      <c r="U142" t="inlineStr">
        <is>
          <t>d_z (descriptive)</t>
        </is>
      </c>
      <c r="V142" t="n">
        <v>0.0316778287232421</v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A142" t="inlineStr">
        <is>
          <t>NA</t>
        </is>
      </c>
      <c r="AB142" t="inlineStr">
        <is>
          <t>NA</t>
        </is>
      </c>
      <c r="AC142" t="inlineStr">
        <is>
          <t>NA</t>
        </is>
      </c>
      <c r="AD142" t="inlineStr">
        <is>
          <t>NA</t>
        </is>
      </c>
      <c r="AE142" t="inlineStr">
        <is>
          <t>NA</t>
        </is>
      </c>
      <c r="AF142" t="inlineStr">
        <is>
          <t>Wilcoxon signed rank V</t>
        </is>
      </c>
      <c r="AG142" t="n">
        <v>5169.5</v>
      </c>
      <c r="AH142" t="n">
        <v>0.8505862387185079</v>
      </c>
      <c r="AI142" t="inlineStr">
        <is>
          <t>NA</t>
        </is>
      </c>
      <c r="AJ142" t="inlineStr">
        <is>
          <t>median difference 14.5 ms; 71 of 142 respondents dwelled longer on Tip_2</t>
        </is>
      </c>
    </row>
    <row r="143">
      <c r="A143" t="inlineStr">
        <is>
          <t>H2_PAIR_Tip_2_Tip_4</t>
        </is>
      </c>
      <c r="B143" t="inlineStr">
        <is>
          <t>Wilcoxon signed rank (paired), Holm adjusted</t>
        </is>
      </c>
      <c r="C143" t="inlineStr">
        <is>
          <t>H2: dwell time (ms) on Tip_1 to Tip_4, kept respondents, n = 142: Tip_2 vs Tip_4, dwell time (ms)</t>
        </is>
      </c>
      <c r="D143" t="n">
        <v>142</v>
      </c>
      <c r="E143" t="inlineStr">
        <is>
          <t>NA</t>
        </is>
      </c>
      <c r="F143" t="inlineStr">
        <is>
          <t>NA</t>
        </is>
      </c>
      <c r="G143" t="n">
        <v>2099.619718309859</v>
      </c>
      <c r="H143" t="n">
        <v>2003.323943661972</v>
      </c>
      <c r="I143" t="inlineStr">
        <is>
          <t>NA</t>
        </is>
      </c>
      <c r="J143" t="inlineStr">
        <is>
          <t>NA</t>
        </is>
      </c>
      <c r="K143" t="n">
        <v>96.29577464788733</v>
      </c>
      <c r="L143" t="n">
        <v>1979.649029674513</v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Wilcoxon V</t>
        </is>
      </c>
      <c r="Q143" t="n">
        <v>5246</v>
      </c>
      <c r="R143" t="inlineStr">
        <is>
          <t>NA</t>
        </is>
      </c>
      <c r="S143" t="n">
        <v>0.7307272289833053</v>
      </c>
      <c r="T143" t="n">
        <v>1</v>
      </c>
      <c r="U143" t="inlineStr">
        <is>
          <t>d_z (descriptive)</t>
        </is>
      </c>
      <c r="V143" t="n">
        <v>0.0486428519421546</v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A143" t="inlineStr">
        <is>
          <t>NA</t>
        </is>
      </c>
      <c r="AB143" t="inlineStr">
        <is>
          <t>NA</t>
        </is>
      </c>
      <c r="AC143" t="inlineStr">
        <is>
          <t>NA</t>
        </is>
      </c>
      <c r="AD143" t="inlineStr">
        <is>
          <t>NA</t>
        </is>
      </c>
      <c r="AE143" t="inlineStr">
        <is>
          <t>NA</t>
        </is>
      </c>
      <c r="AF143" t="inlineStr">
        <is>
          <t>Wilcoxon signed rank V</t>
        </is>
      </c>
      <c r="AG143" t="n">
        <v>5246</v>
      </c>
      <c r="AH143" t="n">
        <v>0.7307272289833053</v>
      </c>
      <c r="AI143" t="inlineStr">
        <is>
          <t>NA</t>
        </is>
      </c>
      <c r="AJ143" t="inlineStr">
        <is>
          <t>median difference -6.0 ms; 71 of 142 respondents dwelled longer on Tip_2</t>
        </is>
      </c>
    </row>
    <row r="144">
      <c r="A144" t="inlineStr">
        <is>
          <t>H2_PAIR_Tip_3_Tip_4</t>
        </is>
      </c>
      <c r="B144" t="inlineStr">
        <is>
          <t>Wilcoxon signed rank (paired), Holm adjusted</t>
        </is>
      </c>
      <c r="C144" t="inlineStr">
        <is>
          <t>H2: dwell time (ms) on Tip_1 to Tip_4, kept respondents, n = 142: Tip_3 vs Tip_4, dwell time (ms)</t>
        </is>
      </c>
      <c r="D144" t="n">
        <v>142</v>
      </c>
      <c r="E144" t="inlineStr">
        <is>
          <t>NA</t>
        </is>
      </c>
      <c r="F144" t="inlineStr">
        <is>
          <t>NA</t>
        </is>
      </c>
      <c r="G144" t="n">
        <v>2032.070422535211</v>
      </c>
      <c r="H144" t="n">
        <v>2003.323943661972</v>
      </c>
      <c r="I144" t="inlineStr">
        <is>
          <t>NA</t>
        </is>
      </c>
      <c r="J144" t="inlineStr">
        <is>
          <t>NA</t>
        </is>
      </c>
      <c r="K144" t="n">
        <v>28.74647887323944</v>
      </c>
      <c r="L144" t="n">
        <v>1943.828453294832</v>
      </c>
      <c r="M144" t="inlineStr">
        <is>
          <t>NA</t>
        </is>
      </c>
      <c r="N144" t="inlineStr">
        <is>
          <t>NA</t>
        </is>
      </c>
      <c r="O144" t="inlineStr">
        <is>
          <t>NA</t>
        </is>
      </c>
      <c r="P144" t="inlineStr">
        <is>
          <t>Wilcoxon V</t>
        </is>
      </c>
      <c r="Q144" t="n">
        <v>5379.5</v>
      </c>
      <c r="R144" t="inlineStr">
        <is>
          <t>NA</t>
        </is>
      </c>
      <c r="S144" t="n">
        <v>0.5378796426722035</v>
      </c>
      <c r="T144" t="n">
        <v>1</v>
      </c>
      <c r="U144" t="inlineStr">
        <is>
          <t>d_z (descriptive)</t>
        </is>
      </c>
      <c r="V144" t="n">
        <v>0.01478858837800914</v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A144" t="inlineStr">
        <is>
          <t>NA</t>
        </is>
      </c>
      <c r="AB144" t="inlineStr">
        <is>
          <t>NA</t>
        </is>
      </c>
      <c r="AC144" t="inlineStr">
        <is>
          <t>NA</t>
        </is>
      </c>
      <c r="AD144" t="inlineStr">
        <is>
          <t>NA</t>
        </is>
      </c>
      <c r="AE144" t="inlineStr">
        <is>
          <t>NA</t>
        </is>
      </c>
      <c r="AF144" t="inlineStr">
        <is>
          <t>Wilcoxon signed rank V</t>
        </is>
      </c>
      <c r="AG144" t="n">
        <v>5379.5</v>
      </c>
      <c r="AH144" t="n">
        <v>0.5378796426722035</v>
      </c>
      <c r="AI144" t="inlineStr">
        <is>
          <t>NA</t>
        </is>
      </c>
      <c r="AJ144" t="inlineStr">
        <is>
          <t>median difference 136.0 ms; 77 of 142 respondents dwelled longer on Tip_3</t>
        </is>
      </c>
    </row>
    <row r="145">
      <c r="A145" t="inlineStr">
        <is>
          <t>H3</t>
        </is>
      </c>
      <c r="B145" t="inlineStr">
        <is>
          <t>Welch t (two groups)</t>
        </is>
      </c>
      <c r="C145" t="inlineStr">
        <is>
          <t>H3: Intention_reduce_food_waste_1to7, Narrative first versus Visual first, n = 69 and 73</t>
        </is>
      </c>
      <c r="D145" t="n">
        <v>142</v>
      </c>
      <c r="E145" t="n">
        <v>69</v>
      </c>
      <c r="F145" t="n">
        <v>73</v>
      </c>
      <c r="G145" t="n">
        <v>5.043478260869565</v>
      </c>
      <c r="H145" t="n">
        <v>5.342465753424658</v>
      </c>
      <c r="I145" t="n">
        <v>1.365916871649133</v>
      </c>
      <c r="J145" t="n">
        <v>1.215857928494569</v>
      </c>
      <c r="K145" t="n">
        <v>-0.2989874925550922</v>
      </c>
      <c r="L145" t="inlineStr">
        <is>
          <t>NA</t>
        </is>
      </c>
      <c r="M145" t="n">
        <v>1.290924146775078</v>
      </c>
      <c r="N145" t="n">
        <v>-0.729035698238378</v>
      </c>
      <c r="O145" t="n">
        <v>0.1310607131281937</v>
      </c>
      <c r="P145" t="inlineStr">
        <is>
          <t>Welch t</t>
        </is>
      </c>
      <c r="Q145" t="n">
        <v>-1.374885804446096</v>
      </c>
      <c r="R145" t="n">
        <v>135.9683546614657</v>
      </c>
      <c r="S145" t="n">
        <v>0.1714282806914537</v>
      </c>
      <c r="T145" t="inlineStr">
        <is>
          <t>NA</t>
        </is>
      </c>
      <c r="U145" t="inlineStr">
        <is>
          <t>d (pooled SD)</t>
        </is>
      </c>
      <c r="V145" t="n">
        <v>-0.2316073282090259</v>
      </c>
      <c r="W145" t="n">
        <v>-0.5613946777052148</v>
      </c>
      <c r="X145" t="n">
        <v>0.09900114761582282</v>
      </c>
      <c r="Y145" t="n">
        <v>-0.5617976093008404</v>
      </c>
      <c r="Z145" t="n">
        <v>0.09858295288278873</v>
      </c>
      <c r="AA145" t="n">
        <v>-0.2303643550701581</v>
      </c>
      <c r="AB145" t="n">
        <v>-0.5583818261254014</v>
      </c>
      <c r="AC145" t="n">
        <v>0.09846983555348388</v>
      </c>
      <c r="AD145" t="n">
        <v>-0.5605428740758245</v>
      </c>
      <c r="AE145" t="n">
        <v>0.09981416393550827</v>
      </c>
      <c r="AF145" t="inlineStr">
        <is>
          <t>Mann Whitney W</t>
        </is>
      </c>
      <c r="AG145" t="n">
        <v>2243</v>
      </c>
      <c r="AH145" t="n">
        <v>0.2491177997308885</v>
      </c>
      <c r="AI145" t="n">
        <v>0.0001057675480759319</v>
      </c>
      <c r="AJ145" t="inlineStr">
        <is>
          <t>NA</t>
        </is>
      </c>
    </row>
    <row r="146">
      <c r="A146" t="inlineStr">
        <is>
          <t>ATTRITION_ALL</t>
        </is>
      </c>
      <c r="B146" t="inlineStr">
        <is>
          <t>chi square test of independence (2 x 2)</t>
        </is>
      </c>
      <c r="C146" t="inlineStr">
        <is>
          <t>(a) Completion by order, all 260 sessions that opened a link</t>
        </is>
      </c>
      <c r="D146" t="n">
        <v>260</v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NA</t>
        </is>
      </c>
      <c r="N146" t="inlineStr">
        <is>
          <t>NA</t>
        </is>
      </c>
      <c r="O146" t="inlineStr">
        <is>
          <t>NA</t>
        </is>
      </c>
      <c r="P146" t="inlineStr">
        <is>
          <t>Pearson X2 (no continuity correction)</t>
        </is>
      </c>
      <c r="Q146" t="n">
        <v>0.03889256688019765</v>
      </c>
      <c r="R146" t="n">
        <v>1</v>
      </c>
      <c r="S146" t="n">
        <v>0.8436616524113609</v>
      </c>
      <c r="T146" t="inlineStr">
        <is>
          <t>NA</t>
        </is>
      </c>
      <c r="U146" t="inlineStr">
        <is>
          <t>phi</t>
        </is>
      </c>
      <c r="V146" t="n">
        <v>0.0122305680854598</v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A146" t="inlineStr">
        <is>
          <t>NA</t>
        </is>
      </c>
      <c r="AB146" t="inlineStr">
        <is>
          <t>NA</t>
        </is>
      </c>
      <c r="AC146" t="inlineStr">
        <is>
          <t>NA</t>
        </is>
      </c>
      <c r="AD146" t="inlineStr">
        <is>
          <t>NA</t>
        </is>
      </c>
      <c r="AE146" t="inlineStr">
        <is>
          <t>NA</t>
        </is>
      </c>
      <c r="AF146" t="inlineStr">
        <is>
          <t>Fisher exact (odds ratio)</t>
        </is>
      </c>
      <c r="AG146" t="n">
        <v>1.053916697164653</v>
      </c>
      <c r="AH146" t="n">
        <v>0.8940982631432542</v>
      </c>
      <c r="AI146" t="inlineStr">
        <is>
          <t>NA</t>
        </is>
      </c>
      <c r="AJ146" t="inlineStr">
        <is>
          <t>Yates X2 = 0.004, p = 0.9492; smallest expected count 39.74</t>
        </is>
      </c>
    </row>
    <row r="147">
      <c r="A147" t="inlineStr">
        <is>
          <t>ATTRITION_STIMULI</t>
        </is>
      </c>
      <c r="B147" t="inlineStr">
        <is>
          <t>chi square test of independence (2 x 2)</t>
        </is>
      </c>
      <c r="C147" t="inlineStr">
        <is>
          <t>(b) Completion by order among the 185 sessions that reached STEP 9 (the videos started)</t>
        </is>
      </c>
      <c r="D147" t="n">
        <v>185</v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NA</t>
        </is>
      </c>
      <c r="N147" t="inlineStr">
        <is>
          <t>NA</t>
        </is>
      </c>
      <c r="O147" t="inlineStr">
        <is>
          <t>NA</t>
        </is>
      </c>
      <c r="P147" t="inlineStr">
        <is>
          <t>Pearson X2 (no continuity correction)</t>
        </is>
      </c>
      <c r="Q147" t="n">
        <v>0.1841445583547971</v>
      </c>
      <c r="R147" t="n">
        <v>1</v>
      </c>
      <c r="S147" t="n">
        <v>0.667835403038756</v>
      </c>
      <c r="T147" t="inlineStr">
        <is>
          <t>NA</t>
        </is>
      </c>
      <c r="U147" t="inlineStr">
        <is>
          <t>phi</t>
        </is>
      </c>
      <c r="V147" t="n">
        <v>0.03154957988796382</v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A147" t="inlineStr">
        <is>
          <t>NA</t>
        </is>
      </c>
      <c r="AB147" t="inlineStr">
        <is>
          <t>NA</t>
        </is>
      </c>
      <c r="AC147" t="inlineStr">
        <is>
          <t>NA</t>
        </is>
      </c>
      <c r="AD147" t="inlineStr">
        <is>
          <t>NA</t>
        </is>
      </c>
      <c r="AE147" t="inlineStr">
        <is>
          <t>NA</t>
        </is>
      </c>
      <c r="AF147" t="inlineStr">
        <is>
          <t>Fisher exact (odds ratio)</t>
        </is>
      </c>
      <c r="AG147" t="n">
        <v>0.718321141080877</v>
      </c>
      <c r="AH147" t="n">
        <v>0.7175992573382647</v>
      </c>
      <c r="AI147" t="inlineStr">
        <is>
          <t>NA</t>
        </is>
      </c>
      <c r="AJ147" t="inlineStr">
        <is>
          <t>Yates X2 = 0.002, p = 0.9651; smallest expected count 3.44</t>
        </is>
      </c>
    </row>
    <row r="148">
      <c r="A148" t="inlineStr">
        <is>
          <t>EXCLUSION_ORDER</t>
        </is>
      </c>
      <c r="B148" t="inlineStr">
        <is>
          <t>chi square test of independence (2 x 2)</t>
        </is>
      </c>
      <c r="C148" t="inlineStr">
        <is>
          <t>(c) Exclusion by order among the 178 completed respondents</t>
        </is>
      </c>
      <c r="D148" t="n">
        <v>178</v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NA</t>
        </is>
      </c>
      <c r="N148" t="inlineStr">
        <is>
          <t>NA</t>
        </is>
      </c>
      <c r="O148" t="inlineStr">
        <is>
          <t>NA</t>
        </is>
      </c>
      <c r="P148" t="inlineStr">
        <is>
          <t>Pearson X2 (no continuity correction)</t>
        </is>
      </c>
      <c r="Q148" t="n">
        <v>0.02279992955077945</v>
      </c>
      <c r="R148" t="n">
        <v>1</v>
      </c>
      <c r="S148" t="n">
        <v>0.8799785120015221</v>
      </c>
      <c r="T148" t="inlineStr">
        <is>
          <t>NA</t>
        </is>
      </c>
      <c r="U148" t="inlineStr">
        <is>
          <t>phi</t>
        </is>
      </c>
      <c r="V148" t="n">
        <v>0.01131766282667546</v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A148" t="inlineStr">
        <is>
          <t>NA</t>
        </is>
      </c>
      <c r="AB148" t="inlineStr">
        <is>
          <t>NA</t>
        </is>
      </c>
      <c r="AC148" t="inlineStr">
        <is>
          <t>NA</t>
        </is>
      </c>
      <c r="AD148" t="inlineStr">
        <is>
          <t>NA</t>
        </is>
      </c>
      <c r="AE148" t="inlineStr">
        <is>
          <t>NA</t>
        </is>
      </c>
      <c r="AF148" t="inlineStr">
        <is>
          <t>Fisher exact (odds ratio)</t>
        </is>
      </c>
      <c r="AG148" t="n">
        <v>0.945474620274816</v>
      </c>
      <c r="AH148" t="n">
        <v>1</v>
      </c>
      <c r="AI148" t="inlineStr">
        <is>
          <t>NA</t>
        </is>
      </c>
      <c r="AJ148" t="inlineStr">
        <is>
          <t>Yates X2 = 0.000, p = 1.0000; smallest expected count 17.60</t>
        </is>
      </c>
    </row>
    <row r="149">
      <c r="A149" t="inlineStr">
        <is>
          <t>DRIFT_ALL</t>
        </is>
      </c>
      <c r="B149" t="inlineStr">
        <is>
          <t>paired t (one sample t on the differences)</t>
        </is>
      </c>
      <c r="C149" t="inlineStr">
        <is>
          <t>Accuracy (degrees), all 178 completed respondents</t>
        </is>
      </c>
      <c r="D149" t="n">
        <v>178</v>
      </c>
      <c r="E149" t="inlineStr">
        <is>
          <t>NA</t>
        </is>
      </c>
      <c r="F149" t="inlineStr">
        <is>
          <t>NA</t>
        </is>
      </c>
      <c r="G149" t="n">
        <v>1.706011235955056</v>
      </c>
      <c r="H149" t="n">
        <v>2.423820224719101</v>
      </c>
      <c r="I149" t="n">
        <v>0.9864851374585997</v>
      </c>
      <c r="J149" t="n">
        <v>1.204143979995914</v>
      </c>
      <c r="K149" t="n">
        <v>0.717808988764045</v>
      </c>
      <c r="L149" t="n">
        <v>0.5027171678779208</v>
      </c>
      <c r="M149" t="inlineStr">
        <is>
          <t>NA</t>
        </is>
      </c>
      <c r="N149" t="n">
        <v>0.6434486383201224</v>
      </c>
      <c r="O149" t="n">
        <v>0.7921693392079675</v>
      </c>
      <c r="P149" t="inlineStr">
        <is>
          <t>t</t>
        </is>
      </c>
      <c r="Q149" t="n">
        <v>19.05000863751232</v>
      </c>
      <c r="R149" t="n">
        <v>177</v>
      </c>
      <c r="S149" t="n">
        <v>9.957041943081094e-45</v>
      </c>
      <c r="T149" t="inlineStr">
        <is>
          <t>NA</t>
        </is>
      </c>
      <c r="U149" t="inlineStr">
        <is>
          <t>d_z</t>
        </is>
      </c>
      <c r="V149" t="n">
        <v>1.427858514946036</v>
      </c>
      <c r="W149" t="n">
        <v>1.217835323674322</v>
      </c>
      <c r="X149" t="n">
        <v>1.635789799616919</v>
      </c>
      <c r="Y149" t="n">
        <v>1.219094246695687</v>
      </c>
      <c r="Z149" t="n">
        <v>1.636622783196385</v>
      </c>
      <c r="AA149" t="inlineStr">
        <is>
          <t>NA</t>
        </is>
      </c>
      <c r="AB149" t="inlineStr">
        <is>
          <t>NA</t>
        </is>
      </c>
      <c r="AC149" t="inlineStr">
        <is>
          <t>NA</t>
        </is>
      </c>
      <c r="AD149" t="inlineStr">
        <is>
          <t>NA</t>
        </is>
      </c>
      <c r="AE149" t="inlineStr">
        <is>
          <t>NA</t>
        </is>
      </c>
      <c r="AF149" t="inlineStr">
        <is>
          <t>Wilcoxon signed rank V</t>
        </is>
      </c>
      <c r="AG149" t="n">
        <v>15415</v>
      </c>
      <c r="AH149" t="n">
        <v>2.392759856211484e-28</v>
      </c>
      <c r="AI149" t="n">
        <v>0.9120498950712101</v>
      </c>
      <c r="AJ149" t="inlineStr">
        <is>
          <t>NA</t>
        </is>
      </c>
    </row>
    <row r="150">
      <c r="A150" t="inlineStr">
        <is>
          <t>DRIFT_KEPT</t>
        </is>
      </c>
      <c r="B150" t="inlineStr">
        <is>
          <t>paired t (one sample t on the differences)</t>
        </is>
      </c>
      <c r="C150" t="inlineStr">
        <is>
          <t>Accuracy (degrees), kept respondents (n = 142; both values are 4.0 or less by the rule)</t>
        </is>
      </c>
      <c r="D150" t="n">
        <v>142</v>
      </c>
      <c r="E150" t="inlineStr">
        <is>
          <t>NA</t>
        </is>
      </c>
      <c r="F150" t="inlineStr">
        <is>
          <t>NA</t>
        </is>
      </c>
      <c r="G150" t="n">
        <v>1.415</v>
      </c>
      <c r="H150" t="n">
        <v>2.045281690140845</v>
      </c>
      <c r="I150" t="n">
        <v>0.6362342113021003</v>
      </c>
      <c r="J150" t="n">
        <v>0.8068428038712531</v>
      </c>
      <c r="K150" t="n">
        <v>0.630281690140845</v>
      </c>
      <c r="L150" t="n">
        <v>0.4688494195836566</v>
      </c>
      <c r="M150" t="inlineStr">
        <is>
          <t>NA</t>
        </is>
      </c>
      <c r="N150" t="n">
        <v>0.5524993814592147</v>
      </c>
      <c r="O150" t="n">
        <v>0.7080639988224753</v>
      </c>
      <c r="P150" t="inlineStr">
        <is>
          <t>t</t>
        </is>
      </c>
      <c r="Q150" t="n">
        <v>16.01937177063144</v>
      </c>
      <c r="R150" t="n">
        <v>141</v>
      </c>
      <c r="S150" t="n">
        <v>1.504572007070705e-33</v>
      </c>
      <c r="T150" t="inlineStr">
        <is>
          <t>NA</t>
        </is>
      </c>
      <c r="U150" t="inlineStr">
        <is>
          <t>d_z</t>
        </is>
      </c>
      <c r="V150" t="n">
        <v>1.344315816153813</v>
      </c>
      <c r="W150" t="n">
        <v>1.115805025545894</v>
      </c>
      <c r="X150" t="n">
        <v>1.570221566221006</v>
      </c>
      <c r="Y150" t="n">
        <v>1.117382169245883</v>
      </c>
      <c r="Z150" t="n">
        <v>1.571249463061744</v>
      </c>
      <c r="AA150" t="inlineStr">
        <is>
          <t>NA</t>
        </is>
      </c>
      <c r="AB150" t="inlineStr">
        <is>
          <t>NA</t>
        </is>
      </c>
      <c r="AC150" t="inlineStr">
        <is>
          <t>NA</t>
        </is>
      </c>
      <c r="AD150" t="inlineStr">
        <is>
          <t>NA</t>
        </is>
      </c>
      <c r="AE150" t="inlineStr">
        <is>
          <t>NA</t>
        </is>
      </c>
      <c r="AF150" t="inlineStr">
        <is>
          <t>Wilcoxon signed rank V</t>
        </is>
      </c>
      <c r="AG150" t="n">
        <v>9696.5</v>
      </c>
      <c r="AH150" t="n">
        <v>4.755079388341621e-22</v>
      </c>
      <c r="AI150" t="n">
        <v>0.7545808008148944</v>
      </c>
      <c r="AJ150" t="inlineStr">
        <is>
          <t>NA</t>
        </is>
      </c>
    </row>
    <row r="151">
      <c r="A151" t="inlineStr">
        <is>
          <t>HIT_HEADLINE</t>
        </is>
      </c>
      <c r="B151" t="inlineStr">
        <is>
          <t>logistic regression (hit on accuracy)</t>
        </is>
      </c>
      <c r="C151" t="inlineStr">
        <is>
          <t>Headline hit (at least one fixation) on mean calibration accuracy, completed respondents with eye tracking and face quality passed</t>
        </is>
      </c>
      <c r="D151" t="n">
        <v>151</v>
      </c>
      <c r="E151" t="inlineStr">
        <is>
          <t>NA</t>
        </is>
      </c>
      <c r="F151" t="inlineStr">
        <is>
          <t>NA</t>
        </is>
      </c>
      <c r="G151" t="n">
        <v>0.7615894039735099</v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Wald z</t>
        </is>
      </c>
      <c r="Q151" t="n">
        <v>-2.476016382461512</v>
      </c>
      <c r="R151" t="inlineStr">
        <is>
          <t>NA</t>
        </is>
      </c>
      <c r="S151" t="n">
        <v>0.01328574818156647</v>
      </c>
      <c r="T151" t="inlineStr">
        <is>
          <t>NA</t>
        </is>
      </c>
      <c r="U151" t="inlineStr">
        <is>
          <t>odds ratio per degree</t>
        </is>
      </c>
      <c r="V151" t="n">
        <v>0.609770131809958</v>
      </c>
      <c r="W151" t="n">
        <v>0.4034107987685746</v>
      </c>
      <c r="X151" t="n">
        <v>0.8928598738202626</v>
      </c>
      <c r="Y151" t="inlineStr">
        <is>
          <t>NA</t>
        </is>
      </c>
      <c r="Z151" t="inlineStr">
        <is>
          <t>NA</t>
        </is>
      </c>
      <c r="AA151" t="inlineStr">
        <is>
          <t>NA</t>
        </is>
      </c>
      <c r="AB151" t="inlineStr">
        <is>
          <t>NA</t>
        </is>
      </c>
      <c r="AC151" t="inlineStr">
        <is>
          <t>NA</t>
        </is>
      </c>
      <c r="AD151" t="inlineStr">
        <is>
          <t>NA</t>
        </is>
      </c>
      <c r="AE151" t="inlineStr">
        <is>
          <t>NA</t>
        </is>
      </c>
      <c r="AF151" t="inlineStr">
        <is>
          <t>NA</t>
        </is>
      </c>
      <c r="AG151" t="inlineStr">
        <is>
          <t>NA</t>
        </is>
      </c>
      <c r="AH151" t="inlineStr">
        <is>
          <t>NA</t>
        </is>
      </c>
      <c r="AI151" t="inlineStr">
        <is>
          <t>NA</t>
        </is>
      </c>
      <c r="AJ151" t="inlineStr">
        <is>
          <t>b = -0.495, SE = 0.200; predicted hit at 1, 2, 3, 4 degrees: 0.84, 0.76, 0.66, 0.54</t>
        </is>
      </c>
    </row>
    <row r="152">
      <c r="A152" t="inlineStr">
        <is>
          <t>S30_H1</t>
        </is>
      </c>
      <c r="B152" t="inlineStr">
        <is>
          <t>paired t (one sample t on the differences)</t>
        </is>
      </c>
      <c r="C152" t="inlineStr">
        <is>
          <t>Sensitivity H1 (3.0 degrees), n = 125</t>
        </is>
      </c>
      <c r="D152" t="n">
        <v>125</v>
      </c>
      <c r="E152" t="inlineStr">
        <is>
          <t>NA</t>
        </is>
      </c>
      <c r="F152" t="inlineStr">
        <is>
          <t>NA</t>
        </is>
      </c>
      <c r="G152" t="n">
        <v>18.07536</v>
      </c>
      <c r="H152" t="n">
        <v>42.43048</v>
      </c>
      <c r="I152" t="n">
        <v>18.72232359717723</v>
      </c>
      <c r="J152" t="n">
        <v>26.11657645819555</v>
      </c>
      <c r="K152" t="n">
        <v>24.35512</v>
      </c>
      <c r="L152" t="n">
        <v>27.59008972427506</v>
      </c>
      <c r="M152" t="inlineStr">
        <is>
          <t>NA</t>
        </is>
      </c>
      <c r="N152" t="n">
        <v>19.47078584235418</v>
      </c>
      <c r="O152" t="n">
        <v>29.23945415764582</v>
      </c>
      <c r="P152" t="inlineStr">
        <is>
          <t>t</t>
        </is>
      </c>
      <c r="Q152" t="n">
        <v>9.869432188226712</v>
      </c>
      <c r="R152" t="n">
        <v>124</v>
      </c>
      <c r="S152" t="n">
        <v>2.623082251231504e-17</v>
      </c>
      <c r="T152" t="inlineStr">
        <is>
          <t>NA</t>
        </is>
      </c>
      <c r="U152" t="inlineStr">
        <is>
          <t>d_z</t>
        </is>
      </c>
      <c r="V152" t="n">
        <v>0.8827488508879773</v>
      </c>
      <c r="W152" t="n">
        <v>0.6746216772979162</v>
      </c>
      <c r="X152" t="n">
        <v>1.088273649731485</v>
      </c>
      <c r="Y152" t="n">
        <v>0.6760921341577328</v>
      </c>
      <c r="Z152" t="n">
        <v>1.089405567618222</v>
      </c>
      <c r="AA152" t="inlineStr">
        <is>
          <t>NA</t>
        </is>
      </c>
      <c r="AB152" t="inlineStr">
        <is>
          <t>NA</t>
        </is>
      </c>
      <c r="AC152" t="inlineStr">
        <is>
          <t>NA</t>
        </is>
      </c>
      <c r="AD152" t="inlineStr">
        <is>
          <t>NA</t>
        </is>
      </c>
      <c r="AE152" t="inlineStr">
        <is>
          <t>NA</t>
        </is>
      </c>
      <c r="AF152" t="inlineStr">
        <is>
          <t>Wilcoxon signed rank V</t>
        </is>
      </c>
      <c r="AG152" t="n">
        <v>6949</v>
      </c>
      <c r="AH152" t="n">
        <v>1.797888918395995e-14</v>
      </c>
      <c r="AI152" t="n">
        <v>0.2539703316436264</v>
      </c>
      <c r="AJ152" t="inlineStr">
        <is>
          <t>NA</t>
        </is>
      </c>
    </row>
    <row r="153">
      <c r="A153" t="inlineStr">
        <is>
          <t>S30_H2_FRIEDMAN</t>
        </is>
      </c>
      <c r="B153" t="inlineStr">
        <is>
          <t>Friedman test</t>
        </is>
      </c>
      <c r="C153" t="inlineStr">
        <is>
          <t>Sensitivity H2 (3.0 degrees): dwell time on the four tips, n = 125</t>
        </is>
      </c>
      <c r="D153" t="n">
        <v>125</v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NA</t>
        </is>
      </c>
      <c r="N153" t="inlineStr">
        <is>
          <t>NA</t>
        </is>
      </c>
      <c r="O153" t="inlineStr">
        <is>
          <t>NA</t>
        </is>
      </c>
      <c r="P153" t="inlineStr">
        <is>
          <t>Friedman chi square</t>
        </is>
      </c>
      <c r="Q153" t="n">
        <v>73.176</v>
      </c>
      <c r="R153" t="n">
        <v>3</v>
      </c>
      <c r="S153" t="n">
        <v>8.912010540375934e-16</v>
      </c>
      <c r="T153" t="inlineStr">
        <is>
          <t>NA</t>
        </is>
      </c>
      <c r="U153" t="inlineStr">
        <is>
          <t>Kendall's W</t>
        </is>
      </c>
      <c r="V153" t="n">
        <v>0.195136</v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A153" t="inlineStr">
        <is>
          <t>NA</t>
        </is>
      </c>
      <c r="AB153" t="inlineStr">
        <is>
          <t>NA</t>
        </is>
      </c>
      <c r="AC153" t="inlineStr">
        <is>
          <t>NA</t>
        </is>
      </c>
      <c r="AD153" t="inlineStr">
        <is>
          <t>NA</t>
        </is>
      </c>
      <c r="AE153" t="inlineStr">
        <is>
          <t>NA</t>
        </is>
      </c>
      <c r="AF153" t="inlineStr">
        <is>
          <t>NA</t>
        </is>
      </c>
      <c r="AG153" t="inlineStr">
        <is>
          <t>NA</t>
        </is>
      </c>
      <c r="AH153" t="inlineStr">
        <is>
          <t>NA</t>
        </is>
      </c>
      <c r="AI153" t="inlineStr">
        <is>
          <t>NA</t>
        </is>
      </c>
      <c r="AJ153" t="inlineStr">
        <is>
          <t>NA</t>
        </is>
      </c>
    </row>
    <row r="154">
      <c r="A154" t="inlineStr">
        <is>
          <t>S30_H2_PAIR_Tip_1_Tip_2</t>
        </is>
      </c>
      <c r="B154" t="inlineStr">
        <is>
          <t>Wilcoxon signed rank (paired), Holm adjusted</t>
        </is>
      </c>
      <c r="C154" t="inlineStr">
        <is>
          <t>Sensitivity H2 (3.0 degrees): dwell time on the four tips, n = 125: Tip_1 vs Tip_2, dwell time (ms)</t>
        </is>
      </c>
      <c r="D154" t="n">
        <v>125</v>
      </c>
      <c r="E154" t="inlineStr">
        <is>
          <t>NA</t>
        </is>
      </c>
      <c r="F154" t="inlineStr">
        <is>
          <t>NA</t>
        </is>
      </c>
      <c r="G154" t="n">
        <v>3864.456</v>
      </c>
      <c r="H154" t="n">
        <v>2176.232</v>
      </c>
      <c r="I154" t="inlineStr">
        <is>
          <t>NA</t>
        </is>
      </c>
      <c r="J154" t="inlineStr">
        <is>
          <t>NA</t>
        </is>
      </c>
      <c r="K154" t="n">
        <v>1688.224</v>
      </c>
      <c r="L154" t="n">
        <v>2524.239326059597</v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Wilcoxon V</t>
        </is>
      </c>
      <c r="Q154" t="n">
        <v>6525.5</v>
      </c>
      <c r="R154" t="inlineStr">
        <is>
          <t>NA</t>
        </is>
      </c>
      <c r="S154" t="n">
        <v>1.824557739064507e-10</v>
      </c>
      <c r="T154" t="n">
        <v>7.298230956258028e-10</v>
      </c>
      <c r="U154" t="inlineStr">
        <is>
          <t>d_z (descriptive)</t>
        </is>
      </c>
      <c r="V154" t="n">
        <v>0.6688050465624278</v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A154" t="inlineStr">
        <is>
          <t>NA</t>
        </is>
      </c>
      <c r="AB154" t="inlineStr">
        <is>
          <t>NA</t>
        </is>
      </c>
      <c r="AC154" t="inlineStr">
        <is>
          <t>NA</t>
        </is>
      </c>
      <c r="AD154" t="inlineStr">
        <is>
          <t>NA</t>
        </is>
      </c>
      <c r="AE154" t="inlineStr">
        <is>
          <t>NA</t>
        </is>
      </c>
      <c r="AF154" t="inlineStr">
        <is>
          <t>Wilcoxon signed rank V</t>
        </is>
      </c>
      <c r="AG154" t="n">
        <v>6525.5</v>
      </c>
      <c r="AH154" t="n">
        <v>1.824557739064507e-10</v>
      </c>
      <c r="AI154" t="inlineStr">
        <is>
          <t>NA</t>
        </is>
      </c>
      <c r="AJ154" t="inlineStr">
        <is>
          <t>median difference 1701.0 ms; 95 of 125 respondents dwelled longer on Tip_1</t>
        </is>
      </c>
    </row>
    <row r="155">
      <c r="A155" t="inlineStr">
        <is>
          <t>S30_H2_PAIR_Tip_1_Tip_3</t>
        </is>
      </c>
      <c r="B155" t="inlineStr">
        <is>
          <t>Wilcoxon signed rank (paired), Holm adjusted</t>
        </is>
      </c>
      <c r="C155" t="inlineStr">
        <is>
          <t>Sensitivity H2 (3.0 degrees): dwell time on the four tips, n = 125: Tip_1 vs Tip_3, dwell time (ms)</t>
        </is>
      </c>
      <c r="D155" t="n">
        <v>125</v>
      </c>
      <c r="E155" t="inlineStr">
        <is>
          <t>NA</t>
        </is>
      </c>
      <c r="F155" t="inlineStr">
        <is>
          <t>NA</t>
        </is>
      </c>
      <c r="G155" t="n">
        <v>3864.456</v>
      </c>
      <c r="H155" t="n">
        <v>1975.016</v>
      </c>
      <c r="I155" t="inlineStr">
        <is>
          <t>NA</t>
        </is>
      </c>
      <c r="J155" t="inlineStr">
        <is>
          <t>NA</t>
        </is>
      </c>
      <c r="K155" t="n">
        <v>1889.44</v>
      </c>
      <c r="L155" t="n">
        <v>2317.783254777942</v>
      </c>
      <c r="M155" t="inlineStr">
        <is>
          <t>NA</t>
        </is>
      </c>
      <c r="N155" t="inlineStr">
        <is>
          <t>NA</t>
        </is>
      </c>
      <c r="O155" t="inlineStr">
        <is>
          <t>NA</t>
        </is>
      </c>
      <c r="P155" t="inlineStr">
        <is>
          <t>Wilcoxon V</t>
        </is>
      </c>
      <c r="Q155" t="n">
        <v>6863</v>
      </c>
      <c r="R155" t="inlineStr">
        <is>
          <t>NA</t>
        </is>
      </c>
      <c r="S155" t="n">
        <v>5.71991921564736e-13</v>
      </c>
      <c r="T155" t="n">
        <v>3.431951529388415e-12</v>
      </c>
      <c r="U155" t="inlineStr">
        <is>
          <t>d_z (descriptive)</t>
        </is>
      </c>
      <c r="V155" t="n">
        <v>0.8151927045400197</v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  <c r="AE155" t="inlineStr">
        <is>
          <t>NA</t>
        </is>
      </c>
      <c r="AF155" t="inlineStr">
        <is>
          <t>Wilcoxon signed rank V</t>
        </is>
      </c>
      <c r="AG155" t="n">
        <v>6863</v>
      </c>
      <c r="AH155" t="n">
        <v>5.71991921564736e-13</v>
      </c>
      <c r="AI155" t="inlineStr">
        <is>
          <t>NA</t>
        </is>
      </c>
      <c r="AJ155" t="inlineStr">
        <is>
          <t>median difference 1942.0 ms; 99 of 125 respondents dwelled longer on Tip_1</t>
        </is>
      </c>
    </row>
    <row r="156">
      <c r="A156" t="inlineStr">
        <is>
          <t>S30_H2_PAIR_Tip_1_Tip_4</t>
        </is>
      </c>
      <c r="B156" t="inlineStr">
        <is>
          <t>Wilcoxon signed rank (paired), Holm adjusted</t>
        </is>
      </c>
      <c r="C156" t="inlineStr">
        <is>
          <t>Sensitivity H2 (3.0 degrees): dwell time on the four tips, n = 125: Tip_1 vs Tip_4, dwell time (ms)</t>
        </is>
      </c>
      <c r="D156" t="n">
        <v>125</v>
      </c>
      <c r="E156" t="inlineStr">
        <is>
          <t>NA</t>
        </is>
      </c>
      <c r="F156" t="inlineStr">
        <is>
          <t>NA</t>
        </is>
      </c>
      <c r="G156" t="n">
        <v>3864.456</v>
      </c>
      <c r="H156" t="n">
        <v>2063.256</v>
      </c>
      <c r="I156" t="inlineStr">
        <is>
          <t>NA</t>
        </is>
      </c>
      <c r="J156" t="inlineStr">
        <is>
          <t>NA</t>
        </is>
      </c>
      <c r="K156" t="n">
        <v>1801.2</v>
      </c>
      <c r="L156" t="n">
        <v>2488.575946587824</v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Wilcoxon V</t>
        </is>
      </c>
      <c r="Q156" t="n">
        <v>6689</v>
      </c>
      <c r="R156" t="inlineStr">
        <is>
          <t>NA</t>
        </is>
      </c>
      <c r="S156" t="n">
        <v>1.216163498170011e-11</v>
      </c>
      <c r="T156" t="n">
        <v>6.080817490850057e-11</v>
      </c>
      <c r="U156" t="inlineStr">
        <is>
          <t>d_z (descriptive)</t>
        </is>
      </c>
      <c r="V156" t="n">
        <v>0.7237874345244275</v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A156" t="inlineStr">
        <is>
          <t>NA</t>
        </is>
      </c>
      <c r="AB156" t="inlineStr">
        <is>
          <t>NA</t>
        </is>
      </c>
      <c r="AC156" t="inlineStr">
        <is>
          <t>NA</t>
        </is>
      </c>
      <c r="AD156" t="inlineStr">
        <is>
          <t>NA</t>
        </is>
      </c>
      <c r="AE156" t="inlineStr">
        <is>
          <t>NA</t>
        </is>
      </c>
      <c r="AF156" t="inlineStr">
        <is>
          <t>Wilcoxon signed rank V</t>
        </is>
      </c>
      <c r="AG156" t="n">
        <v>6689</v>
      </c>
      <c r="AH156" t="n">
        <v>1.216163498170011e-11</v>
      </c>
      <c r="AI156" t="inlineStr">
        <is>
          <t>NA</t>
        </is>
      </c>
      <c r="AJ156" t="inlineStr">
        <is>
          <t>median difference 1740.0 ms; 100 of 125 respondents dwelled longer on Tip_1</t>
        </is>
      </c>
    </row>
    <row r="157">
      <c r="A157" t="inlineStr">
        <is>
          <t>S30_H2_PAIR_Tip_2_Tip_3</t>
        </is>
      </c>
      <c r="B157" t="inlineStr">
        <is>
          <t>Wilcoxon signed rank (paired), Holm adjusted</t>
        </is>
      </c>
      <c r="C157" t="inlineStr">
        <is>
          <t>Sensitivity H2 (3.0 degrees): dwell time on the four tips, n = 125: Tip_2 vs Tip_3, dwell time (ms)</t>
        </is>
      </c>
      <c r="D157" t="n">
        <v>125</v>
      </c>
      <c r="E157" t="inlineStr">
        <is>
          <t>NA</t>
        </is>
      </c>
      <c r="F157" t="inlineStr">
        <is>
          <t>NA</t>
        </is>
      </c>
      <c r="G157" t="n">
        <v>2176.232</v>
      </c>
      <c r="H157" t="n">
        <v>1975.016</v>
      </c>
      <c r="I157" t="inlineStr">
        <is>
          <t>NA</t>
        </is>
      </c>
      <c r="J157" t="inlineStr">
        <is>
          <t>NA</t>
        </is>
      </c>
      <c r="K157" t="n">
        <v>201.216</v>
      </c>
      <c r="L157" t="n">
        <v>2176.212181987836</v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Wilcoxon V</t>
        </is>
      </c>
      <c r="Q157" t="n">
        <v>4326</v>
      </c>
      <c r="R157" t="inlineStr">
        <is>
          <t>NA</t>
        </is>
      </c>
      <c r="S157" t="n">
        <v>0.3390696606099158</v>
      </c>
      <c r="T157" t="n">
        <v>1</v>
      </c>
      <c r="U157" t="inlineStr">
        <is>
          <t>d_z (descriptive)</t>
        </is>
      </c>
      <c r="V157" t="n">
        <v>0.09246157229769826</v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A157" t="inlineStr">
        <is>
          <t>NA</t>
        </is>
      </c>
      <c r="AB157" t="inlineStr">
        <is>
          <t>NA</t>
        </is>
      </c>
      <c r="AC157" t="inlineStr">
        <is>
          <t>NA</t>
        </is>
      </c>
      <c r="AD157" t="inlineStr">
        <is>
          <t>NA</t>
        </is>
      </c>
      <c r="AE157" t="inlineStr">
        <is>
          <t>NA</t>
        </is>
      </c>
      <c r="AF157" t="inlineStr">
        <is>
          <t>Wilcoxon signed rank V</t>
        </is>
      </c>
      <c r="AG157" t="n">
        <v>4326</v>
      </c>
      <c r="AH157" t="n">
        <v>0.3390696606099158</v>
      </c>
      <c r="AI157" t="inlineStr">
        <is>
          <t>NA</t>
        </is>
      </c>
      <c r="AJ157" t="inlineStr">
        <is>
          <t>median difference 161.0 ms; 67 of 125 respondents dwelled longer on Tip_2</t>
        </is>
      </c>
    </row>
    <row r="158">
      <c r="A158" t="inlineStr">
        <is>
          <t>S30_H2_PAIR_Tip_2_Tip_4</t>
        </is>
      </c>
      <c r="B158" t="inlineStr">
        <is>
          <t>Wilcoxon signed rank (paired), Holm adjusted</t>
        </is>
      </c>
      <c r="C158" t="inlineStr">
        <is>
          <t>Sensitivity H2 (3.0 degrees): dwell time on the four tips, n = 125: Tip_2 vs Tip_4, dwell time (ms)</t>
        </is>
      </c>
      <c r="D158" t="n">
        <v>125</v>
      </c>
      <c r="E158" t="inlineStr">
        <is>
          <t>NA</t>
        </is>
      </c>
      <c r="F158" t="inlineStr">
        <is>
          <t>NA</t>
        </is>
      </c>
      <c r="G158" t="n">
        <v>2176.232</v>
      </c>
      <c r="H158" t="n">
        <v>2063.256</v>
      </c>
      <c r="I158" t="inlineStr">
        <is>
          <t>NA</t>
        </is>
      </c>
      <c r="J158" t="inlineStr">
        <is>
          <t>NA</t>
        </is>
      </c>
      <c r="K158" t="n">
        <v>112.976</v>
      </c>
      <c r="L158" t="n">
        <v>2052.766117532712</v>
      </c>
      <c r="M158" t="inlineStr">
        <is>
          <t>NA</t>
        </is>
      </c>
      <c r="N158" t="inlineStr">
        <is>
          <t>NA</t>
        </is>
      </c>
      <c r="O158" t="inlineStr">
        <is>
          <t>NA</t>
        </is>
      </c>
      <c r="P158" t="inlineStr">
        <is>
          <t>Wilcoxon V</t>
        </is>
      </c>
      <c r="Q158" t="n">
        <v>4096.5</v>
      </c>
      <c r="R158" t="inlineStr">
        <is>
          <t>NA</t>
        </is>
      </c>
      <c r="S158" t="n">
        <v>0.6961422324451982</v>
      </c>
      <c r="T158" t="n">
        <v>1</v>
      </c>
      <c r="U158" t="inlineStr">
        <is>
          <t>d_z (descriptive)</t>
        </is>
      </c>
      <c r="V158" t="n">
        <v>0.0550359824409951</v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A158" t="inlineStr">
        <is>
          <t>NA</t>
        </is>
      </c>
      <c r="AB158" t="inlineStr">
        <is>
          <t>NA</t>
        </is>
      </c>
      <c r="AC158" t="inlineStr">
        <is>
          <t>NA</t>
        </is>
      </c>
      <c r="AD158" t="inlineStr">
        <is>
          <t>NA</t>
        </is>
      </c>
      <c r="AE158" t="inlineStr">
        <is>
          <t>NA</t>
        </is>
      </c>
      <c r="AF158" t="inlineStr">
        <is>
          <t>Wilcoxon signed rank V</t>
        </is>
      </c>
      <c r="AG158" t="n">
        <v>4096.5</v>
      </c>
      <c r="AH158" t="n">
        <v>0.6961422324451982</v>
      </c>
      <c r="AI158" t="inlineStr">
        <is>
          <t>NA</t>
        </is>
      </c>
      <c r="AJ158" t="inlineStr">
        <is>
          <t>median difference 58.0 ms; 64 of 125 respondents dwelled longer on Tip_2</t>
        </is>
      </c>
    </row>
    <row r="159">
      <c r="A159" t="inlineStr">
        <is>
          <t>S30_H2_PAIR_Tip_3_Tip_4</t>
        </is>
      </c>
      <c r="B159" t="inlineStr">
        <is>
          <t>Wilcoxon signed rank (paired), Holm adjusted</t>
        </is>
      </c>
      <c r="C159" t="inlineStr">
        <is>
          <t>Sensitivity H2 (3.0 degrees): dwell time on the four tips, n = 125: Tip_3 vs Tip_4, dwell time (ms)</t>
        </is>
      </c>
      <c r="D159" t="n">
        <v>125</v>
      </c>
      <c r="E159" t="inlineStr">
        <is>
          <t>NA</t>
        </is>
      </c>
      <c r="F159" t="inlineStr">
        <is>
          <t>NA</t>
        </is>
      </c>
      <c r="G159" t="n">
        <v>1975.016</v>
      </c>
      <c r="H159" t="n">
        <v>2063.256</v>
      </c>
      <c r="I159" t="inlineStr">
        <is>
          <t>NA</t>
        </is>
      </c>
      <c r="J159" t="inlineStr">
        <is>
          <t>NA</t>
        </is>
      </c>
      <c r="K159" t="n">
        <v>-88.23999999999999</v>
      </c>
      <c r="L159" t="n">
        <v>1922.303957872327</v>
      </c>
      <c r="M159" t="inlineStr">
        <is>
          <t>NA</t>
        </is>
      </c>
      <c r="N159" t="inlineStr">
        <is>
          <t>NA</t>
        </is>
      </c>
      <c r="O159" t="inlineStr">
        <is>
          <t>NA</t>
        </is>
      </c>
      <c r="P159" t="inlineStr">
        <is>
          <t>Wilcoxon V</t>
        </is>
      </c>
      <c r="Q159" t="n">
        <v>3908.5</v>
      </c>
      <c r="R159" t="inlineStr">
        <is>
          <t>NA</t>
        </is>
      </c>
      <c r="S159" t="n">
        <v>0.9440169028023477</v>
      </c>
      <c r="T159" t="n">
        <v>1</v>
      </c>
      <c r="U159" t="inlineStr">
        <is>
          <t>d_z (descriptive)</t>
        </is>
      </c>
      <c r="V159" t="n">
        <v>-0.04590325043999135</v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A159" t="inlineStr">
        <is>
          <t>NA</t>
        </is>
      </c>
      <c r="AB159" t="inlineStr">
        <is>
          <t>NA</t>
        </is>
      </c>
      <c r="AC159" t="inlineStr">
        <is>
          <t>NA</t>
        </is>
      </c>
      <c r="AD159" t="inlineStr">
        <is>
          <t>NA</t>
        </is>
      </c>
      <c r="AE159" t="inlineStr">
        <is>
          <t>NA</t>
        </is>
      </c>
      <c r="AF159" t="inlineStr">
        <is>
          <t>Wilcoxon signed rank V</t>
        </is>
      </c>
      <c r="AG159" t="n">
        <v>3908.5</v>
      </c>
      <c r="AH159" t="n">
        <v>0.9440169028023477</v>
      </c>
      <c r="AI159" t="inlineStr">
        <is>
          <t>NA</t>
        </is>
      </c>
      <c r="AJ159" t="inlineStr">
        <is>
          <t>median difference 4.0 ms; 63 of 125 respondents dwelled longer on Tip_3</t>
        </is>
      </c>
    </row>
    <row r="160">
      <c r="A160" t="inlineStr">
        <is>
          <t>S30_H3</t>
        </is>
      </c>
      <c r="B160" t="inlineStr">
        <is>
          <t>Welch t (two groups)</t>
        </is>
      </c>
      <c r="C160" t="inlineStr">
        <is>
          <t>Sensitivity H3 (3.0 degrees), n = 59 and 66</t>
        </is>
      </c>
      <c r="D160" t="n">
        <v>125</v>
      </c>
      <c r="E160" t="n">
        <v>59</v>
      </c>
      <c r="F160" t="n">
        <v>66</v>
      </c>
      <c r="G160" t="n">
        <v>5.033898305084746</v>
      </c>
      <c r="H160" t="n">
        <v>5.287878787878788</v>
      </c>
      <c r="I160" t="n">
        <v>1.351450073004794</v>
      </c>
      <c r="J160" t="n">
        <v>1.224935182148917</v>
      </c>
      <c r="K160" t="n">
        <v>-0.2539804827940424</v>
      </c>
      <c r="L160" t="inlineStr">
        <is>
          <t>NA</t>
        </is>
      </c>
      <c r="M160" t="n">
        <v>1.286144128339773</v>
      </c>
      <c r="N160" t="n">
        <v>-0.7128424164274164</v>
      </c>
      <c r="O160" t="n">
        <v>0.2048814508393316</v>
      </c>
      <c r="P160" t="inlineStr">
        <is>
          <t>Welch t</t>
        </is>
      </c>
      <c r="Q160" t="n">
        <v>-1.09610300983448</v>
      </c>
      <c r="R160" t="n">
        <v>117.7864896044022</v>
      </c>
      <c r="S160" t="n">
        <v>0.2752697438199068</v>
      </c>
      <c r="T160" t="inlineStr">
        <is>
          <t>NA</t>
        </is>
      </c>
      <c r="U160" t="inlineStr">
        <is>
          <t>d (pooled SD)</t>
        </is>
      </c>
      <c r="V160" t="n">
        <v>-0.1974743554767028</v>
      </c>
      <c r="W160" t="n">
        <v>-0.5490995598670826</v>
      </c>
      <c r="X160" t="n">
        <v>0.1549490223928364</v>
      </c>
      <c r="Y160" t="n">
        <v>-0.5494930410711819</v>
      </c>
      <c r="Z160" t="n">
        <v>0.1545443301177763</v>
      </c>
      <c r="AA160" t="n">
        <v>-0.1962677911866211</v>
      </c>
      <c r="AB160" t="n">
        <v>-0.5457445727395851</v>
      </c>
      <c r="AC160" t="n">
        <v>0.1540022870218008</v>
      </c>
      <c r="AD160" t="n">
        <v>-0.5482761075825573</v>
      </c>
      <c r="AE160" t="n">
        <v>0.155740525209315</v>
      </c>
      <c r="AF160" t="inlineStr">
        <is>
          <t>Mann Whitney W</t>
        </is>
      </c>
      <c r="AG160" t="n">
        <v>1774.5</v>
      </c>
      <c r="AH160" t="n">
        <v>0.3821277974429393</v>
      </c>
      <c r="AI160" t="n">
        <v>0.0002868777322278726</v>
      </c>
      <c r="AJ160" t="inlineStr">
        <is>
          <t>NA</t>
        </is>
      </c>
    </row>
    <row r="161">
      <c r="A161" t="inlineStr">
        <is>
          <t>EXP_PREF</t>
        </is>
      </c>
      <c r="B161" t="inlineStr">
        <is>
          <t>correlation</t>
        </is>
      </c>
      <c r="C161" t="inlineStr">
        <is>
          <t>(a) Engagement difference (visual minus narrative) with preference (1 = Visual)</t>
        </is>
      </c>
      <c r="D161" t="n">
        <v>142</v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t</t>
        </is>
      </c>
      <c r="Q161" t="n">
        <v>3.078019468781383</v>
      </c>
      <c r="R161" t="n">
        <v>140</v>
      </c>
      <c r="S161" t="n">
        <v>0.002507800674181738</v>
      </c>
      <c r="T161" t="inlineStr">
        <is>
          <t>NA</t>
        </is>
      </c>
      <c r="U161" t="inlineStr">
        <is>
          <t>Pearson r</t>
        </is>
      </c>
      <c r="V161" t="n">
        <v>0.2517608742482241</v>
      </c>
      <c r="W161" t="n">
        <v>0.09079921395676377</v>
      </c>
      <c r="X161" t="n">
        <v>0.3999034019217922</v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  <c r="AE161" t="inlineStr">
        <is>
          <t>NA</t>
        </is>
      </c>
      <c r="AF161" t="inlineStr">
        <is>
          <t>Spearman rho</t>
        </is>
      </c>
      <c r="AG161" t="n">
        <v>0.2303269850345653</v>
      </c>
      <c r="AH161" t="n">
        <v>0.005823079248996171</v>
      </c>
      <c r="AI161" t="inlineStr">
        <is>
          <t>NA</t>
        </is>
      </c>
      <c r="AJ161" t="inlineStr">
        <is>
          <t>NA</t>
        </is>
      </c>
    </row>
    <row r="162">
      <c r="A162" t="inlineStr">
        <is>
          <t>EXP_RECALL</t>
        </is>
      </c>
      <c r="B162" t="inlineStr">
        <is>
          <t>correlation</t>
        </is>
      </c>
      <c r="C162" t="inlineStr">
        <is>
          <t>(b) Total dwell time on the four tips (ms) with tips recalled (0 to 4)</t>
        </is>
      </c>
      <c r="D162" t="n">
        <v>142</v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t</t>
        </is>
      </c>
      <c r="Q162" t="n">
        <v>1.915242057676043</v>
      </c>
      <c r="R162" t="n">
        <v>140</v>
      </c>
      <c r="S162" t="n">
        <v>0.05750085766984071</v>
      </c>
      <c r="T162" t="inlineStr">
        <is>
          <t>NA</t>
        </is>
      </c>
      <c r="U162" t="inlineStr">
        <is>
          <t>Pearson r</t>
        </is>
      </c>
      <c r="V162" t="n">
        <v>0.1597877263324106</v>
      </c>
      <c r="W162" t="n">
        <v>-0.005073078827528292</v>
      </c>
      <c r="X162" t="n">
        <v>0.3161923760159563</v>
      </c>
      <c r="Y162" t="inlineStr">
        <is>
          <t>NA</t>
        </is>
      </c>
      <c r="Z162" t="inlineStr">
        <is>
          <t>NA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  <c r="AE162" t="inlineStr">
        <is>
          <t>NA</t>
        </is>
      </c>
      <c r="AF162" t="inlineStr">
        <is>
          <t>Spearman rho</t>
        </is>
      </c>
      <c r="AG162" t="n">
        <v>0.1606144671691528</v>
      </c>
      <c r="AH162" t="n">
        <v>0.0562051884696934</v>
      </c>
      <c r="AI162" t="inlineStr">
        <is>
          <t>NA</t>
        </is>
      </c>
      <c r="AJ16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2026-10-11T02:47:55Z</dcterms:created>
  <dcterms:modified xmlns:dcterms="http://purl.org/dc/terms/" xmlns:xsi="http://www.w3.org/2001/XMLSchema-instance" xsi:type="dcterms:W3CDTF">2026-10-11T02:47:55Z</dcterms:modified>
</cp:coreProperties>
</file>