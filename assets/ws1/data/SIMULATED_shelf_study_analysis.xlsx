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ensodyne" sheetId="4" state="visible" r:id="rId4"/>
    <sheet xmlns:r="http://schemas.openxmlformats.org/officeDocument/2006/relationships" name="Survey" sheetId="5" state="visible" r:id="rId5"/>
    <sheet xmlns:r="http://schemas.openxmlformats.org/officeDocument/2006/relationships" name="Check" sheetId="6" state="visible" r:id="rId6"/>
  </sheets>
  <definedNames>
    <definedName name="_xlnm._FilterDatabase" localSheetId="1" hidden="1">'Data'!$A$1:$AC$166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  <sz val="12"/>
    </font>
    <font>
      <i val="1"/>
      <color rgb="00555555"/>
    </font>
    <font>
      <b val="1"/>
    </font>
    <font>
      <name val="Consolas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656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5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5" fillId="4" borderId="0" pivotButton="0" quotePrefix="0" xfId="0"/>
    <xf numFmtId="165" fontId="0" fillId="0" borderId="0" pivotButton="0" quotePrefix="0" xfId="0"/>
    <xf numFmtId="0" fontId="6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dwell time share by AOI and condition (SIMULATED)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'Summary'!B20</f>
            </strRef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prstDash val="solid"/>
            </a:ln>
          </spPr>
          <cat>
            <numRef>
              <f>'Summary'!$A$21:$A$26</f>
            </numRef>
          </cat>
          <val>
            <numRef>
              <f>'Summary'!$B$21:$B$26</f>
            </numRef>
          </val>
        </ser>
        <ser>
          <idx val="1"/>
          <order val="1"/>
          <tx>
            <strRef>
              <f>'Summary'!C20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'Summary'!$A$21:$A$26</f>
            </numRef>
          </cat>
          <val>
            <numRef>
              <f>'Summary'!$C$21:$C$26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AOI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Dwell time (% of shelf exposure)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TTFF to Sensodyne_Products by condition (SIMULATED)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'Sensodyne'!K43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Sensodyne!$L$44:$L$45</f>
              </numRef>
            </minus>
            <plus>
              <numRef>
                <f>Sensodyne!$L$44:$L$45</f>
              </numRef>
            </plus>
          </errBars>
          <cat>
            <numRef>
              <f>'Sensodyne'!$J$44:$J$45</f>
            </numRef>
          </cat>
          <val>
            <numRef>
              <f>'Sensodyne'!$K$44:$K$45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TTFF parent (s)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41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SIMULATED shelf study workbook (teaching material)</t>
        </is>
      </c>
    </row>
    <row r="2">
      <c r="A2" t="inlineStr"/>
    </row>
    <row r="3">
      <c r="A3" t="inlineStr">
        <is>
          <t>Every number in this workbook is SIMULATED. It was generated by make_simulated_data.py</t>
        </is>
      </c>
    </row>
    <row r="4">
      <c r="A4" t="inlineStr">
        <is>
          <t>(seed 20261037) to mirror the iMotions In-Store Shopper Report (Sensodyne POSM versus</t>
        </is>
      </c>
    </row>
    <row r="5">
      <c r="A5" t="inlineStr">
        <is>
          <t>no POSM, eye tracking glasses) in direction and rough size only. No real shopper was recorded.</t>
        </is>
      </c>
    </row>
    <row r="6">
      <c r="A6" t="inlineStr"/>
    </row>
    <row r="7">
      <c r="A7" t="inlineStr">
        <is>
          <t>Sheets:</t>
        </is>
      </c>
    </row>
    <row r="8">
      <c r="A8" t="inlineStr">
        <is>
          <t xml:space="preserve">  Data       Individual AOI metrics export as imported. NA is kept as text, as iMotions writes it.</t>
        </is>
      </c>
    </row>
    <row r="9">
      <c r="A9" t="inlineStr">
        <is>
          <t xml:space="preserve">             Helper columns Z to AC: Keep (Valid data &gt;= 70), TTFF_s, Dwell_pct_clean, Fixated.</t>
        </is>
      </c>
    </row>
    <row r="10">
      <c r="A10" t="inlineStr">
        <is>
          <t xml:space="preserve">  Summary    Mean, SD, n by AOI and condition, built with COUNTIFS, AVERAGEIFS, STDEV.S(IF(...)).</t>
        </is>
      </c>
    </row>
    <row r="11">
      <c r="A11" t="inlineStr">
        <is>
          <t xml:space="preserve">  Sensodyne  The Sensodyne_Products rows for kept respondents, sorted by condition.</t>
        </is>
      </c>
    </row>
    <row r="12">
      <c r="A12" t="inlineStr">
        <is>
          <t xml:space="preserve">             Welch t test (T.TEST type 3), hand computed t, Cohen's d, 95 percent CI.</t>
        </is>
      </c>
    </row>
    <row r="13">
      <c r="A13" t="inlineStr">
        <is>
          <t xml:space="preserve">  Survey     Purchase intent, brand recall, product chosen; T.TEST and CORREL with attention.</t>
        </is>
      </c>
    </row>
    <row r="14">
      <c r="A14" t="inlineStr">
        <is>
          <t xml:space="preserve">  Check      Values from analysis.R to confirm your formulas.</t>
        </is>
      </c>
    </row>
    <row r="15">
      <c r="A15" t="inlineStr"/>
    </row>
    <row r="16">
      <c r="A16" t="inlineStr">
        <is>
          <t>Column names follow the iMotions AOI Metrics help article. Where the same metric name exists</t>
        </is>
      </c>
    </row>
    <row r="17">
      <c r="A17" t="inlineStr">
        <is>
          <t>as a gaze based and a fixation based metric, the gaze based one is prefixed 'Gaze'.</t>
        </is>
      </c>
    </row>
    <row r="18">
      <c r="A18" t="inlineStr">
        <is>
          <t>Exclusion rule, fixed before data collection: Valid data below 70 percent (respondent P17).</t>
        </is>
      </c>
    </row>
    <row r="19">
      <c r="A19" t="inlineStr">
        <is>
          <t>Never fixated AOI: TTFF is not observed (left out of TTFF statistics); dwell time counts as 0.</t>
        </is>
      </c>
    </row>
    <row r="20">
      <c r="A20" t="inlineStr"/>
    </row>
    <row r="21">
      <c r="A21" t="inlineStr">
        <is>
          <t>Companion files: analysis_excel_walkthrough.md (step by step), analysis.R (same analysis in 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7" customWidth="1" min="2" max="2"/>
    <col width="8" customWidth="1" min="3" max="3"/>
    <col width="8" customWidth="1" min="4" max="4"/>
    <col width="8" customWidth="1" min="5" max="5"/>
    <col width="14" customWidth="1" min="6" max="6"/>
    <col width="22" customWidth="1" min="7" max="7"/>
    <col width="21" customWidth="1" min="8" max="8"/>
    <col width="19" customWidth="1" min="9" max="9"/>
    <col width="19" customWidth="1" min="10" max="10"/>
    <col width="18" customWidth="1" min="11" max="11"/>
    <col width="12" customWidth="1" min="12" max="12"/>
    <col width="24" customWidth="1" min="13" max="13"/>
    <col width="18" customWidth="1" min="14" max="14"/>
    <col width="22" customWidth="1" min="15" max="15"/>
    <col width="23" customWidth="1" min="16" max="16"/>
    <col width="15" customWidth="1" min="17" max="17"/>
    <col width="16" customWidth="1" min="18" max="18"/>
    <col width="15" customWidth="1" min="19" max="19"/>
    <col width="18" customWidth="1" min="20" max="20"/>
    <col width="16" customWidth="1" min="21" max="21"/>
    <col width="17" customWidth="1" min="22" max="22"/>
    <col width="16" customWidth="1" min="23" max="23"/>
    <col width="24" customWidth="1" min="24" max="24"/>
    <col width="24" customWidth="1" min="25" max="25"/>
    <col width="14" customWidth="1" min="26" max="26"/>
    <col width="14" customWidth="1" min="27" max="27"/>
    <col width="17" customWidth="1" min="28" max="28"/>
    <col width="14" customWidth="1" min="29" max="29"/>
  </cols>
  <sheetData>
    <row r="1">
      <c r="A1" s="2" t="inlineStr">
        <is>
          <t>Study Name</t>
        </is>
      </c>
      <c r="B1" s="2" t="inlineStr">
        <is>
          <t>Respondent Name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Group</t>
        </is>
      </c>
      <c r="F1" s="2" t="inlineStr">
        <is>
          <t>Session Date</t>
        </is>
      </c>
      <c r="G1" s="2" t="inlineStr">
        <is>
          <t>Stimulus</t>
        </is>
      </c>
      <c r="H1" s="2" t="inlineStr">
        <is>
          <t>AOI Name</t>
        </is>
      </c>
      <c r="I1" s="2" t="inlineStr">
        <is>
          <t>Stimulus duration</t>
        </is>
      </c>
      <c r="J1" s="2" t="inlineStr">
        <is>
          <t>AOI duration (ms)</t>
        </is>
      </c>
      <c r="K1" s="2" t="inlineStr">
        <is>
          <t>AOI duration (%)</t>
        </is>
      </c>
      <c r="L1" s="2" t="inlineStr">
        <is>
          <t>Valid data</t>
        </is>
      </c>
      <c r="M1" s="2" t="inlineStr">
        <is>
          <t>Gaze Hit time parent (ms)</t>
        </is>
      </c>
      <c r="N1" s="2" t="inlineStr">
        <is>
          <t>Gaze Dwell count</t>
        </is>
      </c>
      <c r="O1" s="2" t="inlineStr">
        <is>
          <t>Gaze Dwell time (ms)</t>
        </is>
      </c>
      <c r="P1" s="2" t="inlineStr">
        <is>
          <t>Dwells with fixations</t>
        </is>
      </c>
      <c r="Q1" s="2" t="inlineStr">
        <is>
          <t>Revisit count</t>
        </is>
      </c>
      <c r="R1" s="2" t="inlineStr">
        <is>
          <t>Fixation count</t>
        </is>
      </c>
      <c r="S1" s="2" t="inlineStr">
        <is>
          <t>TTFF AOI (ms)</t>
        </is>
      </c>
      <c r="T1" s="2" t="inlineStr">
        <is>
          <t>TTFF parent (ms)</t>
        </is>
      </c>
      <c r="U1" s="2" t="inlineStr">
        <is>
          <t>TTFF max. (ms)</t>
        </is>
      </c>
      <c r="V1" s="2" t="inlineStr">
        <is>
          <t>Dwell time (ms)</t>
        </is>
      </c>
      <c r="W1" s="2" t="inlineStr">
        <is>
          <t>Dwell time (%)</t>
        </is>
      </c>
      <c r="X1" s="2" t="inlineStr">
        <is>
          <t>Fixation duration (ms)</t>
        </is>
      </c>
      <c r="Y1" s="2" t="inlineStr">
        <is>
          <t>First fixation duration (ms)</t>
        </is>
      </c>
      <c r="Z1" s="3" t="inlineStr">
        <is>
          <t>Keep</t>
        </is>
      </c>
      <c r="AA1" s="3" t="inlineStr">
        <is>
          <t>TTFF_s</t>
        </is>
      </c>
      <c r="AB1" s="3" t="inlineStr">
        <is>
          <t>Dwell_pct_clean</t>
        </is>
      </c>
      <c r="AC1" s="3" t="inlineStr">
        <is>
          <t>Fixated</t>
        </is>
      </c>
    </row>
    <row r="2">
      <c r="A2" t="inlineStr">
        <is>
          <t>SIMULATED_ShelfStudy_POSM_vs_NoPOSM</t>
        </is>
      </c>
      <c r="B2" t="inlineStr">
        <is>
          <t>P01</t>
        </is>
      </c>
      <c r="C2" t="inlineStr">
        <is>
          <t>M</t>
        </is>
      </c>
      <c r="D2" t="inlineStr">
        <is>
          <t>18-24</t>
        </is>
      </c>
      <c r="E2" t="inlineStr">
        <is>
          <t>POSM</t>
        </is>
      </c>
      <c r="F2" t="inlineStr">
        <is>
          <t>2026-10-12</t>
        </is>
      </c>
      <c r="G2" t="inlineStr">
        <is>
          <t>Shelf_POSM_GazeMap</t>
        </is>
      </c>
      <c r="H2" t="inlineStr">
        <is>
          <t>Sensodyne_Products</t>
        </is>
      </c>
      <c r="I2" t="n">
        <v>124961</v>
      </c>
      <c r="J2" t="n">
        <v>124961</v>
      </c>
      <c r="K2" t="n">
        <v>100</v>
      </c>
      <c r="L2" t="n">
        <v>93.8</v>
      </c>
      <c r="M2" t="n">
        <v>2171</v>
      </c>
      <c r="N2" t="n">
        <v>6</v>
      </c>
      <c r="O2" t="n">
        <v>24087</v>
      </c>
      <c r="P2" t="n">
        <v>6</v>
      </c>
      <c r="Q2" t="n">
        <v>5</v>
      </c>
      <c r="R2" t="n">
        <v>84</v>
      </c>
      <c r="S2" t="n">
        <v>2356</v>
      </c>
      <c r="T2" t="n">
        <v>2356</v>
      </c>
      <c r="U2" t="n">
        <v>2356</v>
      </c>
      <c r="V2" t="n">
        <v>22576</v>
      </c>
      <c r="W2" t="n">
        <v>18.07</v>
      </c>
      <c r="X2" t="n">
        <v>269</v>
      </c>
      <c r="Y2" t="n">
        <v>281</v>
      </c>
      <c r="Z2">
        <f>IF(L2&gt;=70,"Yes","No")</f>
        <v/>
      </c>
      <c r="AA2">
        <f>IF(ISNUMBER(T2),T2/1000,"")</f>
        <v/>
      </c>
      <c r="AB2">
        <f>IF(ISNUMBER(W2),W2,0)</f>
        <v/>
      </c>
      <c r="AC2">
        <f>IF(ISNUMBER(T2),1,0)</f>
        <v/>
      </c>
    </row>
    <row r="3">
      <c r="A3" t="inlineStr">
        <is>
          <t>SIMULATED_ShelfStudy_POSM_vs_NoPOSM</t>
        </is>
      </c>
      <c r="B3" t="inlineStr">
        <is>
          <t>P01</t>
        </is>
      </c>
      <c r="C3" t="inlineStr">
        <is>
          <t>M</t>
        </is>
      </c>
      <c r="D3" t="inlineStr">
        <is>
          <t>18-24</t>
        </is>
      </c>
      <c r="E3" t="inlineStr">
        <is>
          <t>POSM</t>
        </is>
      </c>
      <c r="F3" t="inlineStr">
        <is>
          <t>2026-10-12</t>
        </is>
      </c>
      <c r="G3" t="inlineStr">
        <is>
          <t>Shelf_POSM_GazeMap</t>
        </is>
      </c>
      <c r="H3" t="inlineStr">
        <is>
          <t>Sensodyne_POSM_Wing</t>
        </is>
      </c>
      <c r="I3" t="n">
        <v>124961</v>
      </c>
      <c r="J3" t="n">
        <v>124961</v>
      </c>
      <c r="K3" t="n">
        <v>100</v>
      </c>
      <c r="L3" t="n">
        <v>93.8</v>
      </c>
      <c r="M3" t="n">
        <v>903</v>
      </c>
      <c r="N3" t="n">
        <v>3</v>
      </c>
      <c r="O3" t="n">
        <v>4594</v>
      </c>
      <c r="P3" t="n">
        <v>2</v>
      </c>
      <c r="Q3" t="n">
        <v>1</v>
      </c>
      <c r="R3" t="n">
        <v>21</v>
      </c>
      <c r="S3" t="n">
        <v>1088</v>
      </c>
      <c r="T3" t="n">
        <v>1088</v>
      </c>
      <c r="U3" t="n">
        <v>1088</v>
      </c>
      <c r="V3" t="n">
        <v>4152</v>
      </c>
      <c r="W3" t="n">
        <v>3.32</v>
      </c>
      <c r="X3" t="n">
        <v>198</v>
      </c>
      <c r="Y3" t="n">
        <v>174</v>
      </c>
      <c r="Z3">
        <f>IF(L3&gt;=70,"Yes","No")</f>
        <v/>
      </c>
      <c r="AA3">
        <f>IF(ISNUMBER(T3),T3/1000,"")</f>
        <v/>
      </c>
      <c r="AB3">
        <f>IF(ISNUMBER(W3),W3,0)</f>
        <v/>
      </c>
      <c r="AC3">
        <f>IF(ISNUMBER(T3),1,0)</f>
        <v/>
      </c>
    </row>
    <row r="4">
      <c r="A4" t="inlineStr">
        <is>
          <t>SIMULATED_ShelfStudy_POSM_vs_NoPOSM</t>
        </is>
      </c>
      <c r="B4" t="inlineStr">
        <is>
          <t>P01</t>
        </is>
      </c>
      <c r="C4" t="inlineStr">
        <is>
          <t>M</t>
        </is>
      </c>
      <c r="D4" t="inlineStr">
        <is>
          <t>18-24</t>
        </is>
      </c>
      <c r="E4" t="inlineStr">
        <is>
          <t>POSM</t>
        </is>
      </c>
      <c r="F4" t="inlineStr">
        <is>
          <t>2026-10-12</t>
        </is>
      </c>
      <c r="G4" t="inlineStr">
        <is>
          <t>Shelf_POSM_GazeMap</t>
        </is>
      </c>
      <c r="H4" t="inlineStr">
        <is>
          <t>Competitor_A</t>
        </is>
      </c>
      <c r="I4" t="n">
        <v>124961</v>
      </c>
      <c r="J4" t="n">
        <v>124961</v>
      </c>
      <c r="K4" t="n">
        <v>100</v>
      </c>
      <c r="L4" t="n">
        <v>93.8</v>
      </c>
      <c r="M4" t="n">
        <v>1500</v>
      </c>
      <c r="N4" t="n">
        <v>4</v>
      </c>
      <c r="O4" t="n">
        <v>13909</v>
      </c>
      <c r="P4" t="n">
        <v>4</v>
      </c>
      <c r="Q4" t="n">
        <v>3</v>
      </c>
      <c r="R4" t="n">
        <v>55</v>
      </c>
      <c r="S4" t="n">
        <v>1717</v>
      </c>
      <c r="T4" t="n">
        <v>1717</v>
      </c>
      <c r="U4" t="n">
        <v>1717</v>
      </c>
      <c r="V4" t="n">
        <v>12645</v>
      </c>
      <c r="W4" t="n">
        <v>10.12</v>
      </c>
      <c r="X4" t="n">
        <v>230</v>
      </c>
      <c r="Y4" t="n">
        <v>206</v>
      </c>
      <c r="Z4">
        <f>IF(L4&gt;=70,"Yes","No")</f>
        <v/>
      </c>
      <c r="AA4">
        <f>IF(ISNUMBER(T4),T4/1000,"")</f>
        <v/>
      </c>
      <c r="AB4">
        <f>IF(ISNUMBER(W4),W4,0)</f>
        <v/>
      </c>
      <c r="AC4">
        <f>IF(ISNUMBER(T4),1,0)</f>
        <v/>
      </c>
    </row>
    <row r="5">
      <c r="A5" t="inlineStr">
        <is>
          <t>SIMULATED_ShelfStudy_POSM_vs_NoPOSM</t>
        </is>
      </c>
      <c r="B5" t="inlineStr">
        <is>
          <t>P01</t>
        </is>
      </c>
      <c r="C5" t="inlineStr">
        <is>
          <t>M</t>
        </is>
      </c>
      <c r="D5" t="inlineStr">
        <is>
          <t>18-24</t>
        </is>
      </c>
      <c r="E5" t="inlineStr">
        <is>
          <t>POSM</t>
        </is>
      </c>
      <c r="F5" t="inlineStr">
        <is>
          <t>2026-10-12</t>
        </is>
      </c>
      <c r="G5" t="inlineStr">
        <is>
          <t>Shelf_POSM_GazeMap</t>
        </is>
      </c>
      <c r="H5" t="inlineStr">
        <is>
          <t>Competitor_B</t>
        </is>
      </c>
      <c r="I5" t="n">
        <v>124961</v>
      </c>
      <c r="J5" t="n">
        <v>124961</v>
      </c>
      <c r="K5" t="n">
        <v>100</v>
      </c>
      <c r="L5" t="n">
        <v>93.8</v>
      </c>
      <c r="M5" t="n">
        <v>3929</v>
      </c>
      <c r="N5" t="n">
        <v>4</v>
      </c>
      <c r="O5" t="n">
        <v>10269</v>
      </c>
      <c r="P5" t="n">
        <v>2</v>
      </c>
      <c r="Q5" t="n">
        <v>1</v>
      </c>
      <c r="R5" t="n">
        <v>33</v>
      </c>
      <c r="S5" t="n">
        <v>4015</v>
      </c>
      <c r="T5" t="n">
        <v>4015</v>
      </c>
      <c r="U5" t="n">
        <v>4015</v>
      </c>
      <c r="V5" t="n">
        <v>9538</v>
      </c>
      <c r="W5" t="n">
        <v>7.63</v>
      </c>
      <c r="X5" t="n">
        <v>289</v>
      </c>
      <c r="Y5" t="n">
        <v>222</v>
      </c>
      <c r="Z5">
        <f>IF(L5&gt;=70,"Yes","No")</f>
        <v/>
      </c>
      <c r="AA5">
        <f>IF(ISNUMBER(T5),T5/1000,"")</f>
        <v/>
      </c>
      <c r="AB5">
        <f>IF(ISNUMBER(W5),W5,0)</f>
        <v/>
      </c>
      <c r="AC5">
        <f>IF(ISNUMBER(T5),1,0)</f>
        <v/>
      </c>
    </row>
    <row r="6">
      <c r="A6" t="inlineStr">
        <is>
          <t>SIMULATED_ShelfStudy_POSM_vs_NoPOSM</t>
        </is>
      </c>
      <c r="B6" t="inlineStr">
        <is>
          <t>P01</t>
        </is>
      </c>
      <c r="C6" t="inlineStr">
        <is>
          <t>M</t>
        </is>
      </c>
      <c r="D6" t="inlineStr">
        <is>
          <t>18-24</t>
        </is>
      </c>
      <c r="E6" t="inlineStr">
        <is>
          <t>POSM</t>
        </is>
      </c>
      <c r="F6" t="inlineStr">
        <is>
          <t>2026-10-12</t>
        </is>
      </c>
      <c r="G6" t="inlineStr">
        <is>
          <t>Shelf_POSM_GazeMap</t>
        </is>
      </c>
      <c r="H6" t="inlineStr">
        <is>
          <t>Price_Tags</t>
        </is>
      </c>
      <c r="I6" t="n">
        <v>124961</v>
      </c>
      <c r="J6" t="n">
        <v>124961</v>
      </c>
      <c r="K6" t="n">
        <v>100</v>
      </c>
      <c r="L6" t="n">
        <v>93.8</v>
      </c>
      <c r="M6" t="n">
        <v>9960</v>
      </c>
      <c r="N6" t="n">
        <v>3</v>
      </c>
      <c r="O6" t="n">
        <v>7125</v>
      </c>
      <c r="P6" t="n">
        <v>3</v>
      </c>
      <c r="Q6" t="n">
        <v>2</v>
      </c>
      <c r="R6" t="n">
        <v>17</v>
      </c>
      <c r="S6" t="n">
        <v>10222</v>
      </c>
      <c r="T6" t="n">
        <v>10222</v>
      </c>
      <c r="U6" t="n">
        <v>10222</v>
      </c>
      <c r="V6" t="n">
        <v>6223</v>
      </c>
      <c r="W6" t="n">
        <v>4.98</v>
      </c>
      <c r="X6" t="n">
        <v>366</v>
      </c>
      <c r="Y6" t="n">
        <v>219</v>
      </c>
      <c r="Z6">
        <f>IF(L6&gt;=70,"Yes","No")</f>
        <v/>
      </c>
      <c r="AA6">
        <f>IF(ISNUMBER(T6),T6/1000,"")</f>
        <v/>
      </c>
      <c r="AB6">
        <f>IF(ISNUMBER(W6),W6,0)</f>
        <v/>
      </c>
      <c r="AC6">
        <f>IF(ISNUMBER(T6),1,0)</f>
        <v/>
      </c>
    </row>
    <row r="7">
      <c r="A7" t="inlineStr">
        <is>
          <t>SIMULATED_ShelfStudy_POSM_vs_NoPOSM</t>
        </is>
      </c>
      <c r="B7" t="inlineStr">
        <is>
          <t>P01</t>
        </is>
      </c>
      <c r="C7" t="inlineStr">
        <is>
          <t>M</t>
        </is>
      </c>
      <c r="D7" t="inlineStr">
        <is>
          <t>18-24</t>
        </is>
      </c>
      <c r="E7" t="inlineStr">
        <is>
          <t>POSM</t>
        </is>
      </c>
      <c r="F7" t="inlineStr">
        <is>
          <t>2026-10-12</t>
        </is>
      </c>
      <c r="G7" t="inlineStr">
        <is>
          <t>Shelf_POSM_GazeMap</t>
        </is>
      </c>
      <c r="H7" t="inlineStr">
        <is>
          <t>Shelf_Other</t>
        </is>
      </c>
      <c r="I7" t="n">
        <v>124961</v>
      </c>
      <c r="J7" t="n">
        <v>124961</v>
      </c>
      <c r="K7" t="n">
        <v>100</v>
      </c>
      <c r="L7" t="n">
        <v>93.8</v>
      </c>
      <c r="M7" t="n">
        <v>1186</v>
      </c>
      <c r="N7" t="n">
        <v>2</v>
      </c>
      <c r="O7" t="n">
        <v>16763</v>
      </c>
      <c r="P7" t="n">
        <v>2</v>
      </c>
      <c r="Q7" t="n">
        <v>1</v>
      </c>
      <c r="R7" t="n">
        <v>65</v>
      </c>
      <c r="S7" t="n">
        <v>1405</v>
      </c>
      <c r="T7" t="n">
        <v>1405</v>
      </c>
      <c r="U7" t="n">
        <v>1405</v>
      </c>
      <c r="V7" t="n">
        <v>16249</v>
      </c>
      <c r="W7" t="n">
        <v>13</v>
      </c>
      <c r="X7" t="n">
        <v>250</v>
      </c>
      <c r="Y7" t="n">
        <v>207</v>
      </c>
      <c r="Z7">
        <f>IF(L7&gt;=70,"Yes","No")</f>
        <v/>
      </c>
      <c r="AA7">
        <f>IF(ISNUMBER(T7),T7/1000,"")</f>
        <v/>
      </c>
      <c r="AB7">
        <f>IF(ISNUMBER(W7),W7,0)</f>
        <v/>
      </c>
      <c r="AC7">
        <f>IF(ISNUMBER(T7),1,0)</f>
        <v/>
      </c>
    </row>
    <row r="8">
      <c r="A8" t="inlineStr">
        <is>
          <t>SIMULATED_ShelfStudy_POSM_vs_NoPOSM</t>
        </is>
      </c>
      <c r="B8" t="inlineStr">
        <is>
          <t>P02</t>
        </is>
      </c>
      <c r="C8" t="inlineStr">
        <is>
          <t>M</t>
        </is>
      </c>
      <c r="D8" t="inlineStr">
        <is>
          <t>25-34</t>
        </is>
      </c>
      <c r="E8" t="inlineStr">
        <is>
          <t>NoPOSM</t>
        </is>
      </c>
      <c r="F8" t="inlineStr">
        <is>
          <t>2026-10-12</t>
        </is>
      </c>
      <c r="G8" t="inlineStr">
        <is>
          <t>Shelf_NoPOSM_GazeMap</t>
        </is>
      </c>
      <c r="H8" t="inlineStr">
        <is>
          <t>Sensodyne_Products</t>
        </is>
      </c>
      <c r="I8" t="n">
        <v>127813</v>
      </c>
      <c r="J8" t="n">
        <v>127813</v>
      </c>
      <c r="K8" t="n">
        <v>100</v>
      </c>
      <c r="L8" t="n">
        <v>77.5</v>
      </c>
      <c r="M8" t="n">
        <v>3053</v>
      </c>
      <c r="N8" t="n">
        <v>10</v>
      </c>
      <c r="O8" t="n">
        <v>30735</v>
      </c>
      <c r="P8" t="n">
        <v>8</v>
      </c>
      <c r="Q8" t="n">
        <v>7</v>
      </c>
      <c r="R8" t="n">
        <v>79</v>
      </c>
      <c r="S8" t="n">
        <v>3254</v>
      </c>
      <c r="T8" t="n">
        <v>3254</v>
      </c>
      <c r="U8" t="n">
        <v>3254</v>
      </c>
      <c r="V8" t="n">
        <v>27772</v>
      </c>
      <c r="W8" t="n">
        <v>21.73</v>
      </c>
      <c r="X8" t="n">
        <v>352</v>
      </c>
      <c r="Y8" t="n">
        <v>131</v>
      </c>
      <c r="Z8">
        <f>IF(L8&gt;=70,"Yes","No")</f>
        <v/>
      </c>
      <c r="AA8">
        <f>IF(ISNUMBER(T8),T8/1000,"")</f>
        <v/>
      </c>
      <c r="AB8">
        <f>IF(ISNUMBER(W8),W8,0)</f>
        <v/>
      </c>
      <c r="AC8">
        <f>IF(ISNUMBER(T8),1,0)</f>
        <v/>
      </c>
    </row>
    <row r="9">
      <c r="A9" t="inlineStr">
        <is>
          <t>SIMULATED_ShelfStudy_POSM_vs_NoPOSM</t>
        </is>
      </c>
      <c r="B9" t="inlineStr">
        <is>
          <t>P02</t>
        </is>
      </c>
      <c r="C9" t="inlineStr">
        <is>
          <t>M</t>
        </is>
      </c>
      <c r="D9" t="inlineStr">
        <is>
          <t>25-34</t>
        </is>
      </c>
      <c r="E9" t="inlineStr">
        <is>
          <t>NoPOSM</t>
        </is>
      </c>
      <c r="F9" t="inlineStr">
        <is>
          <t>2026-10-12</t>
        </is>
      </c>
      <c r="G9" t="inlineStr">
        <is>
          <t>Shelf_NoPOSM_GazeMap</t>
        </is>
      </c>
      <c r="H9" t="inlineStr">
        <is>
          <t>Competitor_A</t>
        </is>
      </c>
      <c r="I9" t="n">
        <v>127813</v>
      </c>
      <c r="J9" t="n">
        <v>127813</v>
      </c>
      <c r="K9" t="n">
        <v>100</v>
      </c>
      <c r="L9" t="n">
        <v>77.5</v>
      </c>
      <c r="M9" t="n">
        <v>1310</v>
      </c>
      <c r="N9" t="n">
        <v>9</v>
      </c>
      <c r="O9" t="n">
        <v>33132</v>
      </c>
      <c r="P9" t="n">
        <v>9</v>
      </c>
      <c r="Q9" t="n">
        <v>8</v>
      </c>
      <c r="R9" t="n">
        <v>101</v>
      </c>
      <c r="S9" t="n">
        <v>1497</v>
      </c>
      <c r="T9" t="n">
        <v>1497</v>
      </c>
      <c r="U9" t="n">
        <v>1497</v>
      </c>
      <c r="V9" t="n">
        <v>31762</v>
      </c>
      <c r="W9" t="n">
        <v>24.85</v>
      </c>
      <c r="X9" t="n">
        <v>314</v>
      </c>
      <c r="Y9" t="n">
        <v>207</v>
      </c>
      <c r="Z9">
        <f>IF(L9&gt;=70,"Yes","No")</f>
        <v/>
      </c>
      <c r="AA9">
        <f>IF(ISNUMBER(T9),T9/1000,"")</f>
        <v/>
      </c>
      <c r="AB9">
        <f>IF(ISNUMBER(W9),W9,0)</f>
        <v/>
      </c>
      <c r="AC9">
        <f>IF(ISNUMBER(T9),1,0)</f>
        <v/>
      </c>
    </row>
    <row r="10">
      <c r="A10" t="inlineStr">
        <is>
          <t>SIMULATED_ShelfStudy_POSM_vs_NoPOSM</t>
        </is>
      </c>
      <c r="B10" t="inlineStr">
        <is>
          <t>P02</t>
        </is>
      </c>
      <c r="C10" t="inlineStr">
        <is>
          <t>M</t>
        </is>
      </c>
      <c r="D10" t="inlineStr">
        <is>
          <t>25-34</t>
        </is>
      </c>
      <c r="E10" t="inlineStr">
        <is>
          <t>NoPOSM</t>
        </is>
      </c>
      <c r="F10" t="inlineStr">
        <is>
          <t>2026-10-12</t>
        </is>
      </c>
      <c r="G10" t="inlineStr">
        <is>
          <t>Shelf_NoPOSM_GazeMap</t>
        </is>
      </c>
      <c r="H10" t="inlineStr">
        <is>
          <t>Competitor_B</t>
        </is>
      </c>
      <c r="I10" t="n">
        <v>127813</v>
      </c>
      <c r="J10" t="n">
        <v>127813</v>
      </c>
      <c r="K10" t="n">
        <v>100</v>
      </c>
      <c r="L10" t="n">
        <v>77.5</v>
      </c>
      <c r="M10" t="n">
        <v>2374</v>
      </c>
      <c r="N10" t="n">
        <v>5</v>
      </c>
      <c r="O10" t="n">
        <v>26425</v>
      </c>
      <c r="P10" t="n">
        <v>5</v>
      </c>
      <c r="Q10" t="n">
        <v>4</v>
      </c>
      <c r="R10" t="n">
        <v>60</v>
      </c>
      <c r="S10" t="n">
        <v>2632</v>
      </c>
      <c r="T10" t="n">
        <v>2632</v>
      </c>
      <c r="U10" t="n">
        <v>2632</v>
      </c>
      <c r="V10" t="n">
        <v>24651</v>
      </c>
      <c r="W10" t="n">
        <v>19.29</v>
      </c>
      <c r="X10" t="n">
        <v>411</v>
      </c>
      <c r="Y10" t="n">
        <v>221</v>
      </c>
      <c r="Z10">
        <f>IF(L10&gt;=70,"Yes","No")</f>
        <v/>
      </c>
      <c r="AA10">
        <f>IF(ISNUMBER(T10),T10/1000,"")</f>
        <v/>
      </c>
      <c r="AB10">
        <f>IF(ISNUMBER(W10),W10,0)</f>
        <v/>
      </c>
      <c r="AC10">
        <f>IF(ISNUMBER(T10),1,0)</f>
        <v/>
      </c>
    </row>
    <row r="11">
      <c r="A11" t="inlineStr">
        <is>
          <t>SIMULATED_ShelfStudy_POSM_vs_NoPOSM</t>
        </is>
      </c>
      <c r="B11" t="inlineStr">
        <is>
          <t>P02</t>
        </is>
      </c>
      <c r="C11" t="inlineStr">
        <is>
          <t>M</t>
        </is>
      </c>
      <c r="D11" t="inlineStr">
        <is>
          <t>25-34</t>
        </is>
      </c>
      <c r="E11" t="inlineStr">
        <is>
          <t>NoPOSM</t>
        </is>
      </c>
      <c r="F11" t="inlineStr">
        <is>
          <t>2026-10-12</t>
        </is>
      </c>
      <c r="G11" t="inlineStr">
        <is>
          <t>Shelf_NoPOSM_GazeMap</t>
        </is>
      </c>
      <c r="H11" t="inlineStr">
        <is>
          <t>Price_Tags</t>
        </is>
      </c>
      <c r="I11" t="n">
        <v>127813</v>
      </c>
      <c r="J11" t="n">
        <v>127813</v>
      </c>
      <c r="K11" t="n">
        <v>100</v>
      </c>
      <c r="L11" t="n">
        <v>77.5</v>
      </c>
      <c r="M11" t="n">
        <v>11137</v>
      </c>
      <c r="N11" t="n">
        <v>1</v>
      </c>
      <c r="O11" t="n">
        <v>107</v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n">
        <v>127813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>
        <f>IF(L11&gt;=70,"Yes","No")</f>
        <v/>
      </c>
      <c r="AA11">
        <f>IF(ISNUMBER(T11),T11/1000,"")</f>
        <v/>
      </c>
      <c r="AB11">
        <f>IF(ISNUMBER(W11),W11,0)</f>
        <v/>
      </c>
      <c r="AC11">
        <f>IF(ISNUMBER(T11),1,0)</f>
        <v/>
      </c>
    </row>
    <row r="12">
      <c r="A12" t="inlineStr">
        <is>
          <t>SIMULATED_ShelfStudy_POSM_vs_NoPOSM</t>
        </is>
      </c>
      <c r="B12" t="inlineStr">
        <is>
          <t>P02</t>
        </is>
      </c>
      <c r="C12" t="inlineStr">
        <is>
          <t>M</t>
        </is>
      </c>
      <c r="D12" t="inlineStr">
        <is>
          <t>25-34</t>
        </is>
      </c>
      <c r="E12" t="inlineStr">
        <is>
          <t>NoPOSM</t>
        </is>
      </c>
      <c r="F12" t="inlineStr">
        <is>
          <t>2026-10-12</t>
        </is>
      </c>
      <c r="G12" t="inlineStr">
        <is>
          <t>Shelf_NoPOSM_GazeMap</t>
        </is>
      </c>
      <c r="H12" t="inlineStr">
        <is>
          <t>Shelf_Other</t>
        </is>
      </c>
      <c r="I12" t="n">
        <v>127813</v>
      </c>
      <c r="J12" t="n">
        <v>127813</v>
      </c>
      <c r="K12" t="n">
        <v>100</v>
      </c>
      <c r="L12" t="n">
        <v>77.5</v>
      </c>
      <c r="M12" t="n">
        <v>952</v>
      </c>
      <c r="N12" t="n">
        <v>3</v>
      </c>
      <c r="O12" t="n">
        <v>19617</v>
      </c>
      <c r="P12" t="n">
        <v>3</v>
      </c>
      <c r="Q12" t="n">
        <v>2</v>
      </c>
      <c r="R12" t="n">
        <v>100</v>
      </c>
      <c r="S12" t="n">
        <v>1196</v>
      </c>
      <c r="T12" t="n">
        <v>1196</v>
      </c>
      <c r="U12" t="n">
        <v>1196</v>
      </c>
      <c r="V12" t="n">
        <v>18824</v>
      </c>
      <c r="W12" t="n">
        <v>14.73</v>
      </c>
      <c r="X12" t="n">
        <v>188</v>
      </c>
      <c r="Y12" t="n">
        <v>262</v>
      </c>
      <c r="Z12">
        <f>IF(L12&gt;=70,"Yes","No")</f>
        <v/>
      </c>
      <c r="AA12">
        <f>IF(ISNUMBER(T12),T12/1000,"")</f>
        <v/>
      </c>
      <c r="AB12">
        <f>IF(ISNUMBER(W12),W12,0)</f>
        <v/>
      </c>
      <c r="AC12">
        <f>IF(ISNUMBER(T12),1,0)</f>
        <v/>
      </c>
    </row>
    <row r="13">
      <c r="A13" t="inlineStr">
        <is>
          <t>SIMULATED_ShelfStudy_POSM_vs_NoPOSM</t>
        </is>
      </c>
      <c r="B13" t="inlineStr">
        <is>
          <t>P03</t>
        </is>
      </c>
      <c r="C13" t="inlineStr">
        <is>
          <t>F</t>
        </is>
      </c>
      <c r="D13" t="inlineStr">
        <is>
          <t>25-34</t>
        </is>
      </c>
      <c r="E13" t="inlineStr">
        <is>
          <t>POSM</t>
        </is>
      </c>
      <c r="F13" t="inlineStr">
        <is>
          <t>2026-10-12</t>
        </is>
      </c>
      <c r="G13" t="inlineStr">
        <is>
          <t>Shelf_POSM_GazeMap</t>
        </is>
      </c>
      <c r="H13" t="inlineStr">
        <is>
          <t>Sensodyne_Products</t>
        </is>
      </c>
      <c r="I13" t="n">
        <v>111190</v>
      </c>
      <c r="J13" t="n">
        <v>111190</v>
      </c>
      <c r="K13" t="n">
        <v>100</v>
      </c>
      <c r="L13" t="n">
        <v>84.09999999999999</v>
      </c>
      <c r="M13" t="n">
        <v>2247</v>
      </c>
      <c r="N13" t="n">
        <v>1</v>
      </c>
      <c r="O13" t="n">
        <v>17159</v>
      </c>
      <c r="P13" t="n">
        <v>1</v>
      </c>
      <c r="Q13" t="n">
        <v>0</v>
      </c>
      <c r="R13" t="n">
        <v>64</v>
      </c>
      <c r="S13" t="n">
        <v>2532</v>
      </c>
      <c r="T13" t="n">
        <v>2532</v>
      </c>
      <c r="U13" t="n">
        <v>2532</v>
      </c>
      <c r="V13" t="n">
        <v>16028</v>
      </c>
      <c r="W13" t="n">
        <v>14.41</v>
      </c>
      <c r="X13" t="n">
        <v>250</v>
      </c>
      <c r="Y13" t="n">
        <v>275</v>
      </c>
      <c r="Z13">
        <f>IF(L13&gt;=70,"Yes","No")</f>
        <v/>
      </c>
      <c r="AA13">
        <f>IF(ISNUMBER(T13),T13/1000,"")</f>
        <v/>
      </c>
      <c r="AB13">
        <f>IF(ISNUMBER(W13),W13,0)</f>
        <v/>
      </c>
      <c r="AC13">
        <f>IF(ISNUMBER(T13),1,0)</f>
        <v/>
      </c>
    </row>
    <row r="14">
      <c r="A14" t="inlineStr">
        <is>
          <t>SIMULATED_ShelfStudy_POSM_vs_NoPOSM</t>
        </is>
      </c>
      <c r="B14" t="inlineStr">
        <is>
          <t>P03</t>
        </is>
      </c>
      <c r="C14" t="inlineStr">
        <is>
          <t>F</t>
        </is>
      </c>
      <c r="D14" t="inlineStr">
        <is>
          <t>25-34</t>
        </is>
      </c>
      <c r="E14" t="inlineStr">
        <is>
          <t>POSM</t>
        </is>
      </c>
      <c r="F14" t="inlineStr">
        <is>
          <t>2026-10-12</t>
        </is>
      </c>
      <c r="G14" t="inlineStr">
        <is>
          <t>Shelf_POSM_GazeMap</t>
        </is>
      </c>
      <c r="H14" t="inlineStr">
        <is>
          <t>Sensodyne_POSM_Wing</t>
        </is>
      </c>
      <c r="I14" t="n">
        <v>111190</v>
      </c>
      <c r="J14" t="n">
        <v>111190</v>
      </c>
      <c r="K14" t="n">
        <v>100</v>
      </c>
      <c r="L14" t="n">
        <v>84.09999999999999</v>
      </c>
      <c r="M14" t="n">
        <v>1712</v>
      </c>
      <c r="N14" t="n">
        <v>3</v>
      </c>
      <c r="O14" t="n">
        <v>17885</v>
      </c>
      <c r="P14" t="n">
        <v>3</v>
      </c>
      <c r="Q14" t="n">
        <v>2</v>
      </c>
      <c r="R14" t="n">
        <v>71</v>
      </c>
      <c r="S14" t="n">
        <v>1821</v>
      </c>
      <c r="T14" t="n">
        <v>1821</v>
      </c>
      <c r="U14" t="n">
        <v>1821</v>
      </c>
      <c r="V14" t="n">
        <v>15679</v>
      </c>
      <c r="W14" t="n">
        <v>14.1</v>
      </c>
      <c r="X14" t="n">
        <v>221</v>
      </c>
      <c r="Y14" t="n">
        <v>218</v>
      </c>
      <c r="Z14">
        <f>IF(L14&gt;=70,"Yes","No")</f>
        <v/>
      </c>
      <c r="AA14">
        <f>IF(ISNUMBER(T14),T14/1000,"")</f>
        <v/>
      </c>
      <c r="AB14">
        <f>IF(ISNUMBER(W14),W14,0)</f>
        <v/>
      </c>
      <c r="AC14">
        <f>IF(ISNUMBER(T14),1,0)</f>
        <v/>
      </c>
    </row>
    <row r="15">
      <c r="A15" t="inlineStr">
        <is>
          <t>SIMULATED_ShelfStudy_POSM_vs_NoPOSM</t>
        </is>
      </c>
      <c r="B15" t="inlineStr">
        <is>
          <t>P03</t>
        </is>
      </c>
      <c r="C15" t="inlineStr">
        <is>
          <t>F</t>
        </is>
      </c>
      <c r="D15" t="inlineStr">
        <is>
          <t>25-34</t>
        </is>
      </c>
      <c r="E15" t="inlineStr">
        <is>
          <t>POSM</t>
        </is>
      </c>
      <c r="F15" t="inlineStr">
        <is>
          <t>2026-10-12</t>
        </is>
      </c>
      <c r="G15" t="inlineStr">
        <is>
          <t>Shelf_POSM_GazeMap</t>
        </is>
      </c>
      <c r="H15" t="inlineStr">
        <is>
          <t>Competitor_A</t>
        </is>
      </c>
      <c r="I15" t="n">
        <v>111190</v>
      </c>
      <c r="J15" t="n">
        <v>111190</v>
      </c>
      <c r="K15" t="n">
        <v>100</v>
      </c>
      <c r="L15" t="n">
        <v>84.09999999999999</v>
      </c>
      <c r="M15" t="n">
        <v>1484</v>
      </c>
      <c r="N15" t="n">
        <v>7</v>
      </c>
      <c r="O15" t="n">
        <v>25428</v>
      </c>
      <c r="P15" t="n">
        <v>7</v>
      </c>
      <c r="Q15" t="n">
        <v>6</v>
      </c>
      <c r="R15" t="n">
        <v>73</v>
      </c>
      <c r="S15" t="n">
        <v>1656</v>
      </c>
      <c r="T15" t="n">
        <v>1656</v>
      </c>
      <c r="U15" t="n">
        <v>1656</v>
      </c>
      <c r="V15" t="n">
        <v>22882</v>
      </c>
      <c r="W15" t="n">
        <v>20.58</v>
      </c>
      <c r="X15" t="n">
        <v>313</v>
      </c>
      <c r="Y15" t="n">
        <v>331</v>
      </c>
      <c r="Z15">
        <f>IF(L15&gt;=70,"Yes","No")</f>
        <v/>
      </c>
      <c r="AA15">
        <f>IF(ISNUMBER(T15),T15/1000,"")</f>
        <v/>
      </c>
      <c r="AB15">
        <f>IF(ISNUMBER(W15),W15,0)</f>
        <v/>
      </c>
      <c r="AC15">
        <f>IF(ISNUMBER(T15),1,0)</f>
        <v/>
      </c>
    </row>
    <row r="16">
      <c r="A16" t="inlineStr">
        <is>
          <t>SIMULATED_ShelfStudy_POSM_vs_NoPOSM</t>
        </is>
      </c>
      <c r="B16" t="inlineStr">
        <is>
          <t>P03</t>
        </is>
      </c>
      <c r="C16" t="inlineStr">
        <is>
          <t>F</t>
        </is>
      </c>
      <c r="D16" t="inlineStr">
        <is>
          <t>25-34</t>
        </is>
      </c>
      <c r="E16" t="inlineStr">
        <is>
          <t>POSM</t>
        </is>
      </c>
      <c r="F16" t="inlineStr">
        <is>
          <t>2026-10-12</t>
        </is>
      </c>
      <c r="G16" t="inlineStr">
        <is>
          <t>Shelf_POSM_GazeMap</t>
        </is>
      </c>
      <c r="H16" t="inlineStr">
        <is>
          <t>Competitor_B</t>
        </is>
      </c>
      <c r="I16" t="n">
        <v>111190</v>
      </c>
      <c r="J16" t="n">
        <v>111190</v>
      </c>
      <c r="K16" t="n">
        <v>100</v>
      </c>
      <c r="L16" t="n">
        <v>84.09999999999999</v>
      </c>
      <c r="M16" t="n">
        <v>4149</v>
      </c>
      <c r="N16" t="n">
        <v>5</v>
      </c>
      <c r="O16" t="n">
        <v>15424</v>
      </c>
      <c r="P16" t="n">
        <v>4</v>
      </c>
      <c r="Q16" t="n">
        <v>3</v>
      </c>
      <c r="R16" t="n">
        <v>67</v>
      </c>
      <c r="S16" t="n">
        <v>4370</v>
      </c>
      <c r="T16" t="n">
        <v>4370</v>
      </c>
      <c r="U16" t="n">
        <v>4370</v>
      </c>
      <c r="V16" t="n">
        <v>13788</v>
      </c>
      <c r="W16" t="n">
        <v>12.4</v>
      </c>
      <c r="X16" t="n">
        <v>206</v>
      </c>
      <c r="Y16" t="n">
        <v>199</v>
      </c>
      <c r="Z16">
        <f>IF(L16&gt;=70,"Yes","No")</f>
        <v/>
      </c>
      <c r="AA16">
        <f>IF(ISNUMBER(T16),T16/1000,"")</f>
        <v/>
      </c>
      <c r="AB16">
        <f>IF(ISNUMBER(W16),W16,0)</f>
        <v/>
      </c>
      <c r="AC16">
        <f>IF(ISNUMBER(T16),1,0)</f>
        <v/>
      </c>
    </row>
    <row r="17">
      <c r="A17" t="inlineStr">
        <is>
          <t>SIMULATED_ShelfStudy_POSM_vs_NoPOSM</t>
        </is>
      </c>
      <c r="B17" t="inlineStr">
        <is>
          <t>P03</t>
        </is>
      </c>
      <c r="C17" t="inlineStr">
        <is>
          <t>F</t>
        </is>
      </c>
      <c r="D17" t="inlineStr">
        <is>
          <t>25-34</t>
        </is>
      </c>
      <c r="E17" t="inlineStr">
        <is>
          <t>POSM</t>
        </is>
      </c>
      <c r="F17" t="inlineStr">
        <is>
          <t>2026-10-12</t>
        </is>
      </c>
      <c r="G17" t="inlineStr">
        <is>
          <t>Shelf_POSM_GazeMap</t>
        </is>
      </c>
      <c r="H17" t="inlineStr">
        <is>
          <t>Price_Tags</t>
        </is>
      </c>
      <c r="I17" t="n">
        <v>111190</v>
      </c>
      <c r="J17" t="n">
        <v>111190</v>
      </c>
      <c r="K17" t="n">
        <v>100</v>
      </c>
      <c r="L17" t="n">
        <v>84.09999999999999</v>
      </c>
      <c r="M17" t="n">
        <v>11673</v>
      </c>
      <c r="N17" t="n">
        <v>3</v>
      </c>
      <c r="O17" t="n">
        <v>16762</v>
      </c>
      <c r="P17" t="n">
        <v>2</v>
      </c>
      <c r="Q17" t="n">
        <v>1</v>
      </c>
      <c r="R17" t="n">
        <v>59</v>
      </c>
      <c r="S17" t="n">
        <v>11818</v>
      </c>
      <c r="T17" t="n">
        <v>11818</v>
      </c>
      <c r="U17" t="n">
        <v>11818</v>
      </c>
      <c r="V17" t="n">
        <v>15403</v>
      </c>
      <c r="W17" t="n">
        <v>13.85</v>
      </c>
      <c r="X17" t="n">
        <v>261</v>
      </c>
      <c r="Y17" t="n">
        <v>200</v>
      </c>
      <c r="Z17">
        <f>IF(L17&gt;=70,"Yes","No")</f>
        <v/>
      </c>
      <c r="AA17">
        <f>IF(ISNUMBER(T17),T17/1000,"")</f>
        <v/>
      </c>
      <c r="AB17">
        <f>IF(ISNUMBER(W17),W17,0)</f>
        <v/>
      </c>
      <c r="AC17">
        <f>IF(ISNUMBER(T17),1,0)</f>
        <v/>
      </c>
    </row>
    <row r="18">
      <c r="A18" t="inlineStr">
        <is>
          <t>SIMULATED_ShelfStudy_POSM_vs_NoPOSM</t>
        </is>
      </c>
      <c r="B18" t="inlineStr">
        <is>
          <t>P03</t>
        </is>
      </c>
      <c r="C18" t="inlineStr">
        <is>
          <t>F</t>
        </is>
      </c>
      <c r="D18" t="inlineStr">
        <is>
          <t>25-34</t>
        </is>
      </c>
      <c r="E18" t="inlineStr">
        <is>
          <t>POSM</t>
        </is>
      </c>
      <c r="F18" t="inlineStr">
        <is>
          <t>2026-10-12</t>
        </is>
      </c>
      <c r="G18" t="inlineStr">
        <is>
          <t>Shelf_POSM_GazeMap</t>
        </is>
      </c>
      <c r="H18" t="inlineStr">
        <is>
          <t>Shelf_Other</t>
        </is>
      </c>
      <c r="I18" t="n">
        <v>111190</v>
      </c>
      <c r="J18" t="n">
        <v>111190</v>
      </c>
      <c r="K18" t="n">
        <v>100</v>
      </c>
      <c r="L18" t="n">
        <v>84.09999999999999</v>
      </c>
      <c r="M18" t="n">
        <v>925</v>
      </c>
      <c r="N18" t="n">
        <v>5</v>
      </c>
      <c r="O18" t="n">
        <v>15602</v>
      </c>
      <c r="P18" t="n">
        <v>4</v>
      </c>
      <c r="Q18" t="n">
        <v>3</v>
      </c>
      <c r="R18" t="n">
        <v>45</v>
      </c>
      <c r="S18" t="n">
        <v>1164</v>
      </c>
      <c r="T18" t="n">
        <v>1164</v>
      </c>
      <c r="U18" t="n">
        <v>1164</v>
      </c>
      <c r="V18" t="n">
        <v>14770</v>
      </c>
      <c r="W18" t="n">
        <v>13.28</v>
      </c>
      <c r="X18" t="n">
        <v>328</v>
      </c>
      <c r="Y18" t="n">
        <v>160</v>
      </c>
      <c r="Z18">
        <f>IF(L18&gt;=70,"Yes","No")</f>
        <v/>
      </c>
      <c r="AA18">
        <f>IF(ISNUMBER(T18),T18/1000,"")</f>
        <v/>
      </c>
      <c r="AB18">
        <f>IF(ISNUMBER(W18),W18,0)</f>
        <v/>
      </c>
      <c r="AC18">
        <f>IF(ISNUMBER(T18),1,0)</f>
        <v/>
      </c>
    </row>
    <row r="19">
      <c r="A19" t="inlineStr">
        <is>
          <t>SIMULATED_ShelfStudy_POSM_vs_NoPOSM</t>
        </is>
      </c>
      <c r="B19" t="inlineStr">
        <is>
          <t>P04</t>
        </is>
      </c>
      <c r="C19" t="inlineStr">
        <is>
          <t>M</t>
        </is>
      </c>
      <c r="D19" t="inlineStr">
        <is>
          <t>18-24</t>
        </is>
      </c>
      <c r="E19" t="inlineStr">
        <is>
          <t>NoPOSM</t>
        </is>
      </c>
      <c r="F19" t="inlineStr">
        <is>
          <t>2026-10-12</t>
        </is>
      </c>
      <c r="G19" t="inlineStr">
        <is>
          <t>Shelf_NoPOSM_GazeMap</t>
        </is>
      </c>
      <c r="H19" t="inlineStr">
        <is>
          <t>Sensodyne_Products</t>
        </is>
      </c>
      <c r="I19" t="n">
        <v>128698</v>
      </c>
      <c r="J19" t="n">
        <v>128698</v>
      </c>
      <c r="K19" t="n">
        <v>100</v>
      </c>
      <c r="L19" t="n">
        <v>82</v>
      </c>
      <c r="M19" t="n">
        <v>2995</v>
      </c>
      <c r="N19" t="n">
        <v>5</v>
      </c>
      <c r="O19" t="n">
        <v>17823</v>
      </c>
      <c r="P19" t="n">
        <v>4</v>
      </c>
      <c r="Q19" t="n">
        <v>3</v>
      </c>
      <c r="R19" t="n">
        <v>54</v>
      </c>
      <c r="S19" t="n">
        <v>3263</v>
      </c>
      <c r="T19" t="n">
        <v>3263</v>
      </c>
      <c r="U19" t="n">
        <v>3263</v>
      </c>
      <c r="V19" t="n">
        <v>16081</v>
      </c>
      <c r="W19" t="n">
        <v>12.49</v>
      </c>
      <c r="X19" t="n">
        <v>298</v>
      </c>
      <c r="Y19" t="n">
        <v>202</v>
      </c>
      <c r="Z19">
        <f>IF(L19&gt;=70,"Yes","No")</f>
        <v/>
      </c>
      <c r="AA19">
        <f>IF(ISNUMBER(T19),T19/1000,"")</f>
        <v/>
      </c>
      <c r="AB19">
        <f>IF(ISNUMBER(W19),W19,0)</f>
        <v/>
      </c>
      <c r="AC19">
        <f>IF(ISNUMBER(T19),1,0)</f>
        <v/>
      </c>
    </row>
    <row r="20">
      <c r="A20" t="inlineStr">
        <is>
          <t>SIMULATED_ShelfStudy_POSM_vs_NoPOSM</t>
        </is>
      </c>
      <c r="B20" t="inlineStr">
        <is>
          <t>P04</t>
        </is>
      </c>
      <c r="C20" t="inlineStr">
        <is>
          <t>M</t>
        </is>
      </c>
      <c r="D20" t="inlineStr">
        <is>
          <t>18-24</t>
        </is>
      </c>
      <c r="E20" t="inlineStr">
        <is>
          <t>NoPOSM</t>
        </is>
      </c>
      <c r="F20" t="inlineStr">
        <is>
          <t>2026-10-12</t>
        </is>
      </c>
      <c r="G20" t="inlineStr">
        <is>
          <t>Shelf_NoPOSM_GazeMap</t>
        </is>
      </c>
      <c r="H20" t="inlineStr">
        <is>
          <t>Competitor_A</t>
        </is>
      </c>
      <c r="I20" t="n">
        <v>128698</v>
      </c>
      <c r="J20" t="n">
        <v>128698</v>
      </c>
      <c r="K20" t="n">
        <v>100</v>
      </c>
      <c r="L20" t="n">
        <v>82</v>
      </c>
      <c r="M20" t="n">
        <v>1258</v>
      </c>
      <c r="N20" t="n">
        <v>3</v>
      </c>
      <c r="O20" t="n">
        <v>21250</v>
      </c>
      <c r="P20" t="n">
        <v>3</v>
      </c>
      <c r="Q20" t="n">
        <v>2</v>
      </c>
      <c r="R20" t="n">
        <v>67</v>
      </c>
      <c r="S20" t="n">
        <v>1340</v>
      </c>
      <c r="T20" t="n">
        <v>1340</v>
      </c>
      <c r="U20" t="n">
        <v>1340</v>
      </c>
      <c r="V20" t="n">
        <v>19933</v>
      </c>
      <c r="W20" t="n">
        <v>15.49</v>
      </c>
      <c r="X20" t="n">
        <v>298</v>
      </c>
      <c r="Y20" t="n">
        <v>288</v>
      </c>
      <c r="Z20">
        <f>IF(L20&gt;=70,"Yes","No")</f>
        <v/>
      </c>
      <c r="AA20">
        <f>IF(ISNUMBER(T20),T20/1000,"")</f>
        <v/>
      </c>
      <c r="AB20">
        <f>IF(ISNUMBER(W20),W20,0)</f>
        <v/>
      </c>
      <c r="AC20">
        <f>IF(ISNUMBER(T20),1,0)</f>
        <v/>
      </c>
    </row>
    <row r="21">
      <c r="A21" t="inlineStr">
        <is>
          <t>SIMULATED_ShelfStudy_POSM_vs_NoPOSM</t>
        </is>
      </c>
      <c r="B21" t="inlineStr">
        <is>
          <t>P04</t>
        </is>
      </c>
      <c r="C21" t="inlineStr">
        <is>
          <t>M</t>
        </is>
      </c>
      <c r="D21" t="inlineStr">
        <is>
          <t>18-24</t>
        </is>
      </c>
      <c r="E21" t="inlineStr">
        <is>
          <t>NoPOSM</t>
        </is>
      </c>
      <c r="F21" t="inlineStr">
        <is>
          <t>2026-10-12</t>
        </is>
      </c>
      <c r="G21" t="inlineStr">
        <is>
          <t>Shelf_NoPOSM_GazeMap</t>
        </is>
      </c>
      <c r="H21" t="inlineStr">
        <is>
          <t>Competitor_B</t>
        </is>
      </c>
      <c r="I21" t="n">
        <v>128698</v>
      </c>
      <c r="J21" t="n">
        <v>128698</v>
      </c>
      <c r="K21" t="n">
        <v>100</v>
      </c>
      <c r="L21" t="n">
        <v>82</v>
      </c>
      <c r="M21" t="n">
        <v>5126</v>
      </c>
      <c r="N21" t="n">
        <v>5</v>
      </c>
      <c r="O21" t="n">
        <v>24911</v>
      </c>
      <c r="P21" t="n">
        <v>4</v>
      </c>
      <c r="Q21" t="n">
        <v>3</v>
      </c>
      <c r="R21" t="n">
        <v>53</v>
      </c>
      <c r="S21" t="n">
        <v>5215</v>
      </c>
      <c r="T21" t="n">
        <v>5215</v>
      </c>
      <c r="U21" t="n">
        <v>5215</v>
      </c>
      <c r="V21" t="n">
        <v>22254</v>
      </c>
      <c r="W21" t="n">
        <v>17.29</v>
      </c>
      <c r="X21" t="n">
        <v>420</v>
      </c>
      <c r="Y21" t="n">
        <v>184</v>
      </c>
      <c r="Z21">
        <f>IF(L21&gt;=70,"Yes","No")</f>
        <v/>
      </c>
      <c r="AA21">
        <f>IF(ISNUMBER(T21),T21/1000,"")</f>
        <v/>
      </c>
      <c r="AB21">
        <f>IF(ISNUMBER(W21),W21,0)</f>
        <v/>
      </c>
      <c r="AC21">
        <f>IF(ISNUMBER(T21),1,0)</f>
        <v/>
      </c>
    </row>
    <row r="22">
      <c r="A22" t="inlineStr">
        <is>
          <t>SIMULATED_ShelfStudy_POSM_vs_NoPOSM</t>
        </is>
      </c>
      <c r="B22" t="inlineStr">
        <is>
          <t>P04</t>
        </is>
      </c>
      <c r="C22" t="inlineStr">
        <is>
          <t>M</t>
        </is>
      </c>
      <c r="D22" t="inlineStr">
        <is>
          <t>18-24</t>
        </is>
      </c>
      <c r="E22" t="inlineStr">
        <is>
          <t>NoPOSM</t>
        </is>
      </c>
      <c r="F22" t="inlineStr">
        <is>
          <t>2026-10-12</t>
        </is>
      </c>
      <c r="G22" t="inlineStr">
        <is>
          <t>Shelf_NoPOSM_GazeMap</t>
        </is>
      </c>
      <c r="H22" t="inlineStr">
        <is>
          <t>Price_Tags</t>
        </is>
      </c>
      <c r="I22" t="n">
        <v>128698</v>
      </c>
      <c r="J22" t="n">
        <v>128698</v>
      </c>
      <c r="K22" t="n">
        <v>100</v>
      </c>
      <c r="L22" t="n">
        <v>82</v>
      </c>
      <c r="M22" t="n">
        <v>15058</v>
      </c>
      <c r="N22" t="n">
        <v>5</v>
      </c>
      <c r="O22" t="n">
        <v>12166</v>
      </c>
      <c r="P22" t="n">
        <v>4</v>
      </c>
      <c r="Q22" t="n">
        <v>3</v>
      </c>
      <c r="R22" t="n">
        <v>53</v>
      </c>
      <c r="S22" t="n">
        <v>15274</v>
      </c>
      <c r="T22" t="n">
        <v>15274</v>
      </c>
      <c r="U22" t="n">
        <v>15274</v>
      </c>
      <c r="V22" t="n">
        <v>11197</v>
      </c>
      <c r="W22" t="n">
        <v>8.699999999999999</v>
      </c>
      <c r="X22" t="n">
        <v>211</v>
      </c>
      <c r="Y22" t="n">
        <v>119</v>
      </c>
      <c r="Z22">
        <f>IF(L22&gt;=70,"Yes","No")</f>
        <v/>
      </c>
      <c r="AA22">
        <f>IF(ISNUMBER(T22),T22/1000,"")</f>
        <v/>
      </c>
      <c r="AB22">
        <f>IF(ISNUMBER(W22),W22,0)</f>
        <v/>
      </c>
      <c r="AC22">
        <f>IF(ISNUMBER(T22),1,0)</f>
        <v/>
      </c>
    </row>
    <row r="23">
      <c r="A23" t="inlineStr">
        <is>
          <t>SIMULATED_ShelfStudy_POSM_vs_NoPOSM</t>
        </is>
      </c>
      <c r="B23" t="inlineStr">
        <is>
          <t>P04</t>
        </is>
      </c>
      <c r="C23" t="inlineStr">
        <is>
          <t>M</t>
        </is>
      </c>
      <c r="D23" t="inlineStr">
        <is>
          <t>18-24</t>
        </is>
      </c>
      <c r="E23" t="inlineStr">
        <is>
          <t>NoPOSM</t>
        </is>
      </c>
      <c r="F23" t="inlineStr">
        <is>
          <t>2026-10-12</t>
        </is>
      </c>
      <c r="G23" t="inlineStr">
        <is>
          <t>Shelf_NoPOSM_GazeMap</t>
        </is>
      </c>
      <c r="H23" t="inlineStr">
        <is>
          <t>Shelf_Other</t>
        </is>
      </c>
      <c r="I23" t="n">
        <v>128698</v>
      </c>
      <c r="J23" t="n">
        <v>128698</v>
      </c>
      <c r="K23" t="n">
        <v>100</v>
      </c>
      <c r="L23" t="n">
        <v>82</v>
      </c>
      <c r="M23" t="n">
        <v>2338</v>
      </c>
      <c r="N23" t="n">
        <v>5</v>
      </c>
      <c r="O23" t="n">
        <v>17121</v>
      </c>
      <c r="P23" t="n">
        <v>4</v>
      </c>
      <c r="Q23" t="n">
        <v>3</v>
      </c>
      <c r="R23" t="n">
        <v>73</v>
      </c>
      <c r="S23" t="n">
        <v>2617</v>
      </c>
      <c r="T23" t="n">
        <v>2617</v>
      </c>
      <c r="U23" t="n">
        <v>2617</v>
      </c>
      <c r="V23" t="n">
        <v>15113</v>
      </c>
      <c r="W23" t="n">
        <v>11.74</v>
      </c>
      <c r="X23" t="n">
        <v>207</v>
      </c>
      <c r="Y23" t="n">
        <v>305</v>
      </c>
      <c r="Z23">
        <f>IF(L23&gt;=70,"Yes","No")</f>
        <v/>
      </c>
      <c r="AA23">
        <f>IF(ISNUMBER(T23),T23/1000,"")</f>
        <v/>
      </c>
      <c r="AB23">
        <f>IF(ISNUMBER(W23),W23,0)</f>
        <v/>
      </c>
      <c r="AC23">
        <f>IF(ISNUMBER(T23),1,0)</f>
        <v/>
      </c>
    </row>
    <row r="24">
      <c r="A24" t="inlineStr">
        <is>
          <t>SIMULATED_ShelfStudy_POSM_vs_NoPOSM</t>
        </is>
      </c>
      <c r="B24" t="inlineStr">
        <is>
          <t>P05</t>
        </is>
      </c>
      <c r="C24" t="inlineStr">
        <is>
          <t>F</t>
        </is>
      </c>
      <c r="D24" t="inlineStr">
        <is>
          <t>18-24</t>
        </is>
      </c>
      <c r="E24" t="inlineStr">
        <is>
          <t>POSM</t>
        </is>
      </c>
      <c r="F24" t="inlineStr">
        <is>
          <t>2026-10-12</t>
        </is>
      </c>
      <c r="G24" t="inlineStr">
        <is>
          <t>Shelf_POSM_GazeMap</t>
        </is>
      </c>
      <c r="H24" t="inlineStr">
        <is>
          <t>Sensodyne_Products</t>
        </is>
      </c>
      <c r="I24" t="n">
        <v>211231</v>
      </c>
      <c r="J24" t="n">
        <v>211231</v>
      </c>
      <c r="K24" t="n">
        <v>100</v>
      </c>
      <c r="L24" t="n">
        <v>81.3</v>
      </c>
      <c r="M24" t="n">
        <v>2600</v>
      </c>
      <c r="N24" t="n">
        <v>6</v>
      </c>
      <c r="O24" t="n">
        <v>38771</v>
      </c>
      <c r="P24" t="n">
        <v>6</v>
      </c>
      <c r="Q24" t="n">
        <v>5</v>
      </c>
      <c r="R24" t="n">
        <v>134</v>
      </c>
      <c r="S24" t="n">
        <v>2784</v>
      </c>
      <c r="T24" t="n">
        <v>2784</v>
      </c>
      <c r="U24" t="n">
        <v>2784</v>
      </c>
      <c r="V24" t="n">
        <v>37103</v>
      </c>
      <c r="W24" t="n">
        <v>17.57</v>
      </c>
      <c r="X24" t="n">
        <v>277</v>
      </c>
      <c r="Y24" t="n">
        <v>211</v>
      </c>
      <c r="Z24">
        <f>IF(L24&gt;=70,"Yes","No")</f>
        <v/>
      </c>
      <c r="AA24">
        <f>IF(ISNUMBER(T24),T24/1000,"")</f>
        <v/>
      </c>
      <c r="AB24">
        <f>IF(ISNUMBER(W24),W24,0)</f>
        <v/>
      </c>
      <c r="AC24">
        <f>IF(ISNUMBER(T24),1,0)</f>
        <v/>
      </c>
    </row>
    <row r="25">
      <c r="A25" t="inlineStr">
        <is>
          <t>SIMULATED_ShelfStudy_POSM_vs_NoPOSM</t>
        </is>
      </c>
      <c r="B25" t="inlineStr">
        <is>
          <t>P05</t>
        </is>
      </c>
      <c r="C25" t="inlineStr">
        <is>
          <t>F</t>
        </is>
      </c>
      <c r="D25" t="inlineStr">
        <is>
          <t>18-24</t>
        </is>
      </c>
      <c r="E25" t="inlineStr">
        <is>
          <t>POSM</t>
        </is>
      </c>
      <c r="F25" t="inlineStr">
        <is>
          <t>2026-10-12</t>
        </is>
      </c>
      <c r="G25" t="inlineStr">
        <is>
          <t>Shelf_POSM_GazeMap</t>
        </is>
      </c>
      <c r="H25" t="inlineStr">
        <is>
          <t>Sensodyne_POSM_Wing</t>
        </is>
      </c>
      <c r="I25" t="n">
        <v>211231</v>
      </c>
      <c r="J25" t="n">
        <v>211231</v>
      </c>
      <c r="K25" t="n">
        <v>100</v>
      </c>
      <c r="L25" t="n">
        <v>81.3</v>
      </c>
      <c r="M25" t="n">
        <v>843</v>
      </c>
      <c r="N25" t="n">
        <v>4</v>
      </c>
      <c r="O25" t="n">
        <v>10721</v>
      </c>
      <c r="P25" t="n">
        <v>3</v>
      </c>
      <c r="Q25" t="n">
        <v>2</v>
      </c>
      <c r="R25" t="n">
        <v>23</v>
      </c>
      <c r="S25" t="n">
        <v>1087</v>
      </c>
      <c r="T25" t="n">
        <v>1087</v>
      </c>
      <c r="U25" t="n">
        <v>1087</v>
      </c>
      <c r="V25" t="n">
        <v>9630</v>
      </c>
      <c r="W25" t="n">
        <v>4.56</v>
      </c>
      <c r="X25" t="n">
        <v>419</v>
      </c>
      <c r="Y25" t="n">
        <v>221</v>
      </c>
      <c r="Z25">
        <f>IF(L25&gt;=70,"Yes","No")</f>
        <v/>
      </c>
      <c r="AA25">
        <f>IF(ISNUMBER(T25),T25/1000,"")</f>
        <v/>
      </c>
      <c r="AB25">
        <f>IF(ISNUMBER(W25),W25,0)</f>
        <v/>
      </c>
      <c r="AC25">
        <f>IF(ISNUMBER(T25),1,0)</f>
        <v/>
      </c>
    </row>
    <row r="26">
      <c r="A26" t="inlineStr">
        <is>
          <t>SIMULATED_ShelfStudy_POSM_vs_NoPOSM</t>
        </is>
      </c>
      <c r="B26" t="inlineStr">
        <is>
          <t>P05</t>
        </is>
      </c>
      <c r="C26" t="inlineStr">
        <is>
          <t>F</t>
        </is>
      </c>
      <c r="D26" t="inlineStr">
        <is>
          <t>18-24</t>
        </is>
      </c>
      <c r="E26" t="inlineStr">
        <is>
          <t>POSM</t>
        </is>
      </c>
      <c r="F26" t="inlineStr">
        <is>
          <t>2026-10-12</t>
        </is>
      </c>
      <c r="G26" t="inlineStr">
        <is>
          <t>Shelf_POSM_GazeMap</t>
        </is>
      </c>
      <c r="H26" t="inlineStr">
        <is>
          <t>Competitor_A</t>
        </is>
      </c>
      <c r="I26" t="n">
        <v>211231</v>
      </c>
      <c r="J26" t="n">
        <v>211231</v>
      </c>
      <c r="K26" t="n">
        <v>100</v>
      </c>
      <c r="L26" t="n">
        <v>81.3</v>
      </c>
      <c r="M26" t="n">
        <v>2530</v>
      </c>
      <c r="N26" t="n">
        <v>6</v>
      </c>
      <c r="O26" t="n">
        <v>41567</v>
      </c>
      <c r="P26" t="n">
        <v>6</v>
      </c>
      <c r="Q26" t="n">
        <v>5</v>
      </c>
      <c r="R26" t="n">
        <v>72</v>
      </c>
      <c r="S26" t="n">
        <v>2738</v>
      </c>
      <c r="T26" t="n">
        <v>2738</v>
      </c>
      <c r="U26" t="n">
        <v>2738</v>
      </c>
      <c r="V26" t="n">
        <v>37623</v>
      </c>
      <c r="W26" t="n">
        <v>17.81</v>
      </c>
      <c r="X26" t="n">
        <v>523</v>
      </c>
      <c r="Y26" t="n">
        <v>152</v>
      </c>
      <c r="Z26">
        <f>IF(L26&gt;=70,"Yes","No")</f>
        <v/>
      </c>
      <c r="AA26">
        <f>IF(ISNUMBER(T26),T26/1000,"")</f>
        <v/>
      </c>
      <c r="AB26">
        <f>IF(ISNUMBER(W26),W26,0)</f>
        <v/>
      </c>
      <c r="AC26">
        <f>IF(ISNUMBER(T26),1,0)</f>
        <v/>
      </c>
    </row>
    <row r="27">
      <c r="A27" t="inlineStr">
        <is>
          <t>SIMULATED_ShelfStudy_POSM_vs_NoPOSM</t>
        </is>
      </c>
      <c r="B27" t="inlineStr">
        <is>
          <t>P05</t>
        </is>
      </c>
      <c r="C27" t="inlineStr">
        <is>
          <t>F</t>
        </is>
      </c>
      <c r="D27" t="inlineStr">
        <is>
          <t>18-24</t>
        </is>
      </c>
      <c r="E27" t="inlineStr">
        <is>
          <t>POSM</t>
        </is>
      </c>
      <c r="F27" t="inlineStr">
        <is>
          <t>2026-10-12</t>
        </is>
      </c>
      <c r="G27" t="inlineStr">
        <is>
          <t>Shelf_POSM_GazeMap</t>
        </is>
      </c>
      <c r="H27" t="inlineStr">
        <is>
          <t>Competitor_B</t>
        </is>
      </c>
      <c r="I27" t="n">
        <v>211231</v>
      </c>
      <c r="J27" t="n">
        <v>211231</v>
      </c>
      <c r="K27" t="n">
        <v>100</v>
      </c>
      <c r="L27" t="n">
        <v>81.3</v>
      </c>
      <c r="M27" t="n">
        <v>4339</v>
      </c>
      <c r="N27" t="n">
        <v>7</v>
      </c>
      <c r="O27" t="n">
        <v>35679</v>
      </c>
      <c r="P27" t="n">
        <v>7</v>
      </c>
      <c r="Q27" t="n">
        <v>6</v>
      </c>
      <c r="R27" t="n">
        <v>116</v>
      </c>
      <c r="S27" t="n">
        <v>4620</v>
      </c>
      <c r="T27" t="n">
        <v>4620</v>
      </c>
      <c r="U27" t="n">
        <v>4620</v>
      </c>
      <c r="V27" t="n">
        <v>31221</v>
      </c>
      <c r="W27" t="n">
        <v>14.78</v>
      </c>
      <c r="X27" t="n">
        <v>269</v>
      </c>
      <c r="Y27" t="n">
        <v>270</v>
      </c>
      <c r="Z27">
        <f>IF(L27&gt;=70,"Yes","No")</f>
        <v/>
      </c>
      <c r="AA27">
        <f>IF(ISNUMBER(T27),T27/1000,"")</f>
        <v/>
      </c>
      <c r="AB27">
        <f>IF(ISNUMBER(W27),W27,0)</f>
        <v/>
      </c>
      <c r="AC27">
        <f>IF(ISNUMBER(T27),1,0)</f>
        <v/>
      </c>
    </row>
    <row r="28">
      <c r="A28" t="inlineStr">
        <is>
          <t>SIMULATED_ShelfStudy_POSM_vs_NoPOSM</t>
        </is>
      </c>
      <c r="B28" t="inlineStr">
        <is>
          <t>P05</t>
        </is>
      </c>
      <c r="C28" t="inlineStr">
        <is>
          <t>F</t>
        </is>
      </c>
      <c r="D28" t="inlineStr">
        <is>
          <t>18-24</t>
        </is>
      </c>
      <c r="E28" t="inlineStr">
        <is>
          <t>POSM</t>
        </is>
      </c>
      <c r="F28" t="inlineStr">
        <is>
          <t>2026-10-12</t>
        </is>
      </c>
      <c r="G28" t="inlineStr">
        <is>
          <t>Shelf_POSM_GazeMap</t>
        </is>
      </c>
      <c r="H28" t="inlineStr">
        <is>
          <t>Price_Tags</t>
        </is>
      </c>
      <c r="I28" t="n">
        <v>211231</v>
      </c>
      <c r="J28" t="n">
        <v>211231</v>
      </c>
      <c r="K28" t="n">
        <v>100</v>
      </c>
      <c r="L28" t="n">
        <v>81.3</v>
      </c>
      <c r="M28" t="n">
        <v>6094</v>
      </c>
      <c r="N28" t="n">
        <v>4</v>
      </c>
      <c r="O28" t="n">
        <v>19837</v>
      </c>
      <c r="P28" t="n">
        <v>4</v>
      </c>
      <c r="Q28" t="n">
        <v>3</v>
      </c>
      <c r="R28" t="n">
        <v>75</v>
      </c>
      <c r="S28" t="n">
        <v>6379</v>
      </c>
      <c r="T28" t="n">
        <v>6379</v>
      </c>
      <c r="U28" t="n">
        <v>6379</v>
      </c>
      <c r="V28" t="n">
        <v>18959</v>
      </c>
      <c r="W28" t="n">
        <v>8.98</v>
      </c>
      <c r="X28" t="n">
        <v>253</v>
      </c>
      <c r="Y28" t="n">
        <v>367</v>
      </c>
      <c r="Z28">
        <f>IF(L28&gt;=70,"Yes","No")</f>
        <v/>
      </c>
      <c r="AA28">
        <f>IF(ISNUMBER(T28),T28/1000,"")</f>
        <v/>
      </c>
      <c r="AB28">
        <f>IF(ISNUMBER(W28),W28,0)</f>
        <v/>
      </c>
      <c r="AC28">
        <f>IF(ISNUMBER(T28),1,0)</f>
        <v/>
      </c>
    </row>
    <row r="29">
      <c r="A29" t="inlineStr">
        <is>
          <t>SIMULATED_ShelfStudy_POSM_vs_NoPOSM</t>
        </is>
      </c>
      <c r="B29" t="inlineStr">
        <is>
          <t>P05</t>
        </is>
      </c>
      <c r="C29" t="inlineStr">
        <is>
          <t>F</t>
        </is>
      </c>
      <c r="D29" t="inlineStr">
        <is>
          <t>18-24</t>
        </is>
      </c>
      <c r="E29" t="inlineStr">
        <is>
          <t>POSM</t>
        </is>
      </c>
      <c r="F29" t="inlineStr">
        <is>
          <t>2026-10-12</t>
        </is>
      </c>
      <c r="G29" t="inlineStr">
        <is>
          <t>Shelf_POSM_GazeMap</t>
        </is>
      </c>
      <c r="H29" t="inlineStr">
        <is>
          <t>Shelf_Other</t>
        </is>
      </c>
      <c r="I29" t="n">
        <v>211231</v>
      </c>
      <c r="J29" t="n">
        <v>211231</v>
      </c>
      <c r="K29" t="n">
        <v>100</v>
      </c>
      <c r="L29" t="n">
        <v>81.3</v>
      </c>
      <c r="M29" t="n">
        <v>1516</v>
      </c>
      <c r="N29" t="n">
        <v>7</v>
      </c>
      <c r="O29" t="n">
        <v>74639</v>
      </c>
      <c r="P29" t="n">
        <v>7</v>
      </c>
      <c r="Q29" t="n">
        <v>6</v>
      </c>
      <c r="R29" t="n">
        <v>218</v>
      </c>
      <c r="S29" t="n">
        <v>1697</v>
      </c>
      <c r="T29" t="n">
        <v>1697</v>
      </c>
      <c r="U29" t="n">
        <v>1697</v>
      </c>
      <c r="V29" t="n">
        <v>66134</v>
      </c>
      <c r="W29" t="n">
        <v>31.31</v>
      </c>
      <c r="X29" t="n">
        <v>303</v>
      </c>
      <c r="Y29" t="n">
        <v>284</v>
      </c>
      <c r="Z29">
        <f>IF(L29&gt;=70,"Yes","No")</f>
        <v/>
      </c>
      <c r="AA29">
        <f>IF(ISNUMBER(T29),T29/1000,"")</f>
        <v/>
      </c>
      <c r="AB29">
        <f>IF(ISNUMBER(W29),W29,0)</f>
        <v/>
      </c>
      <c r="AC29">
        <f>IF(ISNUMBER(T29),1,0)</f>
        <v/>
      </c>
    </row>
    <row r="30">
      <c r="A30" t="inlineStr">
        <is>
          <t>SIMULATED_ShelfStudy_POSM_vs_NoPOSM</t>
        </is>
      </c>
      <c r="B30" t="inlineStr">
        <is>
          <t>P06</t>
        </is>
      </c>
      <c r="C30" t="inlineStr">
        <is>
          <t>F</t>
        </is>
      </c>
      <c r="D30" t="inlineStr">
        <is>
          <t>25-34</t>
        </is>
      </c>
      <c r="E30" t="inlineStr">
        <is>
          <t>NoPOSM</t>
        </is>
      </c>
      <c r="F30" t="inlineStr">
        <is>
          <t>2026-10-12</t>
        </is>
      </c>
      <c r="G30" t="inlineStr">
        <is>
          <t>Shelf_NoPOSM_GazeMap</t>
        </is>
      </c>
      <c r="H30" t="inlineStr">
        <is>
          <t>Sensodyne_Products</t>
        </is>
      </c>
      <c r="I30" t="n">
        <v>136621</v>
      </c>
      <c r="J30" t="n">
        <v>136621</v>
      </c>
      <c r="K30" t="n">
        <v>100</v>
      </c>
      <c r="L30" t="n">
        <v>78</v>
      </c>
      <c r="M30" t="n">
        <v>2999</v>
      </c>
      <c r="N30" t="n">
        <v>8</v>
      </c>
      <c r="O30" t="n">
        <v>18906</v>
      </c>
      <c r="P30" t="n">
        <v>8</v>
      </c>
      <c r="Q30" t="n">
        <v>7</v>
      </c>
      <c r="R30" t="n">
        <v>72</v>
      </c>
      <c r="S30" t="n">
        <v>3169</v>
      </c>
      <c r="T30" t="n">
        <v>3169</v>
      </c>
      <c r="U30" t="n">
        <v>3169</v>
      </c>
      <c r="V30" t="n">
        <v>16786</v>
      </c>
      <c r="W30" t="n">
        <v>12.29</v>
      </c>
      <c r="X30" t="n">
        <v>233</v>
      </c>
      <c r="Y30" t="n">
        <v>199</v>
      </c>
      <c r="Z30">
        <f>IF(L30&gt;=70,"Yes","No")</f>
        <v/>
      </c>
      <c r="AA30">
        <f>IF(ISNUMBER(T30),T30/1000,"")</f>
        <v/>
      </c>
      <c r="AB30">
        <f>IF(ISNUMBER(W30),W30,0)</f>
        <v/>
      </c>
      <c r="AC30">
        <f>IF(ISNUMBER(T30),1,0)</f>
        <v/>
      </c>
    </row>
    <row r="31">
      <c r="A31" t="inlineStr">
        <is>
          <t>SIMULATED_ShelfStudy_POSM_vs_NoPOSM</t>
        </is>
      </c>
      <c r="B31" t="inlineStr">
        <is>
          <t>P06</t>
        </is>
      </c>
      <c r="C31" t="inlineStr">
        <is>
          <t>F</t>
        </is>
      </c>
      <c r="D31" t="inlineStr">
        <is>
          <t>25-34</t>
        </is>
      </c>
      <c r="E31" t="inlineStr">
        <is>
          <t>NoPOSM</t>
        </is>
      </c>
      <c r="F31" t="inlineStr">
        <is>
          <t>2026-10-12</t>
        </is>
      </c>
      <c r="G31" t="inlineStr">
        <is>
          <t>Shelf_NoPOSM_GazeMap</t>
        </is>
      </c>
      <c r="H31" t="inlineStr">
        <is>
          <t>Competitor_A</t>
        </is>
      </c>
      <c r="I31" t="n">
        <v>136621</v>
      </c>
      <c r="J31" t="n">
        <v>136621</v>
      </c>
      <c r="K31" t="n">
        <v>100</v>
      </c>
      <c r="L31" t="n">
        <v>78</v>
      </c>
      <c r="M31" t="n">
        <v>1616</v>
      </c>
      <c r="N31" t="n">
        <v>8</v>
      </c>
      <c r="O31" t="n">
        <v>25000</v>
      </c>
      <c r="P31" t="n">
        <v>6</v>
      </c>
      <c r="Q31" t="n">
        <v>5</v>
      </c>
      <c r="R31" t="n">
        <v>97</v>
      </c>
      <c r="S31" t="n">
        <v>1810</v>
      </c>
      <c r="T31" t="n">
        <v>1810</v>
      </c>
      <c r="U31" t="n">
        <v>1810</v>
      </c>
      <c r="V31" t="n">
        <v>24108</v>
      </c>
      <c r="W31" t="n">
        <v>17.65</v>
      </c>
      <c r="X31" t="n">
        <v>249</v>
      </c>
      <c r="Y31" t="n">
        <v>190</v>
      </c>
      <c r="Z31">
        <f>IF(L31&gt;=70,"Yes","No")</f>
        <v/>
      </c>
      <c r="AA31">
        <f>IF(ISNUMBER(T31),T31/1000,"")</f>
        <v/>
      </c>
      <c r="AB31">
        <f>IF(ISNUMBER(W31),W31,0)</f>
        <v/>
      </c>
      <c r="AC31">
        <f>IF(ISNUMBER(T31),1,0)</f>
        <v/>
      </c>
    </row>
    <row r="32">
      <c r="A32" t="inlineStr">
        <is>
          <t>SIMULATED_ShelfStudy_POSM_vs_NoPOSM</t>
        </is>
      </c>
      <c r="B32" t="inlineStr">
        <is>
          <t>P06</t>
        </is>
      </c>
      <c r="C32" t="inlineStr">
        <is>
          <t>F</t>
        </is>
      </c>
      <c r="D32" t="inlineStr">
        <is>
          <t>25-34</t>
        </is>
      </c>
      <c r="E32" t="inlineStr">
        <is>
          <t>NoPOSM</t>
        </is>
      </c>
      <c r="F32" t="inlineStr">
        <is>
          <t>2026-10-12</t>
        </is>
      </c>
      <c r="G32" t="inlineStr">
        <is>
          <t>Shelf_NoPOSM_GazeMap</t>
        </is>
      </c>
      <c r="H32" t="inlineStr">
        <is>
          <t>Competitor_B</t>
        </is>
      </c>
      <c r="I32" t="n">
        <v>136621</v>
      </c>
      <c r="J32" t="n">
        <v>136621</v>
      </c>
      <c r="K32" t="n">
        <v>100</v>
      </c>
      <c r="L32" t="n">
        <v>78</v>
      </c>
      <c r="M32" t="n">
        <v>3937</v>
      </c>
      <c r="N32" t="n">
        <v>10</v>
      </c>
      <c r="O32" t="n">
        <v>39411</v>
      </c>
      <c r="P32" t="n">
        <v>10</v>
      </c>
      <c r="Q32" t="n">
        <v>9</v>
      </c>
      <c r="R32" t="n">
        <v>146</v>
      </c>
      <c r="S32" t="n">
        <v>4040</v>
      </c>
      <c r="T32" t="n">
        <v>4040</v>
      </c>
      <c r="U32" t="n">
        <v>4040</v>
      </c>
      <c r="V32" t="n">
        <v>35909</v>
      </c>
      <c r="W32" t="n">
        <v>26.28</v>
      </c>
      <c r="X32" t="n">
        <v>246</v>
      </c>
      <c r="Y32" t="n">
        <v>205</v>
      </c>
      <c r="Z32">
        <f>IF(L32&gt;=70,"Yes","No")</f>
        <v/>
      </c>
      <c r="AA32">
        <f>IF(ISNUMBER(T32),T32/1000,"")</f>
        <v/>
      </c>
      <c r="AB32">
        <f>IF(ISNUMBER(W32),W32,0)</f>
        <v/>
      </c>
      <c r="AC32">
        <f>IF(ISNUMBER(T32),1,0)</f>
        <v/>
      </c>
    </row>
    <row r="33">
      <c r="A33" t="inlineStr">
        <is>
          <t>SIMULATED_ShelfStudy_POSM_vs_NoPOSM</t>
        </is>
      </c>
      <c r="B33" t="inlineStr">
        <is>
          <t>P06</t>
        </is>
      </c>
      <c r="C33" t="inlineStr">
        <is>
          <t>F</t>
        </is>
      </c>
      <c r="D33" t="inlineStr">
        <is>
          <t>25-34</t>
        </is>
      </c>
      <c r="E33" t="inlineStr">
        <is>
          <t>NoPOSM</t>
        </is>
      </c>
      <c r="F33" t="inlineStr">
        <is>
          <t>2026-10-12</t>
        </is>
      </c>
      <c r="G33" t="inlineStr">
        <is>
          <t>Shelf_NoPOSM_GazeMap</t>
        </is>
      </c>
      <c r="H33" t="inlineStr">
        <is>
          <t>Price_Tags</t>
        </is>
      </c>
      <c r="I33" t="n">
        <v>136621</v>
      </c>
      <c r="J33" t="n">
        <v>136621</v>
      </c>
      <c r="K33" t="n">
        <v>100</v>
      </c>
      <c r="L33" t="n">
        <v>78</v>
      </c>
      <c r="M33" t="n">
        <v>13518</v>
      </c>
      <c r="N33" t="n">
        <v>3</v>
      </c>
      <c r="O33" t="n">
        <v>16202</v>
      </c>
      <c r="P33" t="n">
        <v>3</v>
      </c>
      <c r="Q33" t="n">
        <v>2</v>
      </c>
      <c r="R33" t="n">
        <v>45</v>
      </c>
      <c r="S33" t="n">
        <v>13658</v>
      </c>
      <c r="T33" t="n">
        <v>13658</v>
      </c>
      <c r="U33" t="n">
        <v>13658</v>
      </c>
      <c r="V33" t="n">
        <v>14623</v>
      </c>
      <c r="W33" t="n">
        <v>10.7</v>
      </c>
      <c r="X33" t="n">
        <v>325</v>
      </c>
      <c r="Y33" t="n">
        <v>201</v>
      </c>
      <c r="Z33">
        <f>IF(L33&gt;=70,"Yes","No")</f>
        <v/>
      </c>
      <c r="AA33">
        <f>IF(ISNUMBER(T33),T33/1000,"")</f>
        <v/>
      </c>
      <c r="AB33">
        <f>IF(ISNUMBER(W33),W33,0)</f>
        <v/>
      </c>
      <c r="AC33">
        <f>IF(ISNUMBER(T33),1,0)</f>
        <v/>
      </c>
    </row>
    <row r="34">
      <c r="A34" t="inlineStr">
        <is>
          <t>SIMULATED_ShelfStudy_POSM_vs_NoPOSM</t>
        </is>
      </c>
      <c r="B34" t="inlineStr">
        <is>
          <t>P06</t>
        </is>
      </c>
      <c r="C34" t="inlineStr">
        <is>
          <t>F</t>
        </is>
      </c>
      <c r="D34" t="inlineStr">
        <is>
          <t>25-34</t>
        </is>
      </c>
      <c r="E34" t="inlineStr">
        <is>
          <t>NoPOSM</t>
        </is>
      </c>
      <c r="F34" t="inlineStr">
        <is>
          <t>2026-10-12</t>
        </is>
      </c>
      <c r="G34" t="inlineStr">
        <is>
          <t>Shelf_NoPOSM_GazeMap</t>
        </is>
      </c>
      <c r="H34" t="inlineStr">
        <is>
          <t>Shelf_Other</t>
        </is>
      </c>
      <c r="I34" t="n">
        <v>136621</v>
      </c>
      <c r="J34" t="n">
        <v>136621</v>
      </c>
      <c r="K34" t="n">
        <v>100</v>
      </c>
      <c r="L34" t="n">
        <v>78</v>
      </c>
      <c r="M34" t="n">
        <v>993</v>
      </c>
      <c r="N34" t="n">
        <v>9</v>
      </c>
      <c r="O34" t="n">
        <v>40155</v>
      </c>
      <c r="P34" t="n">
        <v>6</v>
      </c>
      <c r="Q34" t="n">
        <v>5</v>
      </c>
      <c r="R34" t="n">
        <v>135</v>
      </c>
      <c r="S34" t="n">
        <v>1157</v>
      </c>
      <c r="T34" t="n">
        <v>1157</v>
      </c>
      <c r="U34" t="n">
        <v>1157</v>
      </c>
      <c r="V34" t="n">
        <v>38364</v>
      </c>
      <c r="W34" t="n">
        <v>28.08</v>
      </c>
      <c r="X34" t="n">
        <v>284</v>
      </c>
      <c r="Y34" t="n">
        <v>214</v>
      </c>
      <c r="Z34">
        <f>IF(L34&gt;=70,"Yes","No")</f>
        <v/>
      </c>
      <c r="AA34">
        <f>IF(ISNUMBER(T34),T34/1000,"")</f>
        <v/>
      </c>
      <c r="AB34">
        <f>IF(ISNUMBER(W34),W34,0)</f>
        <v/>
      </c>
      <c r="AC34">
        <f>IF(ISNUMBER(T34),1,0)</f>
        <v/>
      </c>
    </row>
    <row r="35">
      <c r="A35" t="inlineStr">
        <is>
          <t>SIMULATED_ShelfStudy_POSM_vs_NoPOSM</t>
        </is>
      </c>
      <c r="B35" t="inlineStr">
        <is>
          <t>P07</t>
        </is>
      </c>
      <c r="C35" t="inlineStr">
        <is>
          <t>F</t>
        </is>
      </c>
      <c r="D35" t="inlineStr">
        <is>
          <t>18-24</t>
        </is>
      </c>
      <c r="E35" t="inlineStr">
        <is>
          <t>POSM</t>
        </is>
      </c>
      <c r="F35" t="inlineStr">
        <is>
          <t>2026-10-13</t>
        </is>
      </c>
      <c r="G35" t="inlineStr">
        <is>
          <t>Shelf_POSM_GazeMap</t>
        </is>
      </c>
      <c r="H35" t="inlineStr">
        <is>
          <t>Sensodyne_Products</t>
        </is>
      </c>
      <c r="I35" t="n">
        <v>186945</v>
      </c>
      <c r="J35" t="n">
        <v>186945</v>
      </c>
      <c r="K35" t="n">
        <v>100</v>
      </c>
      <c r="L35" t="n">
        <v>86.8</v>
      </c>
      <c r="M35" t="n">
        <v>1517</v>
      </c>
      <c r="N35" t="n">
        <v>4</v>
      </c>
      <c r="O35" t="n">
        <v>17517</v>
      </c>
      <c r="P35" t="n">
        <v>4</v>
      </c>
      <c r="Q35" t="n">
        <v>3</v>
      </c>
      <c r="R35" t="n">
        <v>61</v>
      </c>
      <c r="S35" t="n">
        <v>1759</v>
      </c>
      <c r="T35" t="n">
        <v>1759</v>
      </c>
      <c r="U35" t="n">
        <v>1759</v>
      </c>
      <c r="V35" t="n">
        <v>16648</v>
      </c>
      <c r="W35" t="n">
        <v>8.91</v>
      </c>
      <c r="X35" t="n">
        <v>273</v>
      </c>
      <c r="Y35" t="n">
        <v>115</v>
      </c>
      <c r="Z35">
        <f>IF(L35&gt;=70,"Yes","No")</f>
        <v/>
      </c>
      <c r="AA35">
        <f>IF(ISNUMBER(T35),T35/1000,"")</f>
        <v/>
      </c>
      <c r="AB35">
        <f>IF(ISNUMBER(W35),W35,0)</f>
        <v/>
      </c>
      <c r="AC35">
        <f>IF(ISNUMBER(T35),1,0)</f>
        <v/>
      </c>
    </row>
    <row r="36">
      <c r="A36" t="inlineStr">
        <is>
          <t>SIMULATED_ShelfStudy_POSM_vs_NoPOSM</t>
        </is>
      </c>
      <c r="B36" t="inlineStr">
        <is>
          <t>P07</t>
        </is>
      </c>
      <c r="C36" t="inlineStr">
        <is>
          <t>F</t>
        </is>
      </c>
      <c r="D36" t="inlineStr">
        <is>
          <t>18-24</t>
        </is>
      </c>
      <c r="E36" t="inlineStr">
        <is>
          <t>POSM</t>
        </is>
      </c>
      <c r="F36" t="inlineStr">
        <is>
          <t>2026-10-13</t>
        </is>
      </c>
      <c r="G36" t="inlineStr">
        <is>
          <t>Shelf_POSM_GazeMap</t>
        </is>
      </c>
      <c r="H36" t="inlineStr">
        <is>
          <t>Sensodyne_POSM_Wing</t>
        </is>
      </c>
      <c r="I36" t="n">
        <v>186945</v>
      </c>
      <c r="J36" t="n">
        <v>186945</v>
      </c>
      <c r="K36" t="n">
        <v>100</v>
      </c>
      <c r="L36" t="n">
        <v>86.8</v>
      </c>
      <c r="M36" t="n">
        <v>2235</v>
      </c>
      <c r="N36" t="n">
        <v>2</v>
      </c>
      <c r="O36" t="n">
        <v>7327</v>
      </c>
      <c r="P36" t="n">
        <v>2</v>
      </c>
      <c r="Q36" t="n">
        <v>1</v>
      </c>
      <c r="R36" t="n">
        <v>19</v>
      </c>
      <c r="S36" t="n">
        <v>2388</v>
      </c>
      <c r="T36" t="n">
        <v>2388</v>
      </c>
      <c r="U36" t="n">
        <v>2388</v>
      </c>
      <c r="V36" t="n">
        <v>6608</v>
      </c>
      <c r="W36" t="n">
        <v>3.53</v>
      </c>
      <c r="X36" t="n">
        <v>348</v>
      </c>
      <c r="Y36" t="n">
        <v>228</v>
      </c>
      <c r="Z36">
        <f>IF(L36&gt;=70,"Yes","No")</f>
        <v/>
      </c>
      <c r="AA36">
        <f>IF(ISNUMBER(T36),T36/1000,"")</f>
        <v/>
      </c>
      <c r="AB36">
        <f>IF(ISNUMBER(W36),W36,0)</f>
        <v/>
      </c>
      <c r="AC36">
        <f>IF(ISNUMBER(T36),1,0)</f>
        <v/>
      </c>
    </row>
    <row r="37">
      <c r="A37" t="inlineStr">
        <is>
          <t>SIMULATED_ShelfStudy_POSM_vs_NoPOSM</t>
        </is>
      </c>
      <c r="B37" t="inlineStr">
        <is>
          <t>P07</t>
        </is>
      </c>
      <c r="C37" t="inlineStr">
        <is>
          <t>F</t>
        </is>
      </c>
      <c r="D37" t="inlineStr">
        <is>
          <t>18-24</t>
        </is>
      </c>
      <c r="E37" t="inlineStr">
        <is>
          <t>POSM</t>
        </is>
      </c>
      <c r="F37" t="inlineStr">
        <is>
          <t>2026-10-13</t>
        </is>
      </c>
      <c r="G37" t="inlineStr">
        <is>
          <t>Shelf_POSM_GazeMap</t>
        </is>
      </c>
      <c r="H37" t="inlineStr">
        <is>
          <t>Competitor_A</t>
        </is>
      </c>
      <c r="I37" t="n">
        <v>186945</v>
      </c>
      <c r="J37" t="n">
        <v>186945</v>
      </c>
      <c r="K37" t="n">
        <v>100</v>
      </c>
      <c r="L37" t="n">
        <v>86.8</v>
      </c>
      <c r="M37" t="n">
        <v>3560</v>
      </c>
      <c r="N37" t="n">
        <v>4</v>
      </c>
      <c r="O37" t="n">
        <v>23814</v>
      </c>
      <c r="P37" t="n">
        <v>4</v>
      </c>
      <c r="Q37" t="n">
        <v>3</v>
      </c>
      <c r="R37" t="n">
        <v>52</v>
      </c>
      <c r="S37" t="n">
        <v>3650</v>
      </c>
      <c r="T37" t="n">
        <v>3650</v>
      </c>
      <c r="U37" t="n">
        <v>3650</v>
      </c>
      <c r="V37" t="n">
        <v>21281</v>
      </c>
      <c r="W37" t="n">
        <v>11.38</v>
      </c>
      <c r="X37" t="n">
        <v>409</v>
      </c>
      <c r="Y37" t="n">
        <v>195</v>
      </c>
      <c r="Z37">
        <f>IF(L37&gt;=70,"Yes","No")</f>
        <v/>
      </c>
      <c r="AA37">
        <f>IF(ISNUMBER(T37),T37/1000,"")</f>
        <v/>
      </c>
      <c r="AB37">
        <f>IF(ISNUMBER(W37),W37,0)</f>
        <v/>
      </c>
      <c r="AC37">
        <f>IF(ISNUMBER(T37),1,0)</f>
        <v/>
      </c>
    </row>
    <row r="38">
      <c r="A38" t="inlineStr">
        <is>
          <t>SIMULATED_ShelfStudy_POSM_vs_NoPOSM</t>
        </is>
      </c>
      <c r="B38" t="inlineStr">
        <is>
          <t>P07</t>
        </is>
      </c>
      <c r="C38" t="inlineStr">
        <is>
          <t>F</t>
        </is>
      </c>
      <c r="D38" t="inlineStr">
        <is>
          <t>18-24</t>
        </is>
      </c>
      <c r="E38" t="inlineStr">
        <is>
          <t>POSM</t>
        </is>
      </c>
      <c r="F38" t="inlineStr">
        <is>
          <t>2026-10-13</t>
        </is>
      </c>
      <c r="G38" t="inlineStr">
        <is>
          <t>Shelf_POSM_GazeMap</t>
        </is>
      </c>
      <c r="H38" t="inlineStr">
        <is>
          <t>Competitor_B</t>
        </is>
      </c>
      <c r="I38" t="n">
        <v>186945</v>
      </c>
      <c r="J38" t="n">
        <v>186945</v>
      </c>
      <c r="K38" t="n">
        <v>100</v>
      </c>
      <c r="L38" t="n">
        <v>86.8</v>
      </c>
      <c r="M38" t="n">
        <v>3586</v>
      </c>
      <c r="N38" t="n">
        <v>4</v>
      </c>
      <c r="O38" t="n">
        <v>21123</v>
      </c>
      <c r="P38" t="n">
        <v>2</v>
      </c>
      <c r="Q38" t="n">
        <v>1</v>
      </c>
      <c r="R38" t="n">
        <v>52</v>
      </c>
      <c r="S38" t="n">
        <v>3681</v>
      </c>
      <c r="T38" t="n">
        <v>3681</v>
      </c>
      <c r="U38" t="n">
        <v>3681</v>
      </c>
      <c r="V38" t="n">
        <v>18501</v>
      </c>
      <c r="W38" t="n">
        <v>9.9</v>
      </c>
      <c r="X38" t="n">
        <v>356</v>
      </c>
      <c r="Y38" t="n">
        <v>269</v>
      </c>
      <c r="Z38">
        <f>IF(L38&gt;=70,"Yes","No")</f>
        <v/>
      </c>
      <c r="AA38">
        <f>IF(ISNUMBER(T38),T38/1000,"")</f>
        <v/>
      </c>
      <c r="AB38">
        <f>IF(ISNUMBER(W38),W38,0)</f>
        <v/>
      </c>
      <c r="AC38">
        <f>IF(ISNUMBER(T38),1,0)</f>
        <v/>
      </c>
    </row>
    <row r="39">
      <c r="A39" t="inlineStr">
        <is>
          <t>SIMULATED_ShelfStudy_POSM_vs_NoPOSM</t>
        </is>
      </c>
      <c r="B39" t="inlineStr">
        <is>
          <t>P07</t>
        </is>
      </c>
      <c r="C39" t="inlineStr">
        <is>
          <t>F</t>
        </is>
      </c>
      <c r="D39" t="inlineStr">
        <is>
          <t>18-24</t>
        </is>
      </c>
      <c r="E39" t="inlineStr">
        <is>
          <t>POSM</t>
        </is>
      </c>
      <c r="F39" t="inlineStr">
        <is>
          <t>2026-10-13</t>
        </is>
      </c>
      <c r="G39" t="inlineStr">
        <is>
          <t>Shelf_POSM_GazeMap</t>
        </is>
      </c>
      <c r="H39" t="inlineStr">
        <is>
          <t>Price_Tags</t>
        </is>
      </c>
      <c r="I39" t="n">
        <v>186945</v>
      </c>
      <c r="J39" t="n">
        <v>186945</v>
      </c>
      <c r="K39" t="n">
        <v>100</v>
      </c>
      <c r="L39" t="n">
        <v>86.8</v>
      </c>
      <c r="M39" t="n">
        <v>9037</v>
      </c>
      <c r="N39" t="n">
        <v>2</v>
      </c>
      <c r="O39" t="n">
        <v>11140</v>
      </c>
      <c r="P39" t="n">
        <v>2</v>
      </c>
      <c r="Q39" t="n">
        <v>1</v>
      </c>
      <c r="R39" t="n">
        <v>34</v>
      </c>
      <c r="S39" t="n">
        <v>9184</v>
      </c>
      <c r="T39" t="n">
        <v>9184</v>
      </c>
      <c r="U39" t="n">
        <v>9184</v>
      </c>
      <c r="V39" t="n">
        <v>10710</v>
      </c>
      <c r="W39" t="n">
        <v>5.73</v>
      </c>
      <c r="X39" t="n">
        <v>315</v>
      </c>
      <c r="Y39" t="n">
        <v>166</v>
      </c>
      <c r="Z39">
        <f>IF(L39&gt;=70,"Yes","No")</f>
        <v/>
      </c>
      <c r="AA39">
        <f>IF(ISNUMBER(T39),T39/1000,"")</f>
        <v/>
      </c>
      <c r="AB39">
        <f>IF(ISNUMBER(W39),W39,0)</f>
        <v/>
      </c>
      <c r="AC39">
        <f>IF(ISNUMBER(T39),1,0)</f>
        <v/>
      </c>
    </row>
    <row r="40">
      <c r="A40" t="inlineStr">
        <is>
          <t>SIMULATED_ShelfStudy_POSM_vs_NoPOSM</t>
        </is>
      </c>
      <c r="B40" t="inlineStr">
        <is>
          <t>P07</t>
        </is>
      </c>
      <c r="C40" t="inlineStr">
        <is>
          <t>F</t>
        </is>
      </c>
      <c r="D40" t="inlineStr">
        <is>
          <t>18-24</t>
        </is>
      </c>
      <c r="E40" t="inlineStr">
        <is>
          <t>POSM</t>
        </is>
      </c>
      <c r="F40" t="inlineStr">
        <is>
          <t>2026-10-13</t>
        </is>
      </c>
      <c r="G40" t="inlineStr">
        <is>
          <t>Shelf_POSM_GazeMap</t>
        </is>
      </c>
      <c r="H40" t="inlineStr">
        <is>
          <t>Shelf_Other</t>
        </is>
      </c>
      <c r="I40" t="n">
        <v>186945</v>
      </c>
      <c r="J40" t="n">
        <v>186945</v>
      </c>
      <c r="K40" t="n">
        <v>100</v>
      </c>
      <c r="L40" t="n">
        <v>86.8</v>
      </c>
      <c r="M40" t="n">
        <v>970</v>
      </c>
      <c r="N40" t="n">
        <v>9</v>
      </c>
      <c r="O40" t="n">
        <v>27677</v>
      </c>
      <c r="P40" t="n">
        <v>9</v>
      </c>
      <c r="Q40" t="n">
        <v>8</v>
      </c>
      <c r="R40" t="n">
        <v>105</v>
      </c>
      <c r="S40" t="n">
        <v>1118</v>
      </c>
      <c r="T40" t="n">
        <v>1118</v>
      </c>
      <c r="U40" t="n">
        <v>1118</v>
      </c>
      <c r="V40" t="n">
        <v>24862</v>
      </c>
      <c r="W40" t="n">
        <v>13.3</v>
      </c>
      <c r="X40" t="n">
        <v>237</v>
      </c>
      <c r="Y40" t="n">
        <v>317</v>
      </c>
      <c r="Z40">
        <f>IF(L40&gt;=70,"Yes","No")</f>
        <v/>
      </c>
      <c r="AA40">
        <f>IF(ISNUMBER(T40),T40/1000,"")</f>
        <v/>
      </c>
      <c r="AB40">
        <f>IF(ISNUMBER(W40),W40,0)</f>
        <v/>
      </c>
      <c r="AC40">
        <f>IF(ISNUMBER(T40),1,0)</f>
        <v/>
      </c>
    </row>
    <row r="41">
      <c r="A41" t="inlineStr">
        <is>
          <t>SIMULATED_ShelfStudy_POSM_vs_NoPOSM</t>
        </is>
      </c>
      <c r="B41" t="inlineStr">
        <is>
          <t>P08</t>
        </is>
      </c>
      <c r="C41" t="inlineStr">
        <is>
          <t>M</t>
        </is>
      </c>
      <c r="D41" t="inlineStr">
        <is>
          <t>18-24</t>
        </is>
      </c>
      <c r="E41" t="inlineStr">
        <is>
          <t>NoPOSM</t>
        </is>
      </c>
      <c r="F41" t="inlineStr">
        <is>
          <t>2026-10-13</t>
        </is>
      </c>
      <c r="G41" t="inlineStr">
        <is>
          <t>Shelf_NoPOSM_GazeMap</t>
        </is>
      </c>
      <c r="H41" t="inlineStr">
        <is>
          <t>Sensodyne_Products</t>
        </is>
      </c>
      <c r="I41" t="n">
        <v>116055</v>
      </c>
      <c r="J41" t="n">
        <v>116055</v>
      </c>
      <c r="K41" t="n">
        <v>100</v>
      </c>
      <c r="L41" t="n">
        <v>93.59999999999999</v>
      </c>
      <c r="M41" t="n">
        <v>4576</v>
      </c>
      <c r="N41" t="n">
        <v>3</v>
      </c>
      <c r="O41" t="n">
        <v>18710</v>
      </c>
      <c r="P41" t="n">
        <v>3</v>
      </c>
      <c r="Q41" t="n">
        <v>2</v>
      </c>
      <c r="R41" t="n">
        <v>62</v>
      </c>
      <c r="S41" t="n">
        <v>4860</v>
      </c>
      <c r="T41" t="n">
        <v>4860</v>
      </c>
      <c r="U41" t="n">
        <v>4860</v>
      </c>
      <c r="V41" t="n">
        <v>16314</v>
      </c>
      <c r="W41" t="n">
        <v>14.06</v>
      </c>
      <c r="X41" t="n">
        <v>263</v>
      </c>
      <c r="Y41" t="n">
        <v>294</v>
      </c>
      <c r="Z41">
        <f>IF(L41&gt;=70,"Yes","No")</f>
        <v/>
      </c>
      <c r="AA41">
        <f>IF(ISNUMBER(T41),T41/1000,"")</f>
        <v/>
      </c>
      <c r="AB41">
        <f>IF(ISNUMBER(W41),W41,0)</f>
        <v/>
      </c>
      <c r="AC41">
        <f>IF(ISNUMBER(T41),1,0)</f>
        <v/>
      </c>
    </row>
    <row r="42">
      <c r="A42" t="inlineStr">
        <is>
          <t>SIMULATED_ShelfStudy_POSM_vs_NoPOSM</t>
        </is>
      </c>
      <c r="B42" t="inlineStr">
        <is>
          <t>P08</t>
        </is>
      </c>
      <c r="C42" t="inlineStr">
        <is>
          <t>M</t>
        </is>
      </c>
      <c r="D42" t="inlineStr">
        <is>
          <t>18-24</t>
        </is>
      </c>
      <c r="E42" t="inlineStr">
        <is>
          <t>NoPOSM</t>
        </is>
      </c>
      <c r="F42" t="inlineStr">
        <is>
          <t>2026-10-13</t>
        </is>
      </c>
      <c r="G42" t="inlineStr">
        <is>
          <t>Shelf_NoPOSM_GazeMap</t>
        </is>
      </c>
      <c r="H42" t="inlineStr">
        <is>
          <t>Competitor_A</t>
        </is>
      </c>
      <c r="I42" t="n">
        <v>116055</v>
      </c>
      <c r="J42" t="n">
        <v>116055</v>
      </c>
      <c r="K42" t="n">
        <v>100</v>
      </c>
      <c r="L42" t="n">
        <v>93.59999999999999</v>
      </c>
      <c r="M42" t="n">
        <v>1703</v>
      </c>
      <c r="N42" t="n">
        <v>7</v>
      </c>
      <c r="O42" t="n">
        <v>29622</v>
      </c>
      <c r="P42" t="n">
        <v>6</v>
      </c>
      <c r="Q42" t="n">
        <v>5</v>
      </c>
      <c r="R42" t="n">
        <v>90</v>
      </c>
      <c r="S42" t="n">
        <v>1797</v>
      </c>
      <c r="T42" t="n">
        <v>1797</v>
      </c>
      <c r="U42" t="n">
        <v>1797</v>
      </c>
      <c r="V42" t="n">
        <v>27825</v>
      </c>
      <c r="W42" t="n">
        <v>23.98</v>
      </c>
      <c r="X42" t="n">
        <v>309</v>
      </c>
      <c r="Y42" t="n">
        <v>162</v>
      </c>
      <c r="Z42">
        <f>IF(L42&gt;=70,"Yes","No")</f>
        <v/>
      </c>
      <c r="AA42">
        <f>IF(ISNUMBER(T42),T42/1000,"")</f>
        <v/>
      </c>
      <c r="AB42">
        <f>IF(ISNUMBER(W42),W42,0)</f>
        <v/>
      </c>
      <c r="AC42">
        <f>IF(ISNUMBER(T42),1,0)</f>
        <v/>
      </c>
    </row>
    <row r="43">
      <c r="A43" t="inlineStr">
        <is>
          <t>SIMULATED_ShelfStudy_POSM_vs_NoPOSM</t>
        </is>
      </c>
      <c r="B43" t="inlineStr">
        <is>
          <t>P08</t>
        </is>
      </c>
      <c r="C43" t="inlineStr">
        <is>
          <t>M</t>
        </is>
      </c>
      <c r="D43" t="inlineStr">
        <is>
          <t>18-24</t>
        </is>
      </c>
      <c r="E43" t="inlineStr">
        <is>
          <t>NoPOSM</t>
        </is>
      </c>
      <c r="F43" t="inlineStr">
        <is>
          <t>2026-10-13</t>
        </is>
      </c>
      <c r="G43" t="inlineStr">
        <is>
          <t>Shelf_NoPOSM_GazeMap</t>
        </is>
      </c>
      <c r="H43" t="inlineStr">
        <is>
          <t>Competitor_B</t>
        </is>
      </c>
      <c r="I43" t="n">
        <v>116055</v>
      </c>
      <c r="J43" t="n">
        <v>116055</v>
      </c>
      <c r="K43" t="n">
        <v>100</v>
      </c>
      <c r="L43" t="n">
        <v>93.59999999999999</v>
      </c>
      <c r="M43" t="n">
        <v>2257</v>
      </c>
      <c r="N43" t="n">
        <v>6</v>
      </c>
      <c r="O43" t="n">
        <v>29729</v>
      </c>
      <c r="P43" t="n">
        <v>6</v>
      </c>
      <c r="Q43" t="n">
        <v>5</v>
      </c>
      <c r="R43" t="n">
        <v>84</v>
      </c>
      <c r="S43" t="n">
        <v>2456</v>
      </c>
      <c r="T43" t="n">
        <v>2456</v>
      </c>
      <c r="U43" t="n">
        <v>2456</v>
      </c>
      <c r="V43" t="n">
        <v>26502</v>
      </c>
      <c r="W43" t="n">
        <v>22.84</v>
      </c>
      <c r="X43" t="n">
        <v>316</v>
      </c>
      <c r="Y43" t="n">
        <v>174</v>
      </c>
      <c r="Z43">
        <f>IF(L43&gt;=70,"Yes","No")</f>
        <v/>
      </c>
      <c r="AA43">
        <f>IF(ISNUMBER(T43),T43/1000,"")</f>
        <v/>
      </c>
      <c r="AB43">
        <f>IF(ISNUMBER(W43),W43,0)</f>
        <v/>
      </c>
      <c r="AC43">
        <f>IF(ISNUMBER(T43),1,0)</f>
        <v/>
      </c>
    </row>
    <row r="44">
      <c r="A44" t="inlineStr">
        <is>
          <t>SIMULATED_ShelfStudy_POSM_vs_NoPOSM</t>
        </is>
      </c>
      <c r="B44" t="inlineStr">
        <is>
          <t>P08</t>
        </is>
      </c>
      <c r="C44" t="inlineStr">
        <is>
          <t>M</t>
        </is>
      </c>
      <c r="D44" t="inlineStr">
        <is>
          <t>18-24</t>
        </is>
      </c>
      <c r="E44" t="inlineStr">
        <is>
          <t>NoPOSM</t>
        </is>
      </c>
      <c r="F44" t="inlineStr">
        <is>
          <t>2026-10-13</t>
        </is>
      </c>
      <c r="G44" t="inlineStr">
        <is>
          <t>Shelf_NoPOSM_GazeMap</t>
        </is>
      </c>
      <c r="H44" t="inlineStr">
        <is>
          <t>Price_Tags</t>
        </is>
      </c>
      <c r="I44" t="n">
        <v>116055</v>
      </c>
      <c r="J44" t="n">
        <v>116055</v>
      </c>
      <c r="K44" t="n">
        <v>100</v>
      </c>
      <c r="L44" t="n">
        <v>93.59999999999999</v>
      </c>
      <c r="M44" t="n">
        <v>6885</v>
      </c>
      <c r="N44" t="n">
        <v>4</v>
      </c>
      <c r="O44" t="n">
        <v>9157</v>
      </c>
      <c r="P44" t="n">
        <v>4</v>
      </c>
      <c r="Q44" t="n">
        <v>3</v>
      </c>
      <c r="R44" t="n">
        <v>29</v>
      </c>
      <c r="S44" t="n">
        <v>6971</v>
      </c>
      <c r="T44" t="n">
        <v>6971</v>
      </c>
      <c r="U44" t="n">
        <v>6971</v>
      </c>
      <c r="V44" t="n">
        <v>8004</v>
      </c>
      <c r="W44" t="n">
        <v>6.9</v>
      </c>
      <c r="X44" t="n">
        <v>276</v>
      </c>
      <c r="Y44" t="n">
        <v>200</v>
      </c>
      <c r="Z44">
        <f>IF(L44&gt;=70,"Yes","No")</f>
        <v/>
      </c>
      <c r="AA44">
        <f>IF(ISNUMBER(T44),T44/1000,"")</f>
        <v/>
      </c>
      <c r="AB44">
        <f>IF(ISNUMBER(W44),W44,0)</f>
        <v/>
      </c>
      <c r="AC44">
        <f>IF(ISNUMBER(T44),1,0)</f>
        <v/>
      </c>
    </row>
    <row r="45">
      <c r="A45" t="inlineStr">
        <is>
          <t>SIMULATED_ShelfStudy_POSM_vs_NoPOSM</t>
        </is>
      </c>
      <c r="B45" t="inlineStr">
        <is>
          <t>P08</t>
        </is>
      </c>
      <c r="C45" t="inlineStr">
        <is>
          <t>M</t>
        </is>
      </c>
      <c r="D45" t="inlineStr">
        <is>
          <t>18-24</t>
        </is>
      </c>
      <c r="E45" t="inlineStr">
        <is>
          <t>NoPOSM</t>
        </is>
      </c>
      <c r="F45" t="inlineStr">
        <is>
          <t>2026-10-13</t>
        </is>
      </c>
      <c r="G45" t="inlineStr">
        <is>
          <t>Shelf_NoPOSM_GazeMap</t>
        </is>
      </c>
      <c r="H45" t="inlineStr">
        <is>
          <t>Shelf_Other</t>
        </is>
      </c>
      <c r="I45" t="n">
        <v>116055</v>
      </c>
      <c r="J45" t="n">
        <v>116055</v>
      </c>
      <c r="K45" t="n">
        <v>100</v>
      </c>
      <c r="L45" t="n">
        <v>93.59999999999999</v>
      </c>
      <c r="M45" t="n">
        <v>408</v>
      </c>
      <c r="N45" t="n">
        <v>4</v>
      </c>
      <c r="O45" t="n">
        <v>18534</v>
      </c>
      <c r="P45" t="n">
        <v>3</v>
      </c>
      <c r="Q45" t="n">
        <v>2</v>
      </c>
      <c r="R45" t="n">
        <v>52</v>
      </c>
      <c r="S45" t="n">
        <v>558</v>
      </c>
      <c r="T45" t="n">
        <v>558</v>
      </c>
      <c r="U45" t="n">
        <v>558</v>
      </c>
      <c r="V45" t="n">
        <v>16775</v>
      </c>
      <c r="W45" t="n">
        <v>14.45</v>
      </c>
      <c r="X45" t="n">
        <v>323</v>
      </c>
      <c r="Y45" t="n">
        <v>194</v>
      </c>
      <c r="Z45">
        <f>IF(L45&gt;=70,"Yes","No")</f>
        <v/>
      </c>
      <c r="AA45">
        <f>IF(ISNUMBER(T45),T45/1000,"")</f>
        <v/>
      </c>
      <c r="AB45">
        <f>IF(ISNUMBER(W45),W45,0)</f>
        <v/>
      </c>
      <c r="AC45">
        <f>IF(ISNUMBER(T45),1,0)</f>
        <v/>
      </c>
    </row>
    <row r="46">
      <c r="A46" t="inlineStr">
        <is>
          <t>SIMULATED_ShelfStudy_POSM_vs_NoPOSM</t>
        </is>
      </c>
      <c r="B46" t="inlineStr">
        <is>
          <t>P09</t>
        </is>
      </c>
      <c r="C46" t="inlineStr">
        <is>
          <t>M</t>
        </is>
      </c>
      <c r="D46" t="inlineStr">
        <is>
          <t>25-34</t>
        </is>
      </c>
      <c r="E46" t="inlineStr">
        <is>
          <t>POSM</t>
        </is>
      </c>
      <c r="F46" t="inlineStr">
        <is>
          <t>2026-10-13</t>
        </is>
      </c>
      <c r="G46" t="inlineStr">
        <is>
          <t>Shelf_POSM_GazeMap</t>
        </is>
      </c>
      <c r="H46" t="inlineStr">
        <is>
          <t>Sensodyne_Products</t>
        </is>
      </c>
      <c r="I46" t="n">
        <v>139162</v>
      </c>
      <c r="J46" t="n">
        <v>139162</v>
      </c>
      <c r="K46" t="n">
        <v>100</v>
      </c>
      <c r="L46" t="n">
        <v>87</v>
      </c>
      <c r="M46" t="n">
        <v>1625</v>
      </c>
      <c r="N46" t="n">
        <v>5</v>
      </c>
      <c r="O46" t="n">
        <v>23566</v>
      </c>
      <c r="P46" t="n">
        <v>5</v>
      </c>
      <c r="Q46" t="n">
        <v>4</v>
      </c>
      <c r="R46" t="n">
        <v>70</v>
      </c>
      <c r="S46" t="n">
        <v>1907</v>
      </c>
      <c r="T46" t="n">
        <v>1907</v>
      </c>
      <c r="U46" t="n">
        <v>1907</v>
      </c>
      <c r="V46" t="n">
        <v>21432</v>
      </c>
      <c r="W46" t="n">
        <v>15.4</v>
      </c>
      <c r="X46" t="n">
        <v>306</v>
      </c>
      <c r="Y46" t="n">
        <v>223</v>
      </c>
      <c r="Z46">
        <f>IF(L46&gt;=70,"Yes","No")</f>
        <v/>
      </c>
      <c r="AA46">
        <f>IF(ISNUMBER(T46),T46/1000,"")</f>
        <v/>
      </c>
      <c r="AB46">
        <f>IF(ISNUMBER(W46),W46,0)</f>
        <v/>
      </c>
      <c r="AC46">
        <f>IF(ISNUMBER(T46),1,0)</f>
        <v/>
      </c>
    </row>
    <row r="47">
      <c r="A47" t="inlineStr">
        <is>
          <t>SIMULATED_ShelfStudy_POSM_vs_NoPOSM</t>
        </is>
      </c>
      <c r="B47" t="inlineStr">
        <is>
          <t>P09</t>
        </is>
      </c>
      <c r="C47" t="inlineStr">
        <is>
          <t>M</t>
        </is>
      </c>
      <c r="D47" t="inlineStr">
        <is>
          <t>25-34</t>
        </is>
      </c>
      <c r="E47" t="inlineStr">
        <is>
          <t>POSM</t>
        </is>
      </c>
      <c r="F47" t="inlineStr">
        <is>
          <t>2026-10-13</t>
        </is>
      </c>
      <c r="G47" t="inlineStr">
        <is>
          <t>Shelf_POSM_GazeMap</t>
        </is>
      </c>
      <c r="H47" t="inlineStr">
        <is>
          <t>Sensodyne_POSM_Wing</t>
        </is>
      </c>
      <c r="I47" t="n">
        <v>139162</v>
      </c>
      <c r="J47" t="n">
        <v>139162</v>
      </c>
      <c r="K47" t="n">
        <v>100</v>
      </c>
      <c r="L47" t="n">
        <v>87</v>
      </c>
      <c r="M47" t="n">
        <v>1228</v>
      </c>
      <c r="N47" t="n">
        <v>1</v>
      </c>
      <c r="O47" t="n">
        <v>7482</v>
      </c>
      <c r="P47" t="n">
        <v>1</v>
      </c>
      <c r="Q47" t="n">
        <v>0</v>
      </c>
      <c r="R47" t="n">
        <v>22</v>
      </c>
      <c r="S47" t="n">
        <v>1488</v>
      </c>
      <c r="T47" t="n">
        <v>1488</v>
      </c>
      <c r="U47" t="n">
        <v>1488</v>
      </c>
      <c r="V47" t="n">
        <v>6978</v>
      </c>
      <c r="W47" t="n">
        <v>5.01</v>
      </c>
      <c r="X47" t="n">
        <v>317</v>
      </c>
      <c r="Y47" t="n">
        <v>252</v>
      </c>
      <c r="Z47">
        <f>IF(L47&gt;=70,"Yes","No")</f>
        <v/>
      </c>
      <c r="AA47">
        <f>IF(ISNUMBER(T47),T47/1000,"")</f>
        <v/>
      </c>
      <c r="AB47">
        <f>IF(ISNUMBER(W47),W47,0)</f>
        <v/>
      </c>
      <c r="AC47">
        <f>IF(ISNUMBER(T47),1,0)</f>
        <v/>
      </c>
    </row>
    <row r="48">
      <c r="A48" t="inlineStr">
        <is>
          <t>SIMULATED_ShelfStudy_POSM_vs_NoPOSM</t>
        </is>
      </c>
      <c r="B48" t="inlineStr">
        <is>
          <t>P09</t>
        </is>
      </c>
      <c r="C48" t="inlineStr">
        <is>
          <t>M</t>
        </is>
      </c>
      <c r="D48" t="inlineStr">
        <is>
          <t>25-34</t>
        </is>
      </c>
      <c r="E48" t="inlineStr">
        <is>
          <t>POSM</t>
        </is>
      </c>
      <c r="F48" t="inlineStr">
        <is>
          <t>2026-10-13</t>
        </is>
      </c>
      <c r="G48" t="inlineStr">
        <is>
          <t>Shelf_POSM_GazeMap</t>
        </is>
      </c>
      <c r="H48" t="inlineStr">
        <is>
          <t>Competitor_A</t>
        </is>
      </c>
      <c r="I48" t="n">
        <v>139162</v>
      </c>
      <c r="J48" t="n">
        <v>139162</v>
      </c>
      <c r="K48" t="n">
        <v>100</v>
      </c>
      <c r="L48" t="n">
        <v>87</v>
      </c>
      <c r="M48" t="n">
        <v>2597</v>
      </c>
      <c r="N48" t="n">
        <v>4</v>
      </c>
      <c r="O48" t="n">
        <v>21463</v>
      </c>
      <c r="P48" t="n">
        <v>4</v>
      </c>
      <c r="Q48" t="n">
        <v>3</v>
      </c>
      <c r="R48" t="n">
        <v>61</v>
      </c>
      <c r="S48" t="n">
        <v>2722</v>
      </c>
      <c r="T48" t="n">
        <v>2722</v>
      </c>
      <c r="U48" t="n">
        <v>2722</v>
      </c>
      <c r="V48" t="n">
        <v>20105</v>
      </c>
      <c r="W48" t="n">
        <v>14.45</v>
      </c>
      <c r="X48" t="n">
        <v>330</v>
      </c>
      <c r="Y48" t="n">
        <v>196</v>
      </c>
      <c r="Z48">
        <f>IF(L48&gt;=70,"Yes","No")</f>
        <v/>
      </c>
      <c r="AA48">
        <f>IF(ISNUMBER(T48),T48/1000,"")</f>
        <v/>
      </c>
      <c r="AB48">
        <f>IF(ISNUMBER(W48),W48,0)</f>
        <v/>
      </c>
      <c r="AC48">
        <f>IF(ISNUMBER(T48),1,0)</f>
        <v/>
      </c>
    </row>
    <row r="49">
      <c r="A49" t="inlineStr">
        <is>
          <t>SIMULATED_ShelfStudy_POSM_vs_NoPOSM</t>
        </is>
      </c>
      <c r="B49" t="inlineStr">
        <is>
          <t>P09</t>
        </is>
      </c>
      <c r="C49" t="inlineStr">
        <is>
          <t>M</t>
        </is>
      </c>
      <c r="D49" t="inlineStr">
        <is>
          <t>25-34</t>
        </is>
      </c>
      <c r="E49" t="inlineStr">
        <is>
          <t>POSM</t>
        </is>
      </c>
      <c r="F49" t="inlineStr">
        <is>
          <t>2026-10-13</t>
        </is>
      </c>
      <c r="G49" t="inlineStr">
        <is>
          <t>Shelf_POSM_GazeMap</t>
        </is>
      </c>
      <c r="H49" t="inlineStr">
        <is>
          <t>Competitor_B</t>
        </is>
      </c>
      <c r="I49" t="n">
        <v>139162</v>
      </c>
      <c r="J49" t="n">
        <v>139162</v>
      </c>
      <c r="K49" t="n">
        <v>100</v>
      </c>
      <c r="L49" t="n">
        <v>87</v>
      </c>
      <c r="M49" t="n">
        <v>4358</v>
      </c>
      <c r="N49" t="n">
        <v>1</v>
      </c>
      <c r="O49" t="n">
        <v>150</v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n">
        <v>139162</v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>
        <f>IF(L49&gt;=70,"Yes","No")</f>
        <v/>
      </c>
      <c r="AA49">
        <f>IF(ISNUMBER(T49),T49/1000,"")</f>
        <v/>
      </c>
      <c r="AB49">
        <f>IF(ISNUMBER(W49),W49,0)</f>
        <v/>
      </c>
      <c r="AC49">
        <f>IF(ISNUMBER(T49),1,0)</f>
        <v/>
      </c>
    </row>
    <row r="50">
      <c r="A50" t="inlineStr">
        <is>
          <t>SIMULATED_ShelfStudy_POSM_vs_NoPOSM</t>
        </is>
      </c>
      <c r="B50" t="inlineStr">
        <is>
          <t>P09</t>
        </is>
      </c>
      <c r="C50" t="inlineStr">
        <is>
          <t>M</t>
        </is>
      </c>
      <c r="D50" t="inlineStr">
        <is>
          <t>25-34</t>
        </is>
      </c>
      <c r="E50" t="inlineStr">
        <is>
          <t>POSM</t>
        </is>
      </c>
      <c r="F50" t="inlineStr">
        <is>
          <t>2026-10-13</t>
        </is>
      </c>
      <c r="G50" t="inlineStr">
        <is>
          <t>Shelf_POSM_GazeMap</t>
        </is>
      </c>
      <c r="H50" t="inlineStr">
        <is>
          <t>Price_Tags</t>
        </is>
      </c>
      <c r="I50" t="n">
        <v>139162</v>
      </c>
      <c r="J50" t="n">
        <v>139162</v>
      </c>
      <c r="K50" t="n">
        <v>100</v>
      </c>
      <c r="L50" t="n">
        <v>87</v>
      </c>
      <c r="M50" t="n">
        <v>9138</v>
      </c>
      <c r="N50" t="n">
        <v>6</v>
      </c>
      <c r="O50" t="n">
        <v>19224</v>
      </c>
      <c r="P50" t="n">
        <v>5</v>
      </c>
      <c r="Q50" t="n">
        <v>4</v>
      </c>
      <c r="R50" t="n">
        <v>75</v>
      </c>
      <c r="S50" t="n">
        <v>9431</v>
      </c>
      <c r="T50" t="n">
        <v>9431</v>
      </c>
      <c r="U50" t="n">
        <v>9431</v>
      </c>
      <c r="V50" t="n">
        <v>17641</v>
      </c>
      <c r="W50" t="n">
        <v>12.68</v>
      </c>
      <c r="X50" t="n">
        <v>235</v>
      </c>
      <c r="Y50" t="n">
        <v>273</v>
      </c>
      <c r="Z50">
        <f>IF(L50&gt;=70,"Yes","No")</f>
        <v/>
      </c>
      <c r="AA50">
        <f>IF(ISNUMBER(T50),T50/1000,"")</f>
        <v/>
      </c>
      <c r="AB50">
        <f>IF(ISNUMBER(W50),W50,0)</f>
        <v/>
      </c>
      <c r="AC50">
        <f>IF(ISNUMBER(T50),1,0)</f>
        <v/>
      </c>
    </row>
    <row r="51">
      <c r="A51" t="inlineStr">
        <is>
          <t>SIMULATED_ShelfStudy_POSM_vs_NoPOSM</t>
        </is>
      </c>
      <c r="B51" t="inlineStr">
        <is>
          <t>P09</t>
        </is>
      </c>
      <c r="C51" t="inlineStr">
        <is>
          <t>M</t>
        </is>
      </c>
      <c r="D51" t="inlineStr">
        <is>
          <t>25-34</t>
        </is>
      </c>
      <c r="E51" t="inlineStr">
        <is>
          <t>POSM</t>
        </is>
      </c>
      <c r="F51" t="inlineStr">
        <is>
          <t>2026-10-13</t>
        </is>
      </c>
      <c r="G51" t="inlineStr">
        <is>
          <t>Shelf_POSM_GazeMap</t>
        </is>
      </c>
      <c r="H51" t="inlineStr">
        <is>
          <t>Shelf_Other</t>
        </is>
      </c>
      <c r="I51" t="n">
        <v>139162</v>
      </c>
      <c r="J51" t="n">
        <v>139162</v>
      </c>
      <c r="K51" t="n">
        <v>100</v>
      </c>
      <c r="L51" t="n">
        <v>87</v>
      </c>
      <c r="M51" t="n">
        <v>623</v>
      </c>
      <c r="N51" t="n">
        <v>6</v>
      </c>
      <c r="O51" t="n">
        <v>31010</v>
      </c>
      <c r="P51" t="n">
        <v>5</v>
      </c>
      <c r="Q51" t="n">
        <v>4</v>
      </c>
      <c r="R51" t="n">
        <v>122</v>
      </c>
      <c r="S51" t="n">
        <v>787</v>
      </c>
      <c r="T51" t="n">
        <v>787</v>
      </c>
      <c r="U51" t="n">
        <v>787</v>
      </c>
      <c r="V51" t="n">
        <v>27507</v>
      </c>
      <c r="W51" t="n">
        <v>19.77</v>
      </c>
      <c r="X51" t="n">
        <v>225</v>
      </c>
      <c r="Y51" t="n">
        <v>367</v>
      </c>
      <c r="Z51">
        <f>IF(L51&gt;=70,"Yes","No")</f>
        <v/>
      </c>
      <c r="AA51">
        <f>IF(ISNUMBER(T51),T51/1000,"")</f>
        <v/>
      </c>
      <c r="AB51">
        <f>IF(ISNUMBER(W51),W51,0)</f>
        <v/>
      </c>
      <c r="AC51">
        <f>IF(ISNUMBER(T51),1,0)</f>
        <v/>
      </c>
    </row>
    <row r="52">
      <c r="A52" t="inlineStr">
        <is>
          <t>SIMULATED_ShelfStudy_POSM_vs_NoPOSM</t>
        </is>
      </c>
      <c r="B52" t="inlineStr">
        <is>
          <t>P10</t>
        </is>
      </c>
      <c r="C52" t="inlineStr">
        <is>
          <t>F</t>
        </is>
      </c>
      <c r="D52" t="inlineStr">
        <is>
          <t>18-24</t>
        </is>
      </c>
      <c r="E52" t="inlineStr">
        <is>
          <t>NoPOSM</t>
        </is>
      </c>
      <c r="F52" t="inlineStr">
        <is>
          <t>2026-10-13</t>
        </is>
      </c>
      <c r="G52" t="inlineStr">
        <is>
          <t>Shelf_NoPOSM_GazeMap</t>
        </is>
      </c>
      <c r="H52" t="inlineStr">
        <is>
          <t>Sensodyne_Products</t>
        </is>
      </c>
      <c r="I52" t="n">
        <v>142738</v>
      </c>
      <c r="J52" t="n">
        <v>142738</v>
      </c>
      <c r="K52" t="n">
        <v>100</v>
      </c>
      <c r="L52" t="n">
        <v>87.40000000000001</v>
      </c>
      <c r="M52" t="n">
        <v>2176</v>
      </c>
      <c r="N52" t="n">
        <v>4</v>
      </c>
      <c r="O52" t="n">
        <v>11053</v>
      </c>
      <c r="P52" t="n">
        <v>3</v>
      </c>
      <c r="Q52" t="n">
        <v>2</v>
      </c>
      <c r="R52" t="n">
        <v>30</v>
      </c>
      <c r="S52" t="n">
        <v>2393</v>
      </c>
      <c r="T52" t="n">
        <v>2393</v>
      </c>
      <c r="U52" t="n">
        <v>2393</v>
      </c>
      <c r="V52" t="n">
        <v>9972</v>
      </c>
      <c r="W52" t="n">
        <v>6.99</v>
      </c>
      <c r="X52" t="n">
        <v>332</v>
      </c>
      <c r="Y52" t="n">
        <v>188</v>
      </c>
      <c r="Z52">
        <f>IF(L52&gt;=70,"Yes","No")</f>
        <v/>
      </c>
      <c r="AA52">
        <f>IF(ISNUMBER(T52),T52/1000,"")</f>
        <v/>
      </c>
      <c r="AB52">
        <f>IF(ISNUMBER(W52),W52,0)</f>
        <v/>
      </c>
      <c r="AC52">
        <f>IF(ISNUMBER(T52),1,0)</f>
        <v/>
      </c>
    </row>
    <row r="53">
      <c r="A53" t="inlineStr">
        <is>
          <t>SIMULATED_ShelfStudy_POSM_vs_NoPOSM</t>
        </is>
      </c>
      <c r="B53" t="inlineStr">
        <is>
          <t>P10</t>
        </is>
      </c>
      <c r="C53" t="inlineStr">
        <is>
          <t>F</t>
        </is>
      </c>
      <c r="D53" t="inlineStr">
        <is>
          <t>18-24</t>
        </is>
      </c>
      <c r="E53" t="inlineStr">
        <is>
          <t>NoPOSM</t>
        </is>
      </c>
      <c r="F53" t="inlineStr">
        <is>
          <t>2026-10-13</t>
        </is>
      </c>
      <c r="G53" t="inlineStr">
        <is>
          <t>Shelf_NoPOSM_GazeMap</t>
        </is>
      </c>
      <c r="H53" t="inlineStr">
        <is>
          <t>Competitor_A</t>
        </is>
      </c>
      <c r="I53" t="n">
        <v>142738</v>
      </c>
      <c r="J53" t="n">
        <v>142738</v>
      </c>
      <c r="K53" t="n">
        <v>100</v>
      </c>
      <c r="L53" t="n">
        <v>87.40000000000001</v>
      </c>
      <c r="M53" t="n">
        <v>3200</v>
      </c>
      <c r="N53" t="n">
        <v>6</v>
      </c>
      <c r="O53" t="n">
        <v>17975</v>
      </c>
      <c r="P53" t="n">
        <v>6</v>
      </c>
      <c r="Q53" t="n">
        <v>5</v>
      </c>
      <c r="R53" t="n">
        <v>53</v>
      </c>
      <c r="S53" t="n">
        <v>3394</v>
      </c>
      <c r="T53" t="n">
        <v>3394</v>
      </c>
      <c r="U53" t="n">
        <v>3394</v>
      </c>
      <c r="V53" t="n">
        <v>16966</v>
      </c>
      <c r="W53" t="n">
        <v>11.89</v>
      </c>
      <c r="X53" t="n">
        <v>320</v>
      </c>
      <c r="Y53" t="n">
        <v>201</v>
      </c>
      <c r="Z53">
        <f>IF(L53&gt;=70,"Yes","No")</f>
        <v/>
      </c>
      <c r="AA53">
        <f>IF(ISNUMBER(T53),T53/1000,"")</f>
        <v/>
      </c>
      <c r="AB53">
        <f>IF(ISNUMBER(W53),W53,0)</f>
        <v/>
      </c>
      <c r="AC53">
        <f>IF(ISNUMBER(T53),1,0)</f>
        <v/>
      </c>
    </row>
    <row r="54">
      <c r="A54" t="inlineStr">
        <is>
          <t>SIMULATED_ShelfStudy_POSM_vs_NoPOSM</t>
        </is>
      </c>
      <c r="B54" t="inlineStr">
        <is>
          <t>P10</t>
        </is>
      </c>
      <c r="C54" t="inlineStr">
        <is>
          <t>F</t>
        </is>
      </c>
      <c r="D54" t="inlineStr">
        <is>
          <t>18-24</t>
        </is>
      </c>
      <c r="E54" t="inlineStr">
        <is>
          <t>NoPOSM</t>
        </is>
      </c>
      <c r="F54" t="inlineStr">
        <is>
          <t>2026-10-13</t>
        </is>
      </c>
      <c r="G54" t="inlineStr">
        <is>
          <t>Shelf_NoPOSM_GazeMap</t>
        </is>
      </c>
      <c r="H54" t="inlineStr">
        <is>
          <t>Competitor_B</t>
        </is>
      </c>
      <c r="I54" t="n">
        <v>142738</v>
      </c>
      <c r="J54" t="n">
        <v>142738</v>
      </c>
      <c r="K54" t="n">
        <v>100</v>
      </c>
      <c r="L54" t="n">
        <v>87.40000000000001</v>
      </c>
      <c r="M54" t="n">
        <v>3537</v>
      </c>
      <c r="N54" t="n">
        <v>2</v>
      </c>
      <c r="O54" t="n">
        <v>12257</v>
      </c>
      <c r="P54" t="n">
        <v>2</v>
      </c>
      <c r="Q54" t="n">
        <v>1</v>
      </c>
      <c r="R54" t="n">
        <v>38</v>
      </c>
      <c r="S54" t="n">
        <v>3740</v>
      </c>
      <c r="T54" t="n">
        <v>3740</v>
      </c>
      <c r="U54" t="n">
        <v>3740</v>
      </c>
      <c r="V54" t="n">
        <v>11418</v>
      </c>
      <c r="W54" t="n">
        <v>8</v>
      </c>
      <c r="X54" t="n">
        <v>300</v>
      </c>
      <c r="Y54" t="n">
        <v>268</v>
      </c>
      <c r="Z54">
        <f>IF(L54&gt;=70,"Yes","No")</f>
        <v/>
      </c>
      <c r="AA54">
        <f>IF(ISNUMBER(T54),T54/1000,"")</f>
        <v/>
      </c>
      <c r="AB54">
        <f>IF(ISNUMBER(W54),W54,0)</f>
        <v/>
      </c>
      <c r="AC54">
        <f>IF(ISNUMBER(T54),1,0)</f>
        <v/>
      </c>
    </row>
    <row r="55">
      <c r="A55" t="inlineStr">
        <is>
          <t>SIMULATED_ShelfStudy_POSM_vs_NoPOSM</t>
        </is>
      </c>
      <c r="B55" t="inlineStr">
        <is>
          <t>P10</t>
        </is>
      </c>
      <c r="C55" t="inlineStr">
        <is>
          <t>F</t>
        </is>
      </c>
      <c r="D55" t="inlineStr">
        <is>
          <t>18-24</t>
        </is>
      </c>
      <c r="E55" t="inlineStr">
        <is>
          <t>NoPOSM</t>
        </is>
      </c>
      <c r="F55" t="inlineStr">
        <is>
          <t>2026-10-13</t>
        </is>
      </c>
      <c r="G55" t="inlineStr">
        <is>
          <t>Shelf_NoPOSM_GazeMap</t>
        </is>
      </c>
      <c r="H55" t="inlineStr">
        <is>
          <t>Price_Tags</t>
        </is>
      </c>
      <c r="I55" t="n">
        <v>142738</v>
      </c>
      <c r="J55" t="n">
        <v>142738</v>
      </c>
      <c r="K55" t="n">
        <v>100</v>
      </c>
      <c r="L55" t="n">
        <v>87.40000000000001</v>
      </c>
      <c r="M55" t="n">
        <v>7931</v>
      </c>
      <c r="N55" t="n">
        <v>3</v>
      </c>
      <c r="O55" t="n">
        <v>11172</v>
      </c>
      <c r="P55" t="n">
        <v>3</v>
      </c>
      <c r="Q55" t="n">
        <v>2</v>
      </c>
      <c r="R55" t="n">
        <v>50</v>
      </c>
      <c r="S55" t="n">
        <v>8212</v>
      </c>
      <c r="T55" t="n">
        <v>8212</v>
      </c>
      <c r="U55" t="n">
        <v>8212</v>
      </c>
      <c r="V55" t="n">
        <v>10215</v>
      </c>
      <c r="W55" t="n">
        <v>7.16</v>
      </c>
      <c r="X55" t="n">
        <v>204</v>
      </c>
      <c r="Y55" t="n">
        <v>222</v>
      </c>
      <c r="Z55">
        <f>IF(L55&gt;=70,"Yes","No")</f>
        <v/>
      </c>
      <c r="AA55">
        <f>IF(ISNUMBER(T55),T55/1000,"")</f>
        <v/>
      </c>
      <c r="AB55">
        <f>IF(ISNUMBER(W55),W55,0)</f>
        <v/>
      </c>
      <c r="AC55">
        <f>IF(ISNUMBER(T55),1,0)</f>
        <v/>
      </c>
    </row>
    <row r="56">
      <c r="A56" t="inlineStr">
        <is>
          <t>SIMULATED_ShelfStudy_POSM_vs_NoPOSM</t>
        </is>
      </c>
      <c r="B56" t="inlineStr">
        <is>
          <t>P10</t>
        </is>
      </c>
      <c r="C56" t="inlineStr">
        <is>
          <t>F</t>
        </is>
      </c>
      <c r="D56" t="inlineStr">
        <is>
          <t>18-24</t>
        </is>
      </c>
      <c r="E56" t="inlineStr">
        <is>
          <t>NoPOSM</t>
        </is>
      </c>
      <c r="F56" t="inlineStr">
        <is>
          <t>2026-10-13</t>
        </is>
      </c>
      <c r="G56" t="inlineStr">
        <is>
          <t>Shelf_NoPOSM_GazeMap</t>
        </is>
      </c>
      <c r="H56" t="inlineStr">
        <is>
          <t>Shelf_Other</t>
        </is>
      </c>
      <c r="I56" t="n">
        <v>142738</v>
      </c>
      <c r="J56" t="n">
        <v>142738</v>
      </c>
      <c r="K56" t="n">
        <v>100</v>
      </c>
      <c r="L56" t="n">
        <v>87.40000000000001</v>
      </c>
      <c r="M56" t="n">
        <v>1277</v>
      </c>
      <c r="N56" t="n">
        <v>5</v>
      </c>
      <c r="O56" t="n">
        <v>17474</v>
      </c>
      <c r="P56" t="n">
        <v>4</v>
      </c>
      <c r="Q56" t="n">
        <v>3</v>
      </c>
      <c r="R56" t="n">
        <v>67</v>
      </c>
      <c r="S56" t="n">
        <v>1486</v>
      </c>
      <c r="T56" t="n">
        <v>1486</v>
      </c>
      <c r="U56" t="n">
        <v>1486</v>
      </c>
      <c r="V56" t="n">
        <v>15823</v>
      </c>
      <c r="W56" t="n">
        <v>11.09</v>
      </c>
      <c r="X56" t="n">
        <v>236</v>
      </c>
      <c r="Y56" t="n">
        <v>141</v>
      </c>
      <c r="Z56">
        <f>IF(L56&gt;=70,"Yes","No")</f>
        <v/>
      </c>
      <c r="AA56">
        <f>IF(ISNUMBER(T56),T56/1000,"")</f>
        <v/>
      </c>
      <c r="AB56">
        <f>IF(ISNUMBER(W56),W56,0)</f>
        <v/>
      </c>
      <c r="AC56">
        <f>IF(ISNUMBER(T56),1,0)</f>
        <v/>
      </c>
    </row>
    <row r="57">
      <c r="A57" t="inlineStr">
        <is>
          <t>SIMULATED_ShelfStudy_POSM_vs_NoPOSM</t>
        </is>
      </c>
      <c r="B57" t="inlineStr">
        <is>
          <t>P11</t>
        </is>
      </c>
      <c r="C57" t="inlineStr">
        <is>
          <t>F</t>
        </is>
      </c>
      <c r="D57" t="inlineStr">
        <is>
          <t>45-59</t>
        </is>
      </c>
      <c r="E57" t="inlineStr">
        <is>
          <t>POSM</t>
        </is>
      </c>
      <c r="F57" t="inlineStr">
        <is>
          <t>2026-10-13</t>
        </is>
      </c>
      <c r="G57" t="inlineStr">
        <is>
          <t>Shelf_POSM_GazeMap</t>
        </is>
      </c>
      <c r="H57" t="inlineStr">
        <is>
          <t>Sensodyne_Products</t>
        </is>
      </c>
      <c r="I57" t="n">
        <v>207664</v>
      </c>
      <c r="J57" t="n">
        <v>207664</v>
      </c>
      <c r="K57" t="n">
        <v>100</v>
      </c>
      <c r="L57" t="n">
        <v>80.5</v>
      </c>
      <c r="M57" t="n">
        <v>1374</v>
      </c>
      <c r="N57" t="n">
        <v>6</v>
      </c>
      <c r="O57" t="n">
        <v>21016</v>
      </c>
      <c r="P57" t="n">
        <v>6</v>
      </c>
      <c r="Q57" t="n">
        <v>5</v>
      </c>
      <c r="R57" t="n">
        <v>72</v>
      </c>
      <c r="S57" t="n">
        <v>1622</v>
      </c>
      <c r="T57" t="n">
        <v>1622</v>
      </c>
      <c r="U57" t="n">
        <v>1622</v>
      </c>
      <c r="V57" t="n">
        <v>20354</v>
      </c>
      <c r="W57" t="n">
        <v>9.800000000000001</v>
      </c>
      <c r="X57" t="n">
        <v>283</v>
      </c>
      <c r="Y57" t="n">
        <v>220</v>
      </c>
      <c r="Z57">
        <f>IF(L57&gt;=70,"Yes","No")</f>
        <v/>
      </c>
      <c r="AA57">
        <f>IF(ISNUMBER(T57),T57/1000,"")</f>
        <v/>
      </c>
      <c r="AB57">
        <f>IF(ISNUMBER(W57),W57,0)</f>
        <v/>
      </c>
      <c r="AC57">
        <f>IF(ISNUMBER(T57),1,0)</f>
        <v/>
      </c>
    </row>
    <row r="58">
      <c r="A58" t="inlineStr">
        <is>
          <t>SIMULATED_ShelfStudy_POSM_vs_NoPOSM</t>
        </is>
      </c>
      <c r="B58" t="inlineStr">
        <is>
          <t>P11</t>
        </is>
      </c>
      <c r="C58" t="inlineStr">
        <is>
          <t>F</t>
        </is>
      </c>
      <c r="D58" t="inlineStr">
        <is>
          <t>45-59</t>
        </is>
      </c>
      <c r="E58" t="inlineStr">
        <is>
          <t>POSM</t>
        </is>
      </c>
      <c r="F58" t="inlineStr">
        <is>
          <t>2026-10-13</t>
        </is>
      </c>
      <c r="G58" t="inlineStr">
        <is>
          <t>Shelf_POSM_GazeMap</t>
        </is>
      </c>
      <c r="H58" t="inlineStr">
        <is>
          <t>Sensodyne_POSM_Wing</t>
        </is>
      </c>
      <c r="I58" t="n">
        <v>207664</v>
      </c>
      <c r="J58" t="n">
        <v>207664</v>
      </c>
      <c r="K58" t="n">
        <v>100</v>
      </c>
      <c r="L58" t="n">
        <v>80.5</v>
      </c>
      <c r="M58" t="n">
        <v>2554</v>
      </c>
      <c r="N58" t="n">
        <v>1</v>
      </c>
      <c r="O58" t="n">
        <v>7528</v>
      </c>
      <c r="P58" t="n">
        <v>1</v>
      </c>
      <c r="Q58" t="n">
        <v>0</v>
      </c>
      <c r="R58" t="n">
        <v>17</v>
      </c>
      <c r="S58" t="n">
        <v>2831</v>
      </c>
      <c r="T58" t="n">
        <v>2831</v>
      </c>
      <c r="U58" t="n">
        <v>2831</v>
      </c>
      <c r="V58" t="n">
        <v>6557</v>
      </c>
      <c r="W58" t="n">
        <v>3.16</v>
      </c>
      <c r="X58" t="n">
        <v>386</v>
      </c>
      <c r="Y58" t="n">
        <v>269</v>
      </c>
      <c r="Z58">
        <f>IF(L58&gt;=70,"Yes","No")</f>
        <v/>
      </c>
      <c r="AA58">
        <f>IF(ISNUMBER(T58),T58/1000,"")</f>
        <v/>
      </c>
      <c r="AB58">
        <f>IF(ISNUMBER(W58),W58,0)</f>
        <v/>
      </c>
      <c r="AC58">
        <f>IF(ISNUMBER(T58),1,0)</f>
        <v/>
      </c>
    </row>
    <row r="59">
      <c r="A59" t="inlineStr">
        <is>
          <t>SIMULATED_ShelfStudy_POSM_vs_NoPOSM</t>
        </is>
      </c>
      <c r="B59" t="inlineStr">
        <is>
          <t>P11</t>
        </is>
      </c>
      <c r="C59" t="inlineStr">
        <is>
          <t>F</t>
        </is>
      </c>
      <c r="D59" t="inlineStr">
        <is>
          <t>45-59</t>
        </is>
      </c>
      <c r="E59" t="inlineStr">
        <is>
          <t>POSM</t>
        </is>
      </c>
      <c r="F59" t="inlineStr">
        <is>
          <t>2026-10-13</t>
        </is>
      </c>
      <c r="G59" t="inlineStr">
        <is>
          <t>Shelf_POSM_GazeMap</t>
        </is>
      </c>
      <c r="H59" t="inlineStr">
        <is>
          <t>Competitor_A</t>
        </is>
      </c>
      <c r="I59" t="n">
        <v>207664</v>
      </c>
      <c r="J59" t="n">
        <v>207664</v>
      </c>
      <c r="K59" t="n">
        <v>100</v>
      </c>
      <c r="L59" t="n">
        <v>80.5</v>
      </c>
      <c r="M59" t="n">
        <v>3181</v>
      </c>
      <c r="N59" t="n">
        <v>2</v>
      </c>
      <c r="O59" t="n">
        <v>24264</v>
      </c>
      <c r="P59" t="n">
        <v>2</v>
      </c>
      <c r="Q59" t="n">
        <v>1</v>
      </c>
      <c r="R59" t="n">
        <v>86</v>
      </c>
      <c r="S59" t="n">
        <v>3440</v>
      </c>
      <c r="T59" t="n">
        <v>3440</v>
      </c>
      <c r="U59" t="n">
        <v>3440</v>
      </c>
      <c r="V59" t="n">
        <v>23197</v>
      </c>
      <c r="W59" t="n">
        <v>11.17</v>
      </c>
      <c r="X59" t="n">
        <v>270</v>
      </c>
      <c r="Y59" t="n">
        <v>157</v>
      </c>
      <c r="Z59">
        <f>IF(L59&gt;=70,"Yes","No")</f>
        <v/>
      </c>
      <c r="AA59">
        <f>IF(ISNUMBER(T59),T59/1000,"")</f>
        <v/>
      </c>
      <c r="AB59">
        <f>IF(ISNUMBER(W59),W59,0)</f>
        <v/>
      </c>
      <c r="AC59">
        <f>IF(ISNUMBER(T59),1,0)</f>
        <v/>
      </c>
    </row>
    <row r="60">
      <c r="A60" t="inlineStr">
        <is>
          <t>SIMULATED_ShelfStudy_POSM_vs_NoPOSM</t>
        </is>
      </c>
      <c r="B60" t="inlineStr">
        <is>
          <t>P11</t>
        </is>
      </c>
      <c r="C60" t="inlineStr">
        <is>
          <t>F</t>
        </is>
      </c>
      <c r="D60" t="inlineStr">
        <is>
          <t>45-59</t>
        </is>
      </c>
      <c r="E60" t="inlineStr">
        <is>
          <t>POSM</t>
        </is>
      </c>
      <c r="F60" t="inlineStr">
        <is>
          <t>2026-10-13</t>
        </is>
      </c>
      <c r="G60" t="inlineStr">
        <is>
          <t>Shelf_POSM_GazeMap</t>
        </is>
      </c>
      <c r="H60" t="inlineStr">
        <is>
          <t>Competitor_B</t>
        </is>
      </c>
      <c r="I60" t="n">
        <v>207664</v>
      </c>
      <c r="J60" t="n">
        <v>207664</v>
      </c>
      <c r="K60" t="n">
        <v>100</v>
      </c>
      <c r="L60" t="n">
        <v>80.5</v>
      </c>
      <c r="M60" t="n">
        <v>7425</v>
      </c>
      <c r="N60" t="n">
        <v>5</v>
      </c>
      <c r="O60" t="n">
        <v>16909</v>
      </c>
      <c r="P60" t="n">
        <v>5</v>
      </c>
      <c r="Q60" t="n">
        <v>4</v>
      </c>
      <c r="R60" t="n">
        <v>47</v>
      </c>
      <c r="S60" t="n">
        <v>7700</v>
      </c>
      <c r="T60" t="n">
        <v>7700</v>
      </c>
      <c r="U60" t="n">
        <v>7700</v>
      </c>
      <c r="V60" t="n">
        <v>16304</v>
      </c>
      <c r="W60" t="n">
        <v>7.85</v>
      </c>
      <c r="X60" t="n">
        <v>347</v>
      </c>
      <c r="Y60" t="n">
        <v>192</v>
      </c>
      <c r="Z60">
        <f>IF(L60&gt;=70,"Yes","No")</f>
        <v/>
      </c>
      <c r="AA60">
        <f>IF(ISNUMBER(T60),T60/1000,"")</f>
        <v/>
      </c>
      <c r="AB60">
        <f>IF(ISNUMBER(W60),W60,0)</f>
        <v/>
      </c>
      <c r="AC60">
        <f>IF(ISNUMBER(T60),1,0)</f>
        <v/>
      </c>
    </row>
    <row r="61">
      <c r="A61" t="inlineStr">
        <is>
          <t>SIMULATED_ShelfStudy_POSM_vs_NoPOSM</t>
        </is>
      </c>
      <c r="B61" t="inlineStr">
        <is>
          <t>P11</t>
        </is>
      </c>
      <c r="C61" t="inlineStr">
        <is>
          <t>F</t>
        </is>
      </c>
      <c r="D61" t="inlineStr">
        <is>
          <t>45-59</t>
        </is>
      </c>
      <c r="E61" t="inlineStr">
        <is>
          <t>POSM</t>
        </is>
      </c>
      <c r="F61" t="inlineStr">
        <is>
          <t>2026-10-13</t>
        </is>
      </c>
      <c r="G61" t="inlineStr">
        <is>
          <t>Shelf_POSM_GazeMap</t>
        </is>
      </c>
      <c r="H61" t="inlineStr">
        <is>
          <t>Price_Tags</t>
        </is>
      </c>
      <c r="I61" t="n">
        <v>207664</v>
      </c>
      <c r="J61" t="n">
        <v>207664</v>
      </c>
      <c r="K61" t="n">
        <v>100</v>
      </c>
      <c r="L61" t="n">
        <v>80.5</v>
      </c>
      <c r="M61" t="n">
        <v>11429</v>
      </c>
      <c r="N61" t="n">
        <v>2</v>
      </c>
      <c r="O61" t="n">
        <v>7706</v>
      </c>
      <c r="P61" t="n">
        <v>2</v>
      </c>
      <c r="Q61" t="n">
        <v>1</v>
      </c>
      <c r="R61" t="n">
        <v>32</v>
      </c>
      <c r="S61" t="n">
        <v>11517</v>
      </c>
      <c r="T61" t="n">
        <v>11517</v>
      </c>
      <c r="U61" t="n">
        <v>11517</v>
      </c>
      <c r="V61" t="n">
        <v>7310</v>
      </c>
      <c r="W61" t="n">
        <v>3.52</v>
      </c>
      <c r="X61" t="n">
        <v>228</v>
      </c>
      <c r="Y61" t="n">
        <v>502</v>
      </c>
      <c r="Z61">
        <f>IF(L61&gt;=70,"Yes","No")</f>
        <v/>
      </c>
      <c r="AA61">
        <f>IF(ISNUMBER(T61),T61/1000,"")</f>
        <v/>
      </c>
      <c r="AB61">
        <f>IF(ISNUMBER(W61),W61,0)</f>
        <v/>
      </c>
      <c r="AC61">
        <f>IF(ISNUMBER(T61),1,0)</f>
        <v/>
      </c>
    </row>
    <row r="62">
      <c r="A62" t="inlineStr">
        <is>
          <t>SIMULATED_ShelfStudy_POSM_vs_NoPOSM</t>
        </is>
      </c>
      <c r="B62" t="inlineStr">
        <is>
          <t>P11</t>
        </is>
      </c>
      <c r="C62" t="inlineStr">
        <is>
          <t>F</t>
        </is>
      </c>
      <c r="D62" t="inlineStr">
        <is>
          <t>45-59</t>
        </is>
      </c>
      <c r="E62" t="inlineStr">
        <is>
          <t>POSM</t>
        </is>
      </c>
      <c r="F62" t="inlineStr">
        <is>
          <t>2026-10-13</t>
        </is>
      </c>
      <c r="G62" t="inlineStr">
        <is>
          <t>Shelf_POSM_GazeMap</t>
        </is>
      </c>
      <c r="H62" t="inlineStr">
        <is>
          <t>Shelf_Other</t>
        </is>
      </c>
      <c r="I62" t="n">
        <v>207664</v>
      </c>
      <c r="J62" t="n">
        <v>207664</v>
      </c>
      <c r="K62" t="n">
        <v>100</v>
      </c>
      <c r="L62" t="n">
        <v>80.5</v>
      </c>
      <c r="M62" t="n">
        <v>860</v>
      </c>
      <c r="N62" t="n">
        <v>8</v>
      </c>
      <c r="O62" t="n">
        <v>24501</v>
      </c>
      <c r="P62" t="n">
        <v>8</v>
      </c>
      <c r="Q62" t="n">
        <v>7</v>
      </c>
      <c r="R62" t="n">
        <v>80</v>
      </c>
      <c r="S62" t="n">
        <v>1020</v>
      </c>
      <c r="T62" t="n">
        <v>1020</v>
      </c>
      <c r="U62" t="n">
        <v>1020</v>
      </c>
      <c r="V62" t="n">
        <v>23115</v>
      </c>
      <c r="W62" t="n">
        <v>11.13</v>
      </c>
      <c r="X62" t="n">
        <v>289</v>
      </c>
      <c r="Y62" t="n">
        <v>162</v>
      </c>
      <c r="Z62">
        <f>IF(L62&gt;=70,"Yes","No")</f>
        <v/>
      </c>
      <c r="AA62">
        <f>IF(ISNUMBER(T62),T62/1000,"")</f>
        <v/>
      </c>
      <c r="AB62">
        <f>IF(ISNUMBER(W62),W62,0)</f>
        <v/>
      </c>
      <c r="AC62">
        <f>IF(ISNUMBER(T62),1,0)</f>
        <v/>
      </c>
    </row>
    <row r="63">
      <c r="A63" t="inlineStr">
        <is>
          <t>SIMULATED_ShelfStudy_POSM_vs_NoPOSM</t>
        </is>
      </c>
      <c r="B63" t="inlineStr">
        <is>
          <t>P12</t>
        </is>
      </c>
      <c r="C63" t="inlineStr">
        <is>
          <t>M</t>
        </is>
      </c>
      <c r="D63" t="inlineStr">
        <is>
          <t>45-59</t>
        </is>
      </c>
      <c r="E63" t="inlineStr">
        <is>
          <t>NoPOSM</t>
        </is>
      </c>
      <c r="F63" t="inlineStr">
        <is>
          <t>2026-10-13</t>
        </is>
      </c>
      <c r="G63" t="inlineStr">
        <is>
          <t>Shelf_NoPOSM_GazeMap</t>
        </is>
      </c>
      <c r="H63" t="inlineStr">
        <is>
          <t>Sensodyne_Products</t>
        </is>
      </c>
      <c r="I63" t="n">
        <v>157818</v>
      </c>
      <c r="J63" t="n">
        <v>157818</v>
      </c>
      <c r="K63" t="n">
        <v>100</v>
      </c>
      <c r="L63" t="n">
        <v>74.59999999999999</v>
      </c>
      <c r="M63" t="n">
        <v>3218</v>
      </c>
      <c r="N63" t="n">
        <v>3</v>
      </c>
      <c r="O63" t="n">
        <v>13551</v>
      </c>
      <c r="P63" t="n">
        <v>3</v>
      </c>
      <c r="Q63" t="n">
        <v>2</v>
      </c>
      <c r="R63" t="n">
        <v>60</v>
      </c>
      <c r="S63" t="n">
        <v>3320</v>
      </c>
      <c r="T63" t="n">
        <v>3320</v>
      </c>
      <c r="U63" t="n">
        <v>3320</v>
      </c>
      <c r="V63" t="n">
        <v>12956</v>
      </c>
      <c r="W63" t="n">
        <v>8.210000000000001</v>
      </c>
      <c r="X63" t="n">
        <v>216</v>
      </c>
      <c r="Y63" t="n">
        <v>302</v>
      </c>
      <c r="Z63">
        <f>IF(L63&gt;=70,"Yes","No")</f>
        <v/>
      </c>
      <c r="AA63">
        <f>IF(ISNUMBER(T63),T63/1000,"")</f>
        <v/>
      </c>
      <c r="AB63">
        <f>IF(ISNUMBER(W63),W63,0)</f>
        <v/>
      </c>
      <c r="AC63">
        <f>IF(ISNUMBER(T63),1,0)</f>
        <v/>
      </c>
    </row>
    <row r="64">
      <c r="A64" t="inlineStr">
        <is>
          <t>SIMULATED_ShelfStudy_POSM_vs_NoPOSM</t>
        </is>
      </c>
      <c r="B64" t="inlineStr">
        <is>
          <t>P12</t>
        </is>
      </c>
      <c r="C64" t="inlineStr">
        <is>
          <t>M</t>
        </is>
      </c>
      <c r="D64" t="inlineStr">
        <is>
          <t>45-59</t>
        </is>
      </c>
      <c r="E64" t="inlineStr">
        <is>
          <t>NoPOSM</t>
        </is>
      </c>
      <c r="F64" t="inlineStr">
        <is>
          <t>2026-10-13</t>
        </is>
      </c>
      <c r="G64" t="inlineStr">
        <is>
          <t>Shelf_NoPOSM_GazeMap</t>
        </is>
      </c>
      <c r="H64" t="inlineStr">
        <is>
          <t>Competitor_A</t>
        </is>
      </c>
      <c r="I64" t="n">
        <v>157818</v>
      </c>
      <c r="J64" t="n">
        <v>157818</v>
      </c>
      <c r="K64" t="n">
        <v>100</v>
      </c>
      <c r="L64" t="n">
        <v>74.59999999999999</v>
      </c>
      <c r="M64" t="n">
        <v>2126</v>
      </c>
      <c r="N64" t="n">
        <v>6</v>
      </c>
      <c r="O64" t="n">
        <v>37737</v>
      </c>
      <c r="P64" t="n">
        <v>6</v>
      </c>
      <c r="Q64" t="n">
        <v>5</v>
      </c>
      <c r="R64" t="n">
        <v>118</v>
      </c>
      <c r="S64" t="n">
        <v>2368</v>
      </c>
      <c r="T64" t="n">
        <v>2368</v>
      </c>
      <c r="U64" t="n">
        <v>2368</v>
      </c>
      <c r="V64" t="n">
        <v>33085</v>
      </c>
      <c r="W64" t="n">
        <v>20.96</v>
      </c>
      <c r="X64" t="n">
        <v>280</v>
      </c>
      <c r="Y64" t="n">
        <v>292</v>
      </c>
      <c r="Z64">
        <f>IF(L64&gt;=70,"Yes","No")</f>
        <v/>
      </c>
      <c r="AA64">
        <f>IF(ISNUMBER(T64),T64/1000,"")</f>
        <v/>
      </c>
      <c r="AB64">
        <f>IF(ISNUMBER(W64),W64,0)</f>
        <v/>
      </c>
      <c r="AC64">
        <f>IF(ISNUMBER(T64),1,0)</f>
        <v/>
      </c>
    </row>
    <row r="65">
      <c r="A65" t="inlineStr">
        <is>
          <t>SIMULATED_ShelfStudy_POSM_vs_NoPOSM</t>
        </is>
      </c>
      <c r="B65" t="inlineStr">
        <is>
          <t>P12</t>
        </is>
      </c>
      <c r="C65" t="inlineStr">
        <is>
          <t>M</t>
        </is>
      </c>
      <c r="D65" t="inlineStr">
        <is>
          <t>45-59</t>
        </is>
      </c>
      <c r="E65" t="inlineStr">
        <is>
          <t>NoPOSM</t>
        </is>
      </c>
      <c r="F65" t="inlineStr">
        <is>
          <t>2026-10-13</t>
        </is>
      </c>
      <c r="G65" t="inlineStr">
        <is>
          <t>Shelf_NoPOSM_GazeMap</t>
        </is>
      </c>
      <c r="H65" t="inlineStr">
        <is>
          <t>Competitor_B</t>
        </is>
      </c>
      <c r="I65" t="n">
        <v>157818</v>
      </c>
      <c r="J65" t="n">
        <v>157818</v>
      </c>
      <c r="K65" t="n">
        <v>100</v>
      </c>
      <c r="L65" t="n">
        <v>74.59999999999999</v>
      </c>
      <c r="M65" t="n">
        <v>4705</v>
      </c>
      <c r="N65" t="n">
        <v>11</v>
      </c>
      <c r="O65" t="n">
        <v>43098</v>
      </c>
      <c r="P65" t="n">
        <v>10</v>
      </c>
      <c r="Q65" t="n">
        <v>9</v>
      </c>
      <c r="R65" t="n">
        <v>162</v>
      </c>
      <c r="S65" t="n">
        <v>4858</v>
      </c>
      <c r="T65" t="n">
        <v>4858</v>
      </c>
      <c r="U65" t="n">
        <v>4858</v>
      </c>
      <c r="V65" t="n">
        <v>39437</v>
      </c>
      <c r="W65" t="n">
        <v>24.99</v>
      </c>
      <c r="X65" t="n">
        <v>243</v>
      </c>
      <c r="Y65" t="n">
        <v>143</v>
      </c>
      <c r="Z65">
        <f>IF(L65&gt;=70,"Yes","No")</f>
        <v/>
      </c>
      <c r="AA65">
        <f>IF(ISNUMBER(T65),T65/1000,"")</f>
        <v/>
      </c>
      <c r="AB65">
        <f>IF(ISNUMBER(W65),W65,0)</f>
        <v/>
      </c>
      <c r="AC65">
        <f>IF(ISNUMBER(T65),1,0)</f>
        <v/>
      </c>
    </row>
    <row r="66">
      <c r="A66" t="inlineStr">
        <is>
          <t>SIMULATED_ShelfStudy_POSM_vs_NoPOSM</t>
        </is>
      </c>
      <c r="B66" t="inlineStr">
        <is>
          <t>P12</t>
        </is>
      </c>
      <c r="C66" t="inlineStr">
        <is>
          <t>M</t>
        </is>
      </c>
      <c r="D66" t="inlineStr">
        <is>
          <t>45-59</t>
        </is>
      </c>
      <c r="E66" t="inlineStr">
        <is>
          <t>NoPOSM</t>
        </is>
      </c>
      <c r="F66" t="inlineStr">
        <is>
          <t>2026-10-13</t>
        </is>
      </c>
      <c r="G66" t="inlineStr">
        <is>
          <t>Shelf_NoPOSM_GazeMap</t>
        </is>
      </c>
      <c r="H66" t="inlineStr">
        <is>
          <t>Price_Tags</t>
        </is>
      </c>
      <c r="I66" t="n">
        <v>157818</v>
      </c>
      <c r="J66" t="n">
        <v>157818</v>
      </c>
      <c r="K66" t="n">
        <v>100</v>
      </c>
      <c r="L66" t="n">
        <v>74.59999999999999</v>
      </c>
      <c r="M66" t="n">
        <v>8640</v>
      </c>
      <c r="N66" t="n">
        <v>2</v>
      </c>
      <c r="O66" t="n">
        <v>16925</v>
      </c>
      <c r="P66" t="n">
        <v>2</v>
      </c>
      <c r="Q66" t="n">
        <v>1</v>
      </c>
      <c r="R66" t="n">
        <v>48</v>
      </c>
      <c r="S66" t="n">
        <v>8739</v>
      </c>
      <c r="T66" t="n">
        <v>8739</v>
      </c>
      <c r="U66" t="n">
        <v>8739</v>
      </c>
      <c r="V66" t="n">
        <v>15051</v>
      </c>
      <c r="W66" t="n">
        <v>9.539999999999999</v>
      </c>
      <c r="X66" t="n">
        <v>314</v>
      </c>
      <c r="Y66" t="n">
        <v>190</v>
      </c>
      <c r="Z66">
        <f>IF(L66&gt;=70,"Yes","No")</f>
        <v/>
      </c>
      <c r="AA66">
        <f>IF(ISNUMBER(T66),T66/1000,"")</f>
        <v/>
      </c>
      <c r="AB66">
        <f>IF(ISNUMBER(W66),W66,0)</f>
        <v/>
      </c>
      <c r="AC66">
        <f>IF(ISNUMBER(T66),1,0)</f>
        <v/>
      </c>
    </row>
    <row r="67">
      <c r="A67" t="inlineStr">
        <is>
          <t>SIMULATED_ShelfStudy_POSM_vs_NoPOSM</t>
        </is>
      </c>
      <c r="B67" t="inlineStr">
        <is>
          <t>P12</t>
        </is>
      </c>
      <c r="C67" t="inlineStr">
        <is>
          <t>M</t>
        </is>
      </c>
      <c r="D67" t="inlineStr">
        <is>
          <t>45-59</t>
        </is>
      </c>
      <c r="E67" t="inlineStr">
        <is>
          <t>NoPOSM</t>
        </is>
      </c>
      <c r="F67" t="inlineStr">
        <is>
          <t>2026-10-13</t>
        </is>
      </c>
      <c r="G67" t="inlineStr">
        <is>
          <t>Shelf_NoPOSM_GazeMap</t>
        </is>
      </c>
      <c r="H67" t="inlineStr">
        <is>
          <t>Shelf_Other</t>
        </is>
      </c>
      <c r="I67" t="n">
        <v>157818</v>
      </c>
      <c r="J67" t="n">
        <v>157818</v>
      </c>
      <c r="K67" t="n">
        <v>100</v>
      </c>
      <c r="L67" t="n">
        <v>74.59999999999999</v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  <c r="U67" t="n">
        <v>157818</v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>
        <f>IF(L67&gt;=70,"Yes","No")</f>
        <v/>
      </c>
      <c r="AA67">
        <f>IF(ISNUMBER(T67),T67/1000,"")</f>
        <v/>
      </c>
      <c r="AB67">
        <f>IF(ISNUMBER(W67),W67,0)</f>
        <v/>
      </c>
      <c r="AC67">
        <f>IF(ISNUMBER(T67),1,0)</f>
        <v/>
      </c>
    </row>
    <row r="68">
      <c r="A68" t="inlineStr">
        <is>
          <t>SIMULATED_ShelfStudy_POSM_vs_NoPOSM</t>
        </is>
      </c>
      <c r="B68" t="inlineStr">
        <is>
          <t>P13</t>
        </is>
      </c>
      <c r="C68" t="inlineStr">
        <is>
          <t>F</t>
        </is>
      </c>
      <c r="D68" t="inlineStr">
        <is>
          <t>35-44</t>
        </is>
      </c>
      <c r="E68" t="inlineStr">
        <is>
          <t>POSM</t>
        </is>
      </c>
      <c r="F68" t="inlineStr">
        <is>
          <t>2026-10-14</t>
        </is>
      </c>
      <c r="G68" t="inlineStr">
        <is>
          <t>Shelf_POSM_GazeMap</t>
        </is>
      </c>
      <c r="H68" t="inlineStr">
        <is>
          <t>Sensodyne_Products</t>
        </is>
      </c>
      <c r="I68" t="n">
        <v>131329</v>
      </c>
      <c r="J68" t="n">
        <v>131329</v>
      </c>
      <c r="K68" t="n">
        <v>100</v>
      </c>
      <c r="L68" t="n">
        <v>89.90000000000001</v>
      </c>
      <c r="M68" t="n">
        <v>1065</v>
      </c>
      <c r="N68" t="n">
        <v>7</v>
      </c>
      <c r="O68" t="n">
        <v>40487</v>
      </c>
      <c r="P68" t="n">
        <v>7</v>
      </c>
      <c r="Q68" t="n">
        <v>6</v>
      </c>
      <c r="R68" t="n">
        <v>125</v>
      </c>
      <c r="S68" t="n">
        <v>1235</v>
      </c>
      <c r="T68" t="n">
        <v>1235</v>
      </c>
      <c r="U68" t="n">
        <v>1235</v>
      </c>
      <c r="V68" t="n">
        <v>36135</v>
      </c>
      <c r="W68" t="n">
        <v>27.51</v>
      </c>
      <c r="X68" t="n">
        <v>289</v>
      </c>
      <c r="Y68" t="n">
        <v>170</v>
      </c>
      <c r="Z68">
        <f>IF(L68&gt;=70,"Yes","No")</f>
        <v/>
      </c>
      <c r="AA68">
        <f>IF(ISNUMBER(T68),T68/1000,"")</f>
        <v/>
      </c>
      <c r="AB68">
        <f>IF(ISNUMBER(W68),W68,0)</f>
        <v/>
      </c>
      <c r="AC68">
        <f>IF(ISNUMBER(T68),1,0)</f>
        <v/>
      </c>
    </row>
    <row r="69">
      <c r="A69" t="inlineStr">
        <is>
          <t>SIMULATED_ShelfStudy_POSM_vs_NoPOSM</t>
        </is>
      </c>
      <c r="B69" t="inlineStr">
        <is>
          <t>P13</t>
        </is>
      </c>
      <c r="C69" t="inlineStr">
        <is>
          <t>F</t>
        </is>
      </c>
      <c r="D69" t="inlineStr">
        <is>
          <t>35-44</t>
        </is>
      </c>
      <c r="E69" t="inlineStr">
        <is>
          <t>POSM</t>
        </is>
      </c>
      <c r="F69" t="inlineStr">
        <is>
          <t>2026-10-14</t>
        </is>
      </c>
      <c r="G69" t="inlineStr">
        <is>
          <t>Shelf_POSM_GazeMap</t>
        </is>
      </c>
      <c r="H69" t="inlineStr">
        <is>
          <t>Sensodyne_POSM_Wing</t>
        </is>
      </c>
      <c r="I69" t="n">
        <v>131329</v>
      </c>
      <c r="J69" t="n">
        <v>131329</v>
      </c>
      <c r="K69" t="n">
        <v>100</v>
      </c>
      <c r="L69" t="n">
        <v>89.90000000000001</v>
      </c>
      <c r="M69" t="n">
        <v>687</v>
      </c>
      <c r="N69" t="n">
        <v>6</v>
      </c>
      <c r="O69" t="n">
        <v>14036</v>
      </c>
      <c r="P69" t="n">
        <v>5</v>
      </c>
      <c r="Q69" t="n">
        <v>4</v>
      </c>
      <c r="R69" t="n">
        <v>47</v>
      </c>
      <c r="S69" t="n">
        <v>774</v>
      </c>
      <c r="T69" t="n">
        <v>774</v>
      </c>
      <c r="U69" t="n">
        <v>774</v>
      </c>
      <c r="V69" t="n">
        <v>13420</v>
      </c>
      <c r="W69" t="n">
        <v>10.22</v>
      </c>
      <c r="X69" t="n">
        <v>286</v>
      </c>
      <c r="Y69" t="n">
        <v>382</v>
      </c>
      <c r="Z69">
        <f>IF(L69&gt;=70,"Yes","No")</f>
        <v/>
      </c>
      <c r="AA69">
        <f>IF(ISNUMBER(T69),T69/1000,"")</f>
        <v/>
      </c>
      <c r="AB69">
        <f>IF(ISNUMBER(W69),W69,0)</f>
        <v/>
      </c>
      <c r="AC69">
        <f>IF(ISNUMBER(T69),1,0)</f>
        <v/>
      </c>
    </row>
    <row r="70">
      <c r="A70" t="inlineStr">
        <is>
          <t>SIMULATED_ShelfStudy_POSM_vs_NoPOSM</t>
        </is>
      </c>
      <c r="B70" t="inlineStr">
        <is>
          <t>P13</t>
        </is>
      </c>
      <c r="C70" t="inlineStr">
        <is>
          <t>F</t>
        </is>
      </c>
      <c r="D70" t="inlineStr">
        <is>
          <t>35-44</t>
        </is>
      </c>
      <c r="E70" t="inlineStr">
        <is>
          <t>POSM</t>
        </is>
      </c>
      <c r="F70" t="inlineStr">
        <is>
          <t>2026-10-14</t>
        </is>
      </c>
      <c r="G70" t="inlineStr">
        <is>
          <t>Shelf_POSM_GazeMap</t>
        </is>
      </c>
      <c r="H70" t="inlineStr">
        <is>
          <t>Competitor_A</t>
        </is>
      </c>
      <c r="I70" t="n">
        <v>131329</v>
      </c>
      <c r="J70" t="n">
        <v>131329</v>
      </c>
      <c r="K70" t="n">
        <v>100</v>
      </c>
      <c r="L70" t="n">
        <v>89.90000000000001</v>
      </c>
      <c r="M70" t="n">
        <v>3778</v>
      </c>
      <c r="N70" t="n">
        <v>5</v>
      </c>
      <c r="O70" t="n">
        <v>22850</v>
      </c>
      <c r="P70" t="n">
        <v>4</v>
      </c>
      <c r="Q70" t="n">
        <v>3</v>
      </c>
      <c r="R70" t="n">
        <v>95</v>
      </c>
      <c r="S70" t="n">
        <v>3875</v>
      </c>
      <c r="T70" t="n">
        <v>3875</v>
      </c>
      <c r="U70" t="n">
        <v>3875</v>
      </c>
      <c r="V70" t="n">
        <v>20389</v>
      </c>
      <c r="W70" t="n">
        <v>15.52</v>
      </c>
      <c r="X70" t="n">
        <v>215</v>
      </c>
      <c r="Y70" t="n">
        <v>250</v>
      </c>
      <c r="Z70">
        <f>IF(L70&gt;=70,"Yes","No")</f>
        <v/>
      </c>
      <c r="AA70">
        <f>IF(ISNUMBER(T70),T70/1000,"")</f>
        <v/>
      </c>
      <c r="AB70">
        <f>IF(ISNUMBER(W70),W70,0)</f>
        <v/>
      </c>
      <c r="AC70">
        <f>IF(ISNUMBER(T70),1,0)</f>
        <v/>
      </c>
    </row>
    <row r="71">
      <c r="A71" t="inlineStr">
        <is>
          <t>SIMULATED_ShelfStudy_POSM_vs_NoPOSM</t>
        </is>
      </c>
      <c r="B71" t="inlineStr">
        <is>
          <t>P13</t>
        </is>
      </c>
      <c r="C71" t="inlineStr">
        <is>
          <t>F</t>
        </is>
      </c>
      <c r="D71" t="inlineStr">
        <is>
          <t>35-44</t>
        </is>
      </c>
      <c r="E71" t="inlineStr">
        <is>
          <t>POSM</t>
        </is>
      </c>
      <c r="F71" t="inlineStr">
        <is>
          <t>2026-10-14</t>
        </is>
      </c>
      <c r="G71" t="inlineStr">
        <is>
          <t>Shelf_POSM_GazeMap</t>
        </is>
      </c>
      <c r="H71" t="inlineStr">
        <is>
          <t>Competitor_B</t>
        </is>
      </c>
      <c r="I71" t="n">
        <v>131329</v>
      </c>
      <c r="J71" t="n">
        <v>131329</v>
      </c>
      <c r="K71" t="n">
        <v>100</v>
      </c>
      <c r="L71" t="n">
        <v>89.90000000000001</v>
      </c>
      <c r="M71" t="n">
        <v>5743</v>
      </c>
      <c r="N71" t="n">
        <v>3</v>
      </c>
      <c r="O71" t="n">
        <v>13790</v>
      </c>
      <c r="P71" t="n">
        <v>2</v>
      </c>
      <c r="Q71" t="n">
        <v>1</v>
      </c>
      <c r="R71" t="n">
        <v>79</v>
      </c>
      <c r="S71" t="n">
        <v>5966</v>
      </c>
      <c r="T71" t="n">
        <v>5966</v>
      </c>
      <c r="U71" t="n">
        <v>5966</v>
      </c>
      <c r="V71" t="n">
        <v>13193</v>
      </c>
      <c r="W71" t="n">
        <v>10.05</v>
      </c>
      <c r="X71" t="n">
        <v>167</v>
      </c>
      <c r="Y71" t="n">
        <v>166</v>
      </c>
      <c r="Z71">
        <f>IF(L71&gt;=70,"Yes","No")</f>
        <v/>
      </c>
      <c r="AA71">
        <f>IF(ISNUMBER(T71),T71/1000,"")</f>
        <v/>
      </c>
      <c r="AB71">
        <f>IF(ISNUMBER(W71),W71,0)</f>
        <v/>
      </c>
      <c r="AC71">
        <f>IF(ISNUMBER(T71),1,0)</f>
        <v/>
      </c>
    </row>
    <row r="72">
      <c r="A72" t="inlineStr">
        <is>
          <t>SIMULATED_ShelfStudy_POSM_vs_NoPOSM</t>
        </is>
      </c>
      <c r="B72" t="inlineStr">
        <is>
          <t>P13</t>
        </is>
      </c>
      <c r="C72" t="inlineStr">
        <is>
          <t>F</t>
        </is>
      </c>
      <c r="D72" t="inlineStr">
        <is>
          <t>35-44</t>
        </is>
      </c>
      <c r="E72" t="inlineStr">
        <is>
          <t>POSM</t>
        </is>
      </c>
      <c r="F72" t="inlineStr">
        <is>
          <t>2026-10-14</t>
        </is>
      </c>
      <c r="G72" t="inlineStr">
        <is>
          <t>Shelf_POSM_GazeMap</t>
        </is>
      </c>
      <c r="H72" t="inlineStr">
        <is>
          <t>Price_Tags</t>
        </is>
      </c>
      <c r="I72" t="n">
        <v>131329</v>
      </c>
      <c r="J72" t="n">
        <v>131329</v>
      </c>
      <c r="K72" t="n">
        <v>100</v>
      </c>
      <c r="L72" t="n">
        <v>89.90000000000001</v>
      </c>
      <c r="M72" t="n">
        <v>7612</v>
      </c>
      <c r="N72" t="n">
        <v>3</v>
      </c>
      <c r="O72" t="n">
        <v>13048</v>
      </c>
      <c r="P72" t="n">
        <v>2</v>
      </c>
      <c r="Q72" t="n">
        <v>1</v>
      </c>
      <c r="R72" t="n">
        <v>42</v>
      </c>
      <c r="S72" t="n">
        <v>7900</v>
      </c>
      <c r="T72" t="n">
        <v>7900</v>
      </c>
      <c r="U72" t="n">
        <v>7900</v>
      </c>
      <c r="V72" t="n">
        <v>12072</v>
      </c>
      <c r="W72" t="n">
        <v>9.19</v>
      </c>
      <c r="X72" t="n">
        <v>287</v>
      </c>
      <c r="Y72" t="n">
        <v>211</v>
      </c>
      <c r="Z72">
        <f>IF(L72&gt;=70,"Yes","No")</f>
        <v/>
      </c>
      <c r="AA72">
        <f>IF(ISNUMBER(T72),T72/1000,"")</f>
        <v/>
      </c>
      <c r="AB72">
        <f>IF(ISNUMBER(W72),W72,0)</f>
        <v/>
      </c>
      <c r="AC72">
        <f>IF(ISNUMBER(T72),1,0)</f>
        <v/>
      </c>
    </row>
    <row r="73">
      <c r="A73" t="inlineStr">
        <is>
          <t>SIMULATED_ShelfStudy_POSM_vs_NoPOSM</t>
        </is>
      </c>
      <c r="B73" t="inlineStr">
        <is>
          <t>P13</t>
        </is>
      </c>
      <c r="C73" t="inlineStr">
        <is>
          <t>F</t>
        </is>
      </c>
      <c r="D73" t="inlineStr">
        <is>
          <t>35-44</t>
        </is>
      </c>
      <c r="E73" t="inlineStr">
        <is>
          <t>POSM</t>
        </is>
      </c>
      <c r="F73" t="inlineStr">
        <is>
          <t>2026-10-14</t>
        </is>
      </c>
      <c r="G73" t="inlineStr">
        <is>
          <t>Shelf_POSM_GazeMap</t>
        </is>
      </c>
      <c r="H73" t="inlineStr">
        <is>
          <t>Shelf_Other</t>
        </is>
      </c>
      <c r="I73" t="n">
        <v>131329</v>
      </c>
      <c r="J73" t="n">
        <v>131329</v>
      </c>
      <c r="K73" t="n">
        <v>100</v>
      </c>
      <c r="L73" t="n">
        <v>89.90000000000001</v>
      </c>
      <c r="M73" t="n">
        <v>937</v>
      </c>
      <c r="N73" t="n">
        <v>2</v>
      </c>
      <c r="O73" t="n">
        <v>23657</v>
      </c>
      <c r="P73" t="n">
        <v>2</v>
      </c>
      <c r="Q73" t="n">
        <v>1</v>
      </c>
      <c r="R73" t="n">
        <v>71</v>
      </c>
      <c r="S73" t="n">
        <v>1170</v>
      </c>
      <c r="T73" t="n">
        <v>1170</v>
      </c>
      <c r="U73" t="n">
        <v>1170</v>
      </c>
      <c r="V73" t="n">
        <v>20973</v>
      </c>
      <c r="W73" t="n">
        <v>15.97</v>
      </c>
      <c r="X73" t="n">
        <v>295</v>
      </c>
      <c r="Y73" t="n">
        <v>246</v>
      </c>
      <c r="Z73">
        <f>IF(L73&gt;=70,"Yes","No")</f>
        <v/>
      </c>
      <c r="AA73">
        <f>IF(ISNUMBER(T73),T73/1000,"")</f>
        <v/>
      </c>
      <c r="AB73">
        <f>IF(ISNUMBER(W73),W73,0)</f>
        <v/>
      </c>
      <c r="AC73">
        <f>IF(ISNUMBER(T73),1,0)</f>
        <v/>
      </c>
    </row>
    <row r="74">
      <c r="A74" t="inlineStr">
        <is>
          <t>SIMULATED_ShelfStudy_POSM_vs_NoPOSM</t>
        </is>
      </c>
      <c r="B74" t="inlineStr">
        <is>
          <t>P14</t>
        </is>
      </c>
      <c r="C74" t="inlineStr">
        <is>
          <t>F</t>
        </is>
      </c>
      <c r="D74" t="inlineStr">
        <is>
          <t>18-24</t>
        </is>
      </c>
      <c r="E74" t="inlineStr">
        <is>
          <t>NoPOSM</t>
        </is>
      </c>
      <c r="F74" t="inlineStr">
        <is>
          <t>2026-10-14</t>
        </is>
      </c>
      <c r="G74" t="inlineStr">
        <is>
          <t>Shelf_NoPOSM_GazeMap</t>
        </is>
      </c>
      <c r="H74" t="inlineStr">
        <is>
          <t>Sensodyne_Products</t>
        </is>
      </c>
      <c r="I74" t="n">
        <v>167226</v>
      </c>
      <c r="J74" t="n">
        <v>167226</v>
      </c>
      <c r="K74" t="n">
        <v>100</v>
      </c>
      <c r="L74" t="n">
        <v>95.5</v>
      </c>
      <c r="M74" t="n">
        <v>5786</v>
      </c>
      <c r="N74" t="n">
        <v>2</v>
      </c>
      <c r="O74" t="n">
        <v>18917</v>
      </c>
      <c r="P74" t="n">
        <v>2</v>
      </c>
      <c r="Q74" t="n">
        <v>1</v>
      </c>
      <c r="R74" t="n">
        <v>51</v>
      </c>
      <c r="S74" t="n">
        <v>5872</v>
      </c>
      <c r="T74" t="n">
        <v>5872</v>
      </c>
      <c r="U74" t="n">
        <v>5872</v>
      </c>
      <c r="V74" t="n">
        <v>16957</v>
      </c>
      <c r="W74" t="n">
        <v>10.14</v>
      </c>
      <c r="X74" t="n">
        <v>332</v>
      </c>
      <c r="Y74" t="n">
        <v>201</v>
      </c>
      <c r="Z74">
        <f>IF(L74&gt;=70,"Yes","No")</f>
        <v/>
      </c>
      <c r="AA74">
        <f>IF(ISNUMBER(T74),T74/1000,"")</f>
        <v/>
      </c>
      <c r="AB74">
        <f>IF(ISNUMBER(W74),W74,0)</f>
        <v/>
      </c>
      <c r="AC74">
        <f>IF(ISNUMBER(T74),1,0)</f>
        <v/>
      </c>
    </row>
    <row r="75">
      <c r="A75" t="inlineStr">
        <is>
          <t>SIMULATED_ShelfStudy_POSM_vs_NoPOSM</t>
        </is>
      </c>
      <c r="B75" t="inlineStr">
        <is>
          <t>P14</t>
        </is>
      </c>
      <c r="C75" t="inlineStr">
        <is>
          <t>F</t>
        </is>
      </c>
      <c r="D75" t="inlineStr">
        <is>
          <t>18-24</t>
        </is>
      </c>
      <c r="E75" t="inlineStr">
        <is>
          <t>NoPOSM</t>
        </is>
      </c>
      <c r="F75" t="inlineStr">
        <is>
          <t>2026-10-14</t>
        </is>
      </c>
      <c r="G75" t="inlineStr">
        <is>
          <t>Shelf_NoPOSM_GazeMap</t>
        </is>
      </c>
      <c r="H75" t="inlineStr">
        <is>
          <t>Competitor_A</t>
        </is>
      </c>
      <c r="I75" t="n">
        <v>167226</v>
      </c>
      <c r="J75" t="n">
        <v>167226</v>
      </c>
      <c r="K75" t="n">
        <v>100</v>
      </c>
      <c r="L75" t="n">
        <v>95.5</v>
      </c>
      <c r="M75" t="n">
        <v>1769</v>
      </c>
      <c r="N75" t="n">
        <v>6</v>
      </c>
      <c r="O75" t="n">
        <v>40467</v>
      </c>
      <c r="P75" t="n">
        <v>5</v>
      </c>
      <c r="Q75" t="n">
        <v>4</v>
      </c>
      <c r="R75" t="n">
        <v>165</v>
      </c>
      <c r="S75" t="n">
        <v>1936</v>
      </c>
      <c r="T75" t="n">
        <v>1936</v>
      </c>
      <c r="U75" t="n">
        <v>1936</v>
      </c>
      <c r="V75" t="n">
        <v>38444</v>
      </c>
      <c r="W75" t="n">
        <v>22.99</v>
      </c>
      <c r="X75" t="n">
        <v>233</v>
      </c>
      <c r="Y75" t="n">
        <v>307</v>
      </c>
      <c r="Z75">
        <f>IF(L75&gt;=70,"Yes","No")</f>
        <v/>
      </c>
      <c r="AA75">
        <f>IF(ISNUMBER(T75),T75/1000,"")</f>
        <v/>
      </c>
      <c r="AB75">
        <f>IF(ISNUMBER(W75),W75,0)</f>
        <v/>
      </c>
      <c r="AC75">
        <f>IF(ISNUMBER(T75),1,0)</f>
        <v/>
      </c>
    </row>
    <row r="76">
      <c r="A76" t="inlineStr">
        <is>
          <t>SIMULATED_ShelfStudy_POSM_vs_NoPOSM</t>
        </is>
      </c>
      <c r="B76" t="inlineStr">
        <is>
          <t>P14</t>
        </is>
      </c>
      <c r="C76" t="inlineStr">
        <is>
          <t>F</t>
        </is>
      </c>
      <c r="D76" t="inlineStr">
        <is>
          <t>18-24</t>
        </is>
      </c>
      <c r="E76" t="inlineStr">
        <is>
          <t>NoPOSM</t>
        </is>
      </c>
      <c r="F76" t="inlineStr">
        <is>
          <t>2026-10-14</t>
        </is>
      </c>
      <c r="G76" t="inlineStr">
        <is>
          <t>Shelf_NoPOSM_GazeMap</t>
        </is>
      </c>
      <c r="H76" t="inlineStr">
        <is>
          <t>Competitor_B</t>
        </is>
      </c>
      <c r="I76" t="n">
        <v>167226</v>
      </c>
      <c r="J76" t="n">
        <v>167226</v>
      </c>
      <c r="K76" t="n">
        <v>100</v>
      </c>
      <c r="L76" t="n">
        <v>95.5</v>
      </c>
      <c r="M76" t="n">
        <v>3101</v>
      </c>
      <c r="N76" t="n">
        <v>2</v>
      </c>
      <c r="O76" t="n">
        <v>25270</v>
      </c>
      <c r="P76" t="n">
        <v>2</v>
      </c>
      <c r="Q76" t="n">
        <v>1</v>
      </c>
      <c r="R76" t="n">
        <v>69</v>
      </c>
      <c r="S76" t="n">
        <v>3305</v>
      </c>
      <c r="T76" t="n">
        <v>3305</v>
      </c>
      <c r="U76" t="n">
        <v>3305</v>
      </c>
      <c r="V76" t="n">
        <v>23104</v>
      </c>
      <c r="W76" t="n">
        <v>13.82</v>
      </c>
      <c r="X76" t="n">
        <v>335</v>
      </c>
      <c r="Y76" t="n">
        <v>297</v>
      </c>
      <c r="Z76">
        <f>IF(L76&gt;=70,"Yes","No")</f>
        <v/>
      </c>
      <c r="AA76">
        <f>IF(ISNUMBER(T76),T76/1000,"")</f>
        <v/>
      </c>
      <c r="AB76">
        <f>IF(ISNUMBER(W76),W76,0)</f>
        <v/>
      </c>
      <c r="AC76">
        <f>IF(ISNUMBER(T76),1,0)</f>
        <v/>
      </c>
    </row>
    <row r="77">
      <c r="A77" t="inlineStr">
        <is>
          <t>SIMULATED_ShelfStudy_POSM_vs_NoPOSM</t>
        </is>
      </c>
      <c r="B77" t="inlineStr">
        <is>
          <t>P14</t>
        </is>
      </c>
      <c r="C77" t="inlineStr">
        <is>
          <t>F</t>
        </is>
      </c>
      <c r="D77" t="inlineStr">
        <is>
          <t>18-24</t>
        </is>
      </c>
      <c r="E77" t="inlineStr">
        <is>
          <t>NoPOSM</t>
        </is>
      </c>
      <c r="F77" t="inlineStr">
        <is>
          <t>2026-10-14</t>
        </is>
      </c>
      <c r="G77" t="inlineStr">
        <is>
          <t>Shelf_NoPOSM_GazeMap</t>
        </is>
      </c>
      <c r="H77" t="inlineStr">
        <is>
          <t>Price_Tags</t>
        </is>
      </c>
      <c r="I77" t="n">
        <v>167226</v>
      </c>
      <c r="J77" t="n">
        <v>167226</v>
      </c>
      <c r="K77" t="n">
        <v>100</v>
      </c>
      <c r="L77" t="n">
        <v>95.5</v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NA</t>
        </is>
      </c>
      <c r="U77" t="n">
        <v>167226</v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>
        <f>IF(L77&gt;=70,"Yes","No")</f>
        <v/>
      </c>
      <c r="AA77">
        <f>IF(ISNUMBER(T77),T77/1000,"")</f>
        <v/>
      </c>
      <c r="AB77">
        <f>IF(ISNUMBER(W77),W77,0)</f>
        <v/>
      </c>
      <c r="AC77">
        <f>IF(ISNUMBER(T77),1,0)</f>
        <v/>
      </c>
    </row>
    <row r="78">
      <c r="A78" t="inlineStr">
        <is>
          <t>SIMULATED_ShelfStudy_POSM_vs_NoPOSM</t>
        </is>
      </c>
      <c r="B78" t="inlineStr">
        <is>
          <t>P14</t>
        </is>
      </c>
      <c r="C78" t="inlineStr">
        <is>
          <t>F</t>
        </is>
      </c>
      <c r="D78" t="inlineStr">
        <is>
          <t>18-24</t>
        </is>
      </c>
      <c r="E78" t="inlineStr">
        <is>
          <t>NoPOSM</t>
        </is>
      </c>
      <c r="F78" t="inlineStr">
        <is>
          <t>2026-10-14</t>
        </is>
      </c>
      <c r="G78" t="inlineStr">
        <is>
          <t>Shelf_NoPOSM_GazeMap</t>
        </is>
      </c>
      <c r="H78" t="inlineStr">
        <is>
          <t>Shelf_Other</t>
        </is>
      </c>
      <c r="I78" t="n">
        <v>167226</v>
      </c>
      <c r="J78" t="n">
        <v>167226</v>
      </c>
      <c r="K78" t="n">
        <v>100</v>
      </c>
      <c r="L78" t="n">
        <v>95.5</v>
      </c>
      <c r="M78" t="n">
        <v>930</v>
      </c>
      <c r="N78" t="n">
        <v>3</v>
      </c>
      <c r="O78" t="n">
        <v>15641</v>
      </c>
      <c r="P78" t="n">
        <v>2</v>
      </c>
      <c r="Q78" t="n">
        <v>1</v>
      </c>
      <c r="R78" t="n">
        <v>50</v>
      </c>
      <c r="S78" t="n">
        <v>1016</v>
      </c>
      <c r="T78" t="n">
        <v>1016</v>
      </c>
      <c r="U78" t="n">
        <v>1016</v>
      </c>
      <c r="V78" t="n">
        <v>14380</v>
      </c>
      <c r="W78" t="n">
        <v>8.6</v>
      </c>
      <c r="X78" t="n">
        <v>288</v>
      </c>
      <c r="Y78" t="n">
        <v>159</v>
      </c>
      <c r="Z78">
        <f>IF(L78&gt;=70,"Yes","No")</f>
        <v/>
      </c>
      <c r="AA78">
        <f>IF(ISNUMBER(T78),T78/1000,"")</f>
        <v/>
      </c>
      <c r="AB78">
        <f>IF(ISNUMBER(W78),W78,0)</f>
        <v/>
      </c>
      <c r="AC78">
        <f>IF(ISNUMBER(T78),1,0)</f>
        <v/>
      </c>
    </row>
    <row r="79">
      <c r="A79" t="inlineStr">
        <is>
          <t>SIMULATED_ShelfStudy_POSM_vs_NoPOSM</t>
        </is>
      </c>
      <c r="B79" t="inlineStr">
        <is>
          <t>P15</t>
        </is>
      </c>
      <c r="C79" t="inlineStr">
        <is>
          <t>M</t>
        </is>
      </c>
      <c r="D79" t="inlineStr">
        <is>
          <t>35-44</t>
        </is>
      </c>
      <c r="E79" t="inlineStr">
        <is>
          <t>POSM</t>
        </is>
      </c>
      <c r="F79" t="inlineStr">
        <is>
          <t>2026-10-14</t>
        </is>
      </c>
      <c r="G79" t="inlineStr">
        <is>
          <t>Shelf_POSM_GazeMap</t>
        </is>
      </c>
      <c r="H79" t="inlineStr">
        <is>
          <t>Sensodyne_Products</t>
        </is>
      </c>
      <c r="I79" t="n">
        <v>148798</v>
      </c>
      <c r="J79" t="n">
        <v>148798</v>
      </c>
      <c r="K79" t="n">
        <v>100</v>
      </c>
      <c r="L79" t="n">
        <v>87.59999999999999</v>
      </c>
      <c r="M79" t="n">
        <v>2943</v>
      </c>
      <c r="N79" t="n">
        <v>9</v>
      </c>
      <c r="O79" t="n">
        <v>42621</v>
      </c>
      <c r="P79" t="n">
        <v>8</v>
      </c>
      <c r="Q79" t="n">
        <v>7</v>
      </c>
      <c r="R79" t="n">
        <v>124</v>
      </c>
      <c r="S79" t="n">
        <v>3064</v>
      </c>
      <c r="T79" t="n">
        <v>3064</v>
      </c>
      <c r="U79" t="n">
        <v>3064</v>
      </c>
      <c r="V79" t="n">
        <v>37552</v>
      </c>
      <c r="W79" t="n">
        <v>25.24</v>
      </c>
      <c r="X79" t="n">
        <v>303</v>
      </c>
      <c r="Y79" t="n">
        <v>266</v>
      </c>
      <c r="Z79">
        <f>IF(L79&gt;=70,"Yes","No")</f>
        <v/>
      </c>
      <c r="AA79">
        <f>IF(ISNUMBER(T79),T79/1000,"")</f>
        <v/>
      </c>
      <c r="AB79">
        <f>IF(ISNUMBER(W79),W79,0)</f>
        <v/>
      </c>
      <c r="AC79">
        <f>IF(ISNUMBER(T79),1,0)</f>
        <v/>
      </c>
    </row>
    <row r="80">
      <c r="A80" t="inlineStr">
        <is>
          <t>SIMULATED_ShelfStudy_POSM_vs_NoPOSM</t>
        </is>
      </c>
      <c r="B80" t="inlineStr">
        <is>
          <t>P15</t>
        </is>
      </c>
      <c r="C80" t="inlineStr">
        <is>
          <t>M</t>
        </is>
      </c>
      <c r="D80" t="inlineStr">
        <is>
          <t>35-44</t>
        </is>
      </c>
      <c r="E80" t="inlineStr">
        <is>
          <t>POSM</t>
        </is>
      </c>
      <c r="F80" t="inlineStr">
        <is>
          <t>2026-10-14</t>
        </is>
      </c>
      <c r="G80" t="inlineStr">
        <is>
          <t>Shelf_POSM_GazeMap</t>
        </is>
      </c>
      <c r="H80" t="inlineStr">
        <is>
          <t>Sensodyne_POSM_Wing</t>
        </is>
      </c>
      <c r="I80" t="n">
        <v>148798</v>
      </c>
      <c r="J80" t="n">
        <v>148798</v>
      </c>
      <c r="K80" t="n">
        <v>100</v>
      </c>
      <c r="L80" t="n">
        <v>87.59999999999999</v>
      </c>
      <c r="M80" t="n">
        <v>1407</v>
      </c>
      <c r="N80" t="n">
        <v>2</v>
      </c>
      <c r="O80" t="n">
        <v>9670</v>
      </c>
      <c r="P80" t="n">
        <v>2</v>
      </c>
      <c r="Q80" t="n">
        <v>1</v>
      </c>
      <c r="R80" t="n">
        <v>31</v>
      </c>
      <c r="S80" t="n">
        <v>1696</v>
      </c>
      <c r="T80" t="n">
        <v>1696</v>
      </c>
      <c r="U80" t="n">
        <v>1696</v>
      </c>
      <c r="V80" t="n">
        <v>8572</v>
      </c>
      <c r="W80" t="n">
        <v>5.76</v>
      </c>
      <c r="X80" t="n">
        <v>277</v>
      </c>
      <c r="Y80" t="n">
        <v>147</v>
      </c>
      <c r="Z80">
        <f>IF(L80&gt;=70,"Yes","No")</f>
        <v/>
      </c>
      <c r="AA80">
        <f>IF(ISNUMBER(T80),T80/1000,"")</f>
        <v/>
      </c>
      <c r="AB80">
        <f>IF(ISNUMBER(W80),W80,0)</f>
        <v/>
      </c>
      <c r="AC80">
        <f>IF(ISNUMBER(T80),1,0)</f>
        <v/>
      </c>
    </row>
    <row r="81">
      <c r="A81" t="inlineStr">
        <is>
          <t>SIMULATED_ShelfStudy_POSM_vs_NoPOSM</t>
        </is>
      </c>
      <c r="B81" t="inlineStr">
        <is>
          <t>P15</t>
        </is>
      </c>
      <c r="C81" t="inlineStr">
        <is>
          <t>M</t>
        </is>
      </c>
      <c r="D81" t="inlineStr">
        <is>
          <t>35-44</t>
        </is>
      </c>
      <c r="E81" t="inlineStr">
        <is>
          <t>POSM</t>
        </is>
      </c>
      <c r="F81" t="inlineStr">
        <is>
          <t>2026-10-14</t>
        </is>
      </c>
      <c r="G81" t="inlineStr">
        <is>
          <t>Shelf_POSM_GazeMap</t>
        </is>
      </c>
      <c r="H81" t="inlineStr">
        <is>
          <t>Competitor_A</t>
        </is>
      </c>
      <c r="I81" t="n">
        <v>148798</v>
      </c>
      <c r="J81" t="n">
        <v>148798</v>
      </c>
      <c r="K81" t="n">
        <v>100</v>
      </c>
      <c r="L81" t="n">
        <v>87.59999999999999</v>
      </c>
      <c r="M81" t="n">
        <v>3852</v>
      </c>
      <c r="N81" t="n">
        <v>7</v>
      </c>
      <c r="O81" t="n">
        <v>26362</v>
      </c>
      <c r="P81" t="n">
        <v>7</v>
      </c>
      <c r="Q81" t="n">
        <v>6</v>
      </c>
      <c r="R81" t="n">
        <v>95</v>
      </c>
      <c r="S81" t="n">
        <v>4100</v>
      </c>
      <c r="T81" t="n">
        <v>4100</v>
      </c>
      <c r="U81" t="n">
        <v>4100</v>
      </c>
      <c r="V81" t="n">
        <v>24900</v>
      </c>
      <c r="W81" t="n">
        <v>16.73</v>
      </c>
      <c r="X81" t="n">
        <v>262</v>
      </c>
      <c r="Y81" t="n">
        <v>320</v>
      </c>
      <c r="Z81">
        <f>IF(L81&gt;=70,"Yes","No")</f>
        <v/>
      </c>
      <c r="AA81">
        <f>IF(ISNUMBER(T81),T81/1000,"")</f>
        <v/>
      </c>
      <c r="AB81">
        <f>IF(ISNUMBER(W81),W81,0)</f>
        <v/>
      </c>
      <c r="AC81">
        <f>IF(ISNUMBER(T81),1,0)</f>
        <v/>
      </c>
    </row>
    <row r="82">
      <c r="A82" t="inlineStr">
        <is>
          <t>SIMULATED_ShelfStudy_POSM_vs_NoPOSM</t>
        </is>
      </c>
      <c r="B82" t="inlineStr">
        <is>
          <t>P15</t>
        </is>
      </c>
      <c r="C82" t="inlineStr">
        <is>
          <t>M</t>
        </is>
      </c>
      <c r="D82" t="inlineStr">
        <is>
          <t>35-44</t>
        </is>
      </c>
      <c r="E82" t="inlineStr">
        <is>
          <t>POSM</t>
        </is>
      </c>
      <c r="F82" t="inlineStr">
        <is>
          <t>2026-10-14</t>
        </is>
      </c>
      <c r="G82" t="inlineStr">
        <is>
          <t>Shelf_POSM_GazeMap</t>
        </is>
      </c>
      <c r="H82" t="inlineStr">
        <is>
          <t>Competitor_B</t>
        </is>
      </c>
      <c r="I82" t="n">
        <v>148798</v>
      </c>
      <c r="J82" t="n">
        <v>148798</v>
      </c>
      <c r="K82" t="n">
        <v>100</v>
      </c>
      <c r="L82" t="n">
        <v>87.59999999999999</v>
      </c>
      <c r="M82" t="n">
        <v>5868</v>
      </c>
      <c r="N82" t="n">
        <v>3</v>
      </c>
      <c r="O82" t="n">
        <v>18139</v>
      </c>
      <c r="P82" t="n">
        <v>3</v>
      </c>
      <c r="Q82" t="n">
        <v>2</v>
      </c>
      <c r="R82" t="n">
        <v>46</v>
      </c>
      <c r="S82" t="n">
        <v>6077</v>
      </c>
      <c r="T82" t="n">
        <v>6077</v>
      </c>
      <c r="U82" t="n">
        <v>6077</v>
      </c>
      <c r="V82" t="n">
        <v>16332</v>
      </c>
      <c r="W82" t="n">
        <v>10.98</v>
      </c>
      <c r="X82" t="n">
        <v>355</v>
      </c>
      <c r="Y82" t="n">
        <v>242</v>
      </c>
      <c r="Z82">
        <f>IF(L82&gt;=70,"Yes","No")</f>
        <v/>
      </c>
      <c r="AA82">
        <f>IF(ISNUMBER(T82),T82/1000,"")</f>
        <v/>
      </c>
      <c r="AB82">
        <f>IF(ISNUMBER(W82),W82,0)</f>
        <v/>
      </c>
      <c r="AC82">
        <f>IF(ISNUMBER(T82),1,0)</f>
        <v/>
      </c>
    </row>
    <row r="83">
      <c r="A83" t="inlineStr">
        <is>
          <t>SIMULATED_ShelfStudy_POSM_vs_NoPOSM</t>
        </is>
      </c>
      <c r="B83" t="inlineStr">
        <is>
          <t>P15</t>
        </is>
      </c>
      <c r="C83" t="inlineStr">
        <is>
          <t>M</t>
        </is>
      </c>
      <c r="D83" t="inlineStr">
        <is>
          <t>35-44</t>
        </is>
      </c>
      <c r="E83" t="inlineStr">
        <is>
          <t>POSM</t>
        </is>
      </c>
      <c r="F83" t="inlineStr">
        <is>
          <t>2026-10-14</t>
        </is>
      </c>
      <c r="G83" t="inlineStr">
        <is>
          <t>Shelf_POSM_GazeMap</t>
        </is>
      </c>
      <c r="H83" t="inlineStr">
        <is>
          <t>Price_Tags</t>
        </is>
      </c>
      <c r="I83" t="n">
        <v>148798</v>
      </c>
      <c r="J83" t="n">
        <v>148798</v>
      </c>
      <c r="K83" t="n">
        <v>100</v>
      </c>
      <c r="L83" t="n">
        <v>87.59999999999999</v>
      </c>
      <c r="M83" t="n">
        <v>11786</v>
      </c>
      <c r="N83" t="n">
        <v>4</v>
      </c>
      <c r="O83" t="n">
        <v>18056</v>
      </c>
      <c r="P83" t="n">
        <v>3</v>
      </c>
      <c r="Q83" t="n">
        <v>2</v>
      </c>
      <c r="R83" t="n">
        <v>47</v>
      </c>
      <c r="S83" t="n">
        <v>12067</v>
      </c>
      <c r="T83" t="n">
        <v>12067</v>
      </c>
      <c r="U83" t="n">
        <v>12067</v>
      </c>
      <c r="V83" t="n">
        <v>16209</v>
      </c>
      <c r="W83" t="n">
        <v>10.89</v>
      </c>
      <c r="X83" t="n">
        <v>345</v>
      </c>
      <c r="Y83" t="n">
        <v>261</v>
      </c>
      <c r="Z83">
        <f>IF(L83&gt;=70,"Yes","No")</f>
        <v/>
      </c>
      <c r="AA83">
        <f>IF(ISNUMBER(T83),T83/1000,"")</f>
        <v/>
      </c>
      <c r="AB83">
        <f>IF(ISNUMBER(W83),W83,0)</f>
        <v/>
      </c>
      <c r="AC83">
        <f>IF(ISNUMBER(T83),1,0)</f>
        <v/>
      </c>
    </row>
    <row r="84">
      <c r="A84" t="inlineStr">
        <is>
          <t>SIMULATED_ShelfStudy_POSM_vs_NoPOSM</t>
        </is>
      </c>
      <c r="B84" t="inlineStr">
        <is>
          <t>P15</t>
        </is>
      </c>
      <c r="C84" t="inlineStr">
        <is>
          <t>M</t>
        </is>
      </c>
      <c r="D84" t="inlineStr">
        <is>
          <t>35-44</t>
        </is>
      </c>
      <c r="E84" t="inlineStr">
        <is>
          <t>POSM</t>
        </is>
      </c>
      <c r="F84" t="inlineStr">
        <is>
          <t>2026-10-14</t>
        </is>
      </c>
      <c r="G84" t="inlineStr">
        <is>
          <t>Shelf_POSM_GazeMap</t>
        </is>
      </c>
      <c r="H84" t="inlineStr">
        <is>
          <t>Shelf_Other</t>
        </is>
      </c>
      <c r="I84" t="n">
        <v>148798</v>
      </c>
      <c r="J84" t="n">
        <v>148798</v>
      </c>
      <c r="K84" t="n">
        <v>100</v>
      </c>
      <c r="L84" t="n">
        <v>87.59999999999999</v>
      </c>
      <c r="M84" t="n">
        <v>2066</v>
      </c>
      <c r="N84" t="n">
        <v>5</v>
      </c>
      <c r="O84" t="n">
        <v>23775</v>
      </c>
      <c r="P84" t="n">
        <v>5</v>
      </c>
      <c r="Q84" t="n">
        <v>4</v>
      </c>
      <c r="R84" t="n">
        <v>113</v>
      </c>
      <c r="S84" t="n">
        <v>2264</v>
      </c>
      <c r="T84" t="n">
        <v>2264</v>
      </c>
      <c r="U84" t="n">
        <v>2264</v>
      </c>
      <c r="V84" t="n">
        <v>22789</v>
      </c>
      <c r="W84" t="n">
        <v>15.32</v>
      </c>
      <c r="X84" t="n">
        <v>202</v>
      </c>
      <c r="Y84" t="n">
        <v>229</v>
      </c>
      <c r="Z84">
        <f>IF(L84&gt;=70,"Yes","No")</f>
        <v/>
      </c>
      <c r="AA84">
        <f>IF(ISNUMBER(T84),T84/1000,"")</f>
        <v/>
      </c>
      <c r="AB84">
        <f>IF(ISNUMBER(W84),W84,0)</f>
        <v/>
      </c>
      <c r="AC84">
        <f>IF(ISNUMBER(T84),1,0)</f>
        <v/>
      </c>
    </row>
    <row r="85">
      <c r="A85" t="inlineStr">
        <is>
          <t>SIMULATED_ShelfStudy_POSM_vs_NoPOSM</t>
        </is>
      </c>
      <c r="B85" t="inlineStr">
        <is>
          <t>P16</t>
        </is>
      </c>
      <c r="C85" t="inlineStr">
        <is>
          <t>F</t>
        </is>
      </c>
      <c r="D85" t="inlineStr">
        <is>
          <t>25-34</t>
        </is>
      </c>
      <c r="E85" t="inlineStr">
        <is>
          <t>NoPOSM</t>
        </is>
      </c>
      <c r="F85" t="inlineStr">
        <is>
          <t>2026-10-14</t>
        </is>
      </c>
      <c r="G85" t="inlineStr">
        <is>
          <t>Shelf_NoPOSM_GazeMap</t>
        </is>
      </c>
      <c r="H85" t="inlineStr">
        <is>
          <t>Sensodyne_Products</t>
        </is>
      </c>
      <c r="I85" t="n">
        <v>116535</v>
      </c>
      <c r="J85" t="n">
        <v>116535</v>
      </c>
      <c r="K85" t="n">
        <v>100</v>
      </c>
      <c r="L85" t="n">
        <v>77.09999999999999</v>
      </c>
      <c r="M85" t="n">
        <v>2402</v>
      </c>
      <c r="N85" t="n">
        <v>1</v>
      </c>
      <c r="O85" t="n">
        <v>8046</v>
      </c>
      <c r="P85" t="n">
        <v>1</v>
      </c>
      <c r="Q85" t="n">
        <v>0</v>
      </c>
      <c r="R85" t="n">
        <v>28</v>
      </c>
      <c r="S85" t="n">
        <v>2521</v>
      </c>
      <c r="T85" t="n">
        <v>2521</v>
      </c>
      <c r="U85" t="n">
        <v>2521</v>
      </c>
      <c r="V85" t="n">
        <v>7100</v>
      </c>
      <c r="W85" t="n">
        <v>6.09</v>
      </c>
      <c r="X85" t="n">
        <v>254</v>
      </c>
      <c r="Y85" t="n">
        <v>294</v>
      </c>
      <c r="Z85">
        <f>IF(L85&gt;=70,"Yes","No")</f>
        <v/>
      </c>
      <c r="AA85">
        <f>IF(ISNUMBER(T85),T85/1000,"")</f>
        <v/>
      </c>
      <c r="AB85">
        <f>IF(ISNUMBER(W85),W85,0)</f>
        <v/>
      </c>
      <c r="AC85">
        <f>IF(ISNUMBER(T85),1,0)</f>
        <v/>
      </c>
    </row>
    <row r="86">
      <c r="A86" t="inlineStr">
        <is>
          <t>SIMULATED_ShelfStudy_POSM_vs_NoPOSM</t>
        </is>
      </c>
      <c r="B86" t="inlineStr">
        <is>
          <t>P16</t>
        </is>
      </c>
      <c r="C86" t="inlineStr">
        <is>
          <t>F</t>
        </is>
      </c>
      <c r="D86" t="inlineStr">
        <is>
          <t>25-34</t>
        </is>
      </c>
      <c r="E86" t="inlineStr">
        <is>
          <t>NoPOSM</t>
        </is>
      </c>
      <c r="F86" t="inlineStr">
        <is>
          <t>2026-10-14</t>
        </is>
      </c>
      <c r="G86" t="inlineStr">
        <is>
          <t>Shelf_NoPOSM_GazeMap</t>
        </is>
      </c>
      <c r="H86" t="inlineStr">
        <is>
          <t>Competitor_A</t>
        </is>
      </c>
      <c r="I86" t="n">
        <v>116535</v>
      </c>
      <c r="J86" t="n">
        <v>116535</v>
      </c>
      <c r="K86" t="n">
        <v>100</v>
      </c>
      <c r="L86" t="n">
        <v>77.09999999999999</v>
      </c>
      <c r="M86" t="n">
        <v>1975</v>
      </c>
      <c r="N86" t="n">
        <v>5</v>
      </c>
      <c r="O86" t="n">
        <v>18420</v>
      </c>
      <c r="P86" t="n">
        <v>4</v>
      </c>
      <c r="Q86" t="n">
        <v>3</v>
      </c>
      <c r="R86" t="n">
        <v>45</v>
      </c>
      <c r="S86" t="n">
        <v>2170</v>
      </c>
      <c r="T86" t="n">
        <v>2170</v>
      </c>
      <c r="U86" t="n">
        <v>2170</v>
      </c>
      <c r="V86" t="n">
        <v>16042</v>
      </c>
      <c r="W86" t="n">
        <v>13.77</v>
      </c>
      <c r="X86" t="n">
        <v>356</v>
      </c>
      <c r="Y86" t="n">
        <v>180</v>
      </c>
      <c r="Z86">
        <f>IF(L86&gt;=70,"Yes","No")</f>
        <v/>
      </c>
      <c r="AA86">
        <f>IF(ISNUMBER(T86),T86/1000,"")</f>
        <v/>
      </c>
      <c r="AB86">
        <f>IF(ISNUMBER(W86),W86,0)</f>
        <v/>
      </c>
      <c r="AC86">
        <f>IF(ISNUMBER(T86),1,0)</f>
        <v/>
      </c>
    </row>
    <row r="87">
      <c r="A87" t="inlineStr">
        <is>
          <t>SIMULATED_ShelfStudy_POSM_vs_NoPOSM</t>
        </is>
      </c>
      <c r="B87" t="inlineStr">
        <is>
          <t>P16</t>
        </is>
      </c>
      <c r="C87" t="inlineStr">
        <is>
          <t>F</t>
        </is>
      </c>
      <c r="D87" t="inlineStr">
        <is>
          <t>25-34</t>
        </is>
      </c>
      <c r="E87" t="inlineStr">
        <is>
          <t>NoPOSM</t>
        </is>
      </c>
      <c r="F87" t="inlineStr">
        <is>
          <t>2026-10-14</t>
        </is>
      </c>
      <c r="G87" t="inlineStr">
        <is>
          <t>Shelf_NoPOSM_GazeMap</t>
        </is>
      </c>
      <c r="H87" t="inlineStr">
        <is>
          <t>Competitor_B</t>
        </is>
      </c>
      <c r="I87" t="n">
        <v>116535</v>
      </c>
      <c r="J87" t="n">
        <v>116535</v>
      </c>
      <c r="K87" t="n">
        <v>100</v>
      </c>
      <c r="L87" t="n">
        <v>77.09999999999999</v>
      </c>
      <c r="M87" t="n">
        <v>2850</v>
      </c>
      <c r="N87" t="n">
        <v>5</v>
      </c>
      <c r="O87" t="n">
        <v>14446</v>
      </c>
      <c r="P87" t="n">
        <v>4</v>
      </c>
      <c r="Q87" t="n">
        <v>3</v>
      </c>
      <c r="R87" t="n">
        <v>47</v>
      </c>
      <c r="S87" t="n">
        <v>3033</v>
      </c>
      <c r="T87" t="n">
        <v>3033</v>
      </c>
      <c r="U87" t="n">
        <v>3033</v>
      </c>
      <c r="V87" t="n">
        <v>13892</v>
      </c>
      <c r="W87" t="n">
        <v>11.92</v>
      </c>
      <c r="X87" t="n">
        <v>296</v>
      </c>
      <c r="Y87" t="n">
        <v>260</v>
      </c>
      <c r="Z87">
        <f>IF(L87&gt;=70,"Yes","No")</f>
        <v/>
      </c>
      <c r="AA87">
        <f>IF(ISNUMBER(T87),T87/1000,"")</f>
        <v/>
      </c>
      <c r="AB87">
        <f>IF(ISNUMBER(W87),W87,0)</f>
        <v/>
      </c>
      <c r="AC87">
        <f>IF(ISNUMBER(T87),1,0)</f>
        <v/>
      </c>
    </row>
    <row r="88">
      <c r="A88" t="inlineStr">
        <is>
          <t>SIMULATED_ShelfStudy_POSM_vs_NoPOSM</t>
        </is>
      </c>
      <c r="B88" t="inlineStr">
        <is>
          <t>P16</t>
        </is>
      </c>
      <c r="C88" t="inlineStr">
        <is>
          <t>F</t>
        </is>
      </c>
      <c r="D88" t="inlineStr">
        <is>
          <t>25-34</t>
        </is>
      </c>
      <c r="E88" t="inlineStr">
        <is>
          <t>NoPOSM</t>
        </is>
      </c>
      <c r="F88" t="inlineStr">
        <is>
          <t>2026-10-14</t>
        </is>
      </c>
      <c r="G88" t="inlineStr">
        <is>
          <t>Shelf_NoPOSM_GazeMap</t>
        </is>
      </c>
      <c r="H88" t="inlineStr">
        <is>
          <t>Price_Tags</t>
        </is>
      </c>
      <c r="I88" t="n">
        <v>116535</v>
      </c>
      <c r="J88" t="n">
        <v>116535</v>
      </c>
      <c r="K88" t="n">
        <v>100</v>
      </c>
      <c r="L88" t="n">
        <v>77.09999999999999</v>
      </c>
      <c r="M88" t="n">
        <v>8293</v>
      </c>
      <c r="N88" t="n">
        <v>2</v>
      </c>
      <c r="O88" t="n">
        <v>6211</v>
      </c>
      <c r="P88" t="n">
        <v>2</v>
      </c>
      <c r="Q88" t="n">
        <v>1</v>
      </c>
      <c r="R88" t="n">
        <v>19</v>
      </c>
      <c r="S88" t="n">
        <v>8520</v>
      </c>
      <c r="T88" t="n">
        <v>8520</v>
      </c>
      <c r="U88" t="n">
        <v>8520</v>
      </c>
      <c r="V88" t="n">
        <v>5477</v>
      </c>
      <c r="W88" t="n">
        <v>4.7</v>
      </c>
      <c r="X88" t="n">
        <v>288</v>
      </c>
      <c r="Y88" t="n">
        <v>295</v>
      </c>
      <c r="Z88">
        <f>IF(L88&gt;=70,"Yes","No")</f>
        <v/>
      </c>
      <c r="AA88">
        <f>IF(ISNUMBER(T88),T88/1000,"")</f>
        <v/>
      </c>
      <c r="AB88">
        <f>IF(ISNUMBER(W88),W88,0)</f>
        <v/>
      </c>
      <c r="AC88">
        <f>IF(ISNUMBER(T88),1,0)</f>
        <v/>
      </c>
    </row>
    <row r="89">
      <c r="A89" t="inlineStr">
        <is>
          <t>SIMULATED_ShelfStudy_POSM_vs_NoPOSM</t>
        </is>
      </c>
      <c r="B89" t="inlineStr">
        <is>
          <t>P16</t>
        </is>
      </c>
      <c r="C89" t="inlineStr">
        <is>
          <t>F</t>
        </is>
      </c>
      <c r="D89" t="inlineStr">
        <is>
          <t>25-34</t>
        </is>
      </c>
      <c r="E89" t="inlineStr">
        <is>
          <t>NoPOSM</t>
        </is>
      </c>
      <c r="F89" t="inlineStr">
        <is>
          <t>2026-10-14</t>
        </is>
      </c>
      <c r="G89" t="inlineStr">
        <is>
          <t>Shelf_NoPOSM_GazeMap</t>
        </is>
      </c>
      <c r="H89" t="inlineStr">
        <is>
          <t>Shelf_Other</t>
        </is>
      </c>
      <c r="I89" t="n">
        <v>116535</v>
      </c>
      <c r="J89" t="n">
        <v>116535</v>
      </c>
      <c r="K89" t="n">
        <v>100</v>
      </c>
      <c r="L89" t="n">
        <v>77.09999999999999</v>
      </c>
      <c r="M89" t="n">
        <v>836</v>
      </c>
      <c r="N89" t="n">
        <v>5</v>
      </c>
      <c r="O89" t="n">
        <v>12258</v>
      </c>
      <c r="P89" t="n">
        <v>5</v>
      </c>
      <c r="Q89" t="n">
        <v>4</v>
      </c>
      <c r="R89" t="n">
        <v>45</v>
      </c>
      <c r="S89" t="n">
        <v>943</v>
      </c>
      <c r="T89" t="n">
        <v>943</v>
      </c>
      <c r="U89" t="n">
        <v>943</v>
      </c>
      <c r="V89" t="n">
        <v>11190</v>
      </c>
      <c r="W89" t="n">
        <v>9.6</v>
      </c>
      <c r="X89" t="n">
        <v>249</v>
      </c>
      <c r="Y89" t="n">
        <v>210</v>
      </c>
      <c r="Z89">
        <f>IF(L89&gt;=70,"Yes","No")</f>
        <v/>
      </c>
      <c r="AA89">
        <f>IF(ISNUMBER(T89),T89/1000,"")</f>
        <v/>
      </c>
      <c r="AB89">
        <f>IF(ISNUMBER(W89),W89,0)</f>
        <v/>
      </c>
      <c r="AC89">
        <f>IF(ISNUMBER(T89),1,0)</f>
        <v/>
      </c>
    </row>
    <row r="90">
      <c r="A90" t="inlineStr">
        <is>
          <t>SIMULATED_ShelfStudy_POSM_vs_NoPOSM</t>
        </is>
      </c>
      <c r="B90" t="inlineStr">
        <is>
          <t>P17</t>
        </is>
      </c>
      <c r="C90" t="inlineStr">
        <is>
          <t>F</t>
        </is>
      </c>
      <c r="D90" t="inlineStr">
        <is>
          <t>45-59</t>
        </is>
      </c>
      <c r="E90" t="inlineStr">
        <is>
          <t>POSM</t>
        </is>
      </c>
      <c r="F90" t="inlineStr">
        <is>
          <t>2026-10-14</t>
        </is>
      </c>
      <c r="G90" t="inlineStr">
        <is>
          <t>Shelf_POSM_GazeMap</t>
        </is>
      </c>
      <c r="H90" t="inlineStr">
        <is>
          <t>Sensodyne_Products</t>
        </is>
      </c>
      <c r="I90" t="n">
        <v>144226</v>
      </c>
      <c r="J90" t="n">
        <v>144226</v>
      </c>
      <c r="K90" t="n">
        <v>100</v>
      </c>
      <c r="L90" t="n">
        <v>46</v>
      </c>
      <c r="M90" t="n">
        <v>1951</v>
      </c>
      <c r="N90" t="n">
        <v>2</v>
      </c>
      <c r="O90" t="n">
        <v>20801</v>
      </c>
      <c r="P90" t="n">
        <v>2</v>
      </c>
      <c r="Q90" t="n">
        <v>1</v>
      </c>
      <c r="R90" t="n">
        <v>63</v>
      </c>
      <c r="S90" t="n">
        <v>2173</v>
      </c>
      <c r="T90" t="n">
        <v>2173</v>
      </c>
      <c r="U90" t="n">
        <v>2173</v>
      </c>
      <c r="V90" t="n">
        <v>19614</v>
      </c>
      <c r="W90" t="n">
        <v>13.6</v>
      </c>
      <c r="X90" t="n">
        <v>311</v>
      </c>
      <c r="Y90" t="n">
        <v>241</v>
      </c>
      <c r="Z90">
        <f>IF(L90&gt;=70,"Yes","No")</f>
        <v/>
      </c>
      <c r="AA90">
        <f>IF(ISNUMBER(T90),T90/1000,"")</f>
        <v/>
      </c>
      <c r="AB90">
        <f>IF(ISNUMBER(W90),W90,0)</f>
        <v/>
      </c>
      <c r="AC90">
        <f>IF(ISNUMBER(T90),1,0)</f>
        <v/>
      </c>
    </row>
    <row r="91">
      <c r="A91" t="inlineStr">
        <is>
          <t>SIMULATED_ShelfStudy_POSM_vs_NoPOSM</t>
        </is>
      </c>
      <c r="B91" t="inlineStr">
        <is>
          <t>P17</t>
        </is>
      </c>
      <c r="C91" t="inlineStr">
        <is>
          <t>F</t>
        </is>
      </c>
      <c r="D91" t="inlineStr">
        <is>
          <t>45-59</t>
        </is>
      </c>
      <c r="E91" t="inlineStr">
        <is>
          <t>POSM</t>
        </is>
      </c>
      <c r="F91" t="inlineStr">
        <is>
          <t>2026-10-14</t>
        </is>
      </c>
      <c r="G91" t="inlineStr">
        <is>
          <t>Shelf_POSM_GazeMap</t>
        </is>
      </c>
      <c r="H91" t="inlineStr">
        <is>
          <t>Sensodyne_POSM_Wing</t>
        </is>
      </c>
      <c r="I91" t="n">
        <v>144226</v>
      </c>
      <c r="J91" t="n">
        <v>144226</v>
      </c>
      <c r="K91" t="n">
        <v>100</v>
      </c>
      <c r="L91" t="n">
        <v>46</v>
      </c>
      <c r="M91" t="n">
        <v>5814</v>
      </c>
      <c r="N91" t="n">
        <v>1</v>
      </c>
      <c r="O91" t="n">
        <v>3827</v>
      </c>
      <c r="P91" t="n">
        <v>1</v>
      </c>
      <c r="Q91" t="n">
        <v>0</v>
      </c>
      <c r="R91" t="n">
        <v>9</v>
      </c>
      <c r="S91" t="n">
        <v>6021</v>
      </c>
      <c r="T91" t="n">
        <v>6021</v>
      </c>
      <c r="U91" t="n">
        <v>6021</v>
      </c>
      <c r="V91" t="n">
        <v>3676</v>
      </c>
      <c r="W91" t="n">
        <v>2.55</v>
      </c>
      <c r="X91" t="n">
        <v>408</v>
      </c>
      <c r="Y91" t="n">
        <v>269</v>
      </c>
      <c r="Z91">
        <f>IF(L91&gt;=70,"Yes","No")</f>
        <v/>
      </c>
      <c r="AA91">
        <f>IF(ISNUMBER(T91),T91/1000,"")</f>
        <v/>
      </c>
      <c r="AB91">
        <f>IF(ISNUMBER(W91),W91,0)</f>
        <v/>
      </c>
      <c r="AC91">
        <f>IF(ISNUMBER(T91),1,0)</f>
        <v/>
      </c>
    </row>
    <row r="92">
      <c r="A92" t="inlineStr">
        <is>
          <t>SIMULATED_ShelfStudy_POSM_vs_NoPOSM</t>
        </is>
      </c>
      <c r="B92" t="inlineStr">
        <is>
          <t>P17</t>
        </is>
      </c>
      <c r="C92" t="inlineStr">
        <is>
          <t>F</t>
        </is>
      </c>
      <c r="D92" t="inlineStr">
        <is>
          <t>45-59</t>
        </is>
      </c>
      <c r="E92" t="inlineStr">
        <is>
          <t>POSM</t>
        </is>
      </c>
      <c r="F92" t="inlineStr">
        <is>
          <t>2026-10-14</t>
        </is>
      </c>
      <c r="G92" t="inlineStr">
        <is>
          <t>Shelf_POSM_GazeMap</t>
        </is>
      </c>
      <c r="H92" t="inlineStr">
        <is>
          <t>Competitor_A</t>
        </is>
      </c>
      <c r="I92" t="n">
        <v>144226</v>
      </c>
      <c r="J92" t="n">
        <v>144226</v>
      </c>
      <c r="K92" t="n">
        <v>100</v>
      </c>
      <c r="L92" t="n">
        <v>46</v>
      </c>
      <c r="M92" t="n">
        <v>3545</v>
      </c>
      <c r="N92" t="n">
        <v>4</v>
      </c>
      <c r="O92" t="n">
        <v>6446</v>
      </c>
      <c r="P92" t="n">
        <v>3</v>
      </c>
      <c r="Q92" t="n">
        <v>2</v>
      </c>
      <c r="R92" t="n">
        <v>26</v>
      </c>
      <c r="S92" t="n">
        <v>3791</v>
      </c>
      <c r="T92" t="n">
        <v>3791</v>
      </c>
      <c r="U92" t="n">
        <v>3791</v>
      </c>
      <c r="V92" t="n">
        <v>5780</v>
      </c>
      <c r="W92" t="n">
        <v>4.01</v>
      </c>
      <c r="X92" t="n">
        <v>222</v>
      </c>
      <c r="Y92" t="n">
        <v>222</v>
      </c>
      <c r="Z92">
        <f>IF(L92&gt;=70,"Yes","No")</f>
        <v/>
      </c>
      <c r="AA92">
        <f>IF(ISNUMBER(T92),T92/1000,"")</f>
        <v/>
      </c>
      <c r="AB92">
        <f>IF(ISNUMBER(W92),W92,0)</f>
        <v/>
      </c>
      <c r="AC92">
        <f>IF(ISNUMBER(T92),1,0)</f>
        <v/>
      </c>
    </row>
    <row r="93">
      <c r="A93" t="inlineStr">
        <is>
          <t>SIMULATED_ShelfStudy_POSM_vs_NoPOSM</t>
        </is>
      </c>
      <c r="B93" t="inlineStr">
        <is>
          <t>P17</t>
        </is>
      </c>
      <c r="C93" t="inlineStr">
        <is>
          <t>F</t>
        </is>
      </c>
      <c r="D93" t="inlineStr">
        <is>
          <t>45-59</t>
        </is>
      </c>
      <c r="E93" t="inlineStr">
        <is>
          <t>POSM</t>
        </is>
      </c>
      <c r="F93" t="inlineStr">
        <is>
          <t>2026-10-14</t>
        </is>
      </c>
      <c r="G93" t="inlineStr">
        <is>
          <t>Shelf_POSM_GazeMap</t>
        </is>
      </c>
      <c r="H93" t="inlineStr">
        <is>
          <t>Competitor_B</t>
        </is>
      </c>
      <c r="I93" t="n">
        <v>144226</v>
      </c>
      <c r="J93" t="n">
        <v>144226</v>
      </c>
      <c r="K93" t="n">
        <v>100</v>
      </c>
      <c r="L93" t="n">
        <v>46</v>
      </c>
      <c r="M93" t="n">
        <v>3828</v>
      </c>
      <c r="N93" t="n">
        <v>2</v>
      </c>
      <c r="O93" t="n">
        <v>7145</v>
      </c>
      <c r="P93" t="n">
        <v>2</v>
      </c>
      <c r="Q93" t="n">
        <v>1</v>
      </c>
      <c r="R93" t="n">
        <v>20</v>
      </c>
      <c r="S93" t="n">
        <v>4016</v>
      </c>
      <c r="T93" t="n">
        <v>4016</v>
      </c>
      <c r="U93" t="n">
        <v>4016</v>
      </c>
      <c r="V93" t="n">
        <v>6229</v>
      </c>
      <c r="W93" t="n">
        <v>4.32</v>
      </c>
      <c r="X93" t="n">
        <v>311</v>
      </c>
      <c r="Y93" t="n">
        <v>176</v>
      </c>
      <c r="Z93">
        <f>IF(L93&gt;=70,"Yes","No")</f>
        <v/>
      </c>
      <c r="AA93">
        <f>IF(ISNUMBER(T93),T93/1000,"")</f>
        <v/>
      </c>
      <c r="AB93">
        <f>IF(ISNUMBER(W93),W93,0)</f>
        <v/>
      </c>
      <c r="AC93">
        <f>IF(ISNUMBER(T93),1,0)</f>
        <v/>
      </c>
    </row>
    <row r="94">
      <c r="A94" t="inlineStr">
        <is>
          <t>SIMULATED_ShelfStudy_POSM_vs_NoPOSM</t>
        </is>
      </c>
      <c r="B94" t="inlineStr">
        <is>
          <t>P17</t>
        </is>
      </c>
      <c r="C94" t="inlineStr">
        <is>
          <t>F</t>
        </is>
      </c>
      <c r="D94" t="inlineStr">
        <is>
          <t>45-59</t>
        </is>
      </c>
      <c r="E94" t="inlineStr">
        <is>
          <t>POSM</t>
        </is>
      </c>
      <c r="F94" t="inlineStr">
        <is>
          <t>2026-10-14</t>
        </is>
      </c>
      <c r="G94" t="inlineStr">
        <is>
          <t>Shelf_POSM_GazeMap</t>
        </is>
      </c>
      <c r="H94" t="inlineStr">
        <is>
          <t>Price_Tags</t>
        </is>
      </c>
      <c r="I94" t="n">
        <v>144226</v>
      </c>
      <c r="J94" t="n">
        <v>144226</v>
      </c>
      <c r="K94" t="n">
        <v>100</v>
      </c>
      <c r="L94" t="n">
        <v>46</v>
      </c>
      <c r="M94" t="n">
        <v>5875</v>
      </c>
      <c r="N94" t="n">
        <v>3</v>
      </c>
      <c r="O94" t="n">
        <v>3215</v>
      </c>
      <c r="P94" t="n">
        <v>3</v>
      </c>
      <c r="Q94" t="n">
        <v>2</v>
      </c>
      <c r="R94" t="n">
        <v>11</v>
      </c>
      <c r="S94" t="n">
        <v>5974</v>
      </c>
      <c r="T94" t="n">
        <v>5974</v>
      </c>
      <c r="U94" t="n">
        <v>5974</v>
      </c>
      <c r="V94" t="n">
        <v>3113</v>
      </c>
      <c r="W94" t="n">
        <v>2.16</v>
      </c>
      <c r="X94" t="n">
        <v>283</v>
      </c>
      <c r="Y94" t="n">
        <v>233</v>
      </c>
      <c r="Z94">
        <f>IF(L94&gt;=70,"Yes","No")</f>
        <v/>
      </c>
      <c r="AA94">
        <f>IF(ISNUMBER(T94),T94/1000,"")</f>
        <v/>
      </c>
      <c r="AB94">
        <f>IF(ISNUMBER(W94),W94,0)</f>
        <v/>
      </c>
      <c r="AC94">
        <f>IF(ISNUMBER(T94),1,0)</f>
        <v/>
      </c>
    </row>
    <row r="95">
      <c r="A95" t="inlineStr">
        <is>
          <t>SIMULATED_ShelfStudy_POSM_vs_NoPOSM</t>
        </is>
      </c>
      <c r="B95" t="inlineStr">
        <is>
          <t>P17</t>
        </is>
      </c>
      <c r="C95" t="inlineStr">
        <is>
          <t>F</t>
        </is>
      </c>
      <c r="D95" t="inlineStr">
        <is>
          <t>45-59</t>
        </is>
      </c>
      <c r="E95" t="inlineStr">
        <is>
          <t>POSM</t>
        </is>
      </c>
      <c r="F95" t="inlineStr">
        <is>
          <t>2026-10-14</t>
        </is>
      </c>
      <c r="G95" t="inlineStr">
        <is>
          <t>Shelf_POSM_GazeMap</t>
        </is>
      </c>
      <c r="H95" t="inlineStr">
        <is>
          <t>Shelf_Other</t>
        </is>
      </c>
      <c r="I95" t="n">
        <v>144226</v>
      </c>
      <c r="J95" t="n">
        <v>144226</v>
      </c>
      <c r="K95" t="n">
        <v>100</v>
      </c>
      <c r="L95" t="n">
        <v>46</v>
      </c>
      <c r="M95" t="n">
        <v>1051</v>
      </c>
      <c r="N95" t="n">
        <v>5</v>
      </c>
      <c r="O95" t="n">
        <v>8494</v>
      </c>
      <c r="P95" t="n">
        <v>5</v>
      </c>
      <c r="Q95" t="n">
        <v>4</v>
      </c>
      <c r="R95" t="n">
        <v>37</v>
      </c>
      <c r="S95" t="n">
        <v>1325</v>
      </c>
      <c r="T95" t="n">
        <v>1325</v>
      </c>
      <c r="U95" t="n">
        <v>1325</v>
      </c>
      <c r="V95" t="n">
        <v>8072</v>
      </c>
      <c r="W95" t="n">
        <v>5.6</v>
      </c>
      <c r="X95" t="n">
        <v>218</v>
      </c>
      <c r="Y95" t="n">
        <v>578</v>
      </c>
      <c r="Z95">
        <f>IF(L95&gt;=70,"Yes","No")</f>
        <v/>
      </c>
      <c r="AA95">
        <f>IF(ISNUMBER(T95),T95/1000,"")</f>
        <v/>
      </c>
      <c r="AB95">
        <f>IF(ISNUMBER(W95),W95,0)</f>
        <v/>
      </c>
      <c r="AC95">
        <f>IF(ISNUMBER(T95),1,0)</f>
        <v/>
      </c>
    </row>
    <row r="96">
      <c r="A96" t="inlineStr">
        <is>
          <t>SIMULATED_ShelfStudy_POSM_vs_NoPOSM</t>
        </is>
      </c>
      <c r="B96" t="inlineStr">
        <is>
          <t>P18</t>
        </is>
      </c>
      <c r="C96" t="inlineStr">
        <is>
          <t>F</t>
        </is>
      </c>
      <c r="D96" t="inlineStr">
        <is>
          <t>35-44</t>
        </is>
      </c>
      <c r="E96" t="inlineStr">
        <is>
          <t>NoPOSM</t>
        </is>
      </c>
      <c r="F96" t="inlineStr">
        <is>
          <t>2026-10-14</t>
        </is>
      </c>
      <c r="G96" t="inlineStr">
        <is>
          <t>Shelf_NoPOSM_GazeMap</t>
        </is>
      </c>
      <c r="H96" t="inlineStr">
        <is>
          <t>Sensodyne_Products</t>
        </is>
      </c>
      <c r="I96" t="n">
        <v>192665</v>
      </c>
      <c r="J96" t="n">
        <v>192665</v>
      </c>
      <c r="K96" t="n">
        <v>100</v>
      </c>
      <c r="L96" t="n">
        <v>84.59999999999999</v>
      </c>
      <c r="M96" t="n">
        <v>3653</v>
      </c>
      <c r="N96" t="n">
        <v>1</v>
      </c>
      <c r="O96" t="n">
        <v>11812</v>
      </c>
      <c r="P96" t="n">
        <v>1</v>
      </c>
      <c r="Q96" t="n">
        <v>0</v>
      </c>
      <c r="R96" t="n">
        <v>41</v>
      </c>
      <c r="S96" t="n">
        <v>3837</v>
      </c>
      <c r="T96" t="n">
        <v>3837</v>
      </c>
      <c r="U96" t="n">
        <v>3837</v>
      </c>
      <c r="V96" t="n">
        <v>11148</v>
      </c>
      <c r="W96" t="n">
        <v>5.79</v>
      </c>
      <c r="X96" t="n">
        <v>272</v>
      </c>
      <c r="Y96" t="n">
        <v>75</v>
      </c>
      <c r="Z96">
        <f>IF(L96&gt;=70,"Yes","No")</f>
        <v/>
      </c>
      <c r="AA96">
        <f>IF(ISNUMBER(T96),T96/1000,"")</f>
        <v/>
      </c>
      <c r="AB96">
        <f>IF(ISNUMBER(W96),W96,0)</f>
        <v/>
      </c>
      <c r="AC96">
        <f>IF(ISNUMBER(T96),1,0)</f>
        <v/>
      </c>
    </row>
    <row r="97">
      <c r="A97" t="inlineStr">
        <is>
          <t>SIMULATED_ShelfStudy_POSM_vs_NoPOSM</t>
        </is>
      </c>
      <c r="B97" t="inlineStr">
        <is>
          <t>P18</t>
        </is>
      </c>
      <c r="C97" t="inlineStr">
        <is>
          <t>F</t>
        </is>
      </c>
      <c r="D97" t="inlineStr">
        <is>
          <t>35-44</t>
        </is>
      </c>
      <c r="E97" t="inlineStr">
        <is>
          <t>NoPOSM</t>
        </is>
      </c>
      <c r="F97" t="inlineStr">
        <is>
          <t>2026-10-14</t>
        </is>
      </c>
      <c r="G97" t="inlineStr">
        <is>
          <t>Shelf_NoPOSM_GazeMap</t>
        </is>
      </c>
      <c r="H97" t="inlineStr">
        <is>
          <t>Competitor_A</t>
        </is>
      </c>
      <c r="I97" t="n">
        <v>192665</v>
      </c>
      <c r="J97" t="n">
        <v>192665</v>
      </c>
      <c r="K97" t="n">
        <v>100</v>
      </c>
      <c r="L97" t="n">
        <v>84.59999999999999</v>
      </c>
      <c r="M97" t="n">
        <v>1709</v>
      </c>
      <c r="N97" t="n">
        <v>2</v>
      </c>
      <c r="O97" t="n">
        <v>13664</v>
      </c>
      <c r="P97" t="n">
        <v>1</v>
      </c>
      <c r="Q97" t="n">
        <v>0</v>
      </c>
      <c r="R97" t="n">
        <v>28</v>
      </c>
      <c r="S97" t="n">
        <v>1920</v>
      </c>
      <c r="T97" t="n">
        <v>1920</v>
      </c>
      <c r="U97" t="n">
        <v>1920</v>
      </c>
      <c r="V97" t="n">
        <v>12319</v>
      </c>
      <c r="W97" t="n">
        <v>6.39</v>
      </c>
      <c r="X97" t="n">
        <v>440</v>
      </c>
      <c r="Y97" t="n">
        <v>165</v>
      </c>
      <c r="Z97">
        <f>IF(L97&gt;=70,"Yes","No")</f>
        <v/>
      </c>
      <c r="AA97">
        <f>IF(ISNUMBER(T97),T97/1000,"")</f>
        <v/>
      </c>
      <c r="AB97">
        <f>IF(ISNUMBER(W97),W97,0)</f>
        <v/>
      </c>
      <c r="AC97">
        <f>IF(ISNUMBER(T97),1,0)</f>
        <v/>
      </c>
    </row>
    <row r="98">
      <c r="A98" t="inlineStr">
        <is>
          <t>SIMULATED_ShelfStudy_POSM_vs_NoPOSM</t>
        </is>
      </c>
      <c r="B98" t="inlineStr">
        <is>
          <t>P18</t>
        </is>
      </c>
      <c r="C98" t="inlineStr">
        <is>
          <t>F</t>
        </is>
      </c>
      <c r="D98" t="inlineStr">
        <is>
          <t>35-44</t>
        </is>
      </c>
      <c r="E98" t="inlineStr">
        <is>
          <t>NoPOSM</t>
        </is>
      </c>
      <c r="F98" t="inlineStr">
        <is>
          <t>2026-10-14</t>
        </is>
      </c>
      <c r="G98" t="inlineStr">
        <is>
          <t>Shelf_NoPOSM_GazeMap</t>
        </is>
      </c>
      <c r="H98" t="inlineStr">
        <is>
          <t>Competitor_B</t>
        </is>
      </c>
      <c r="I98" t="n">
        <v>192665</v>
      </c>
      <c r="J98" t="n">
        <v>192665</v>
      </c>
      <c r="K98" t="n">
        <v>100</v>
      </c>
      <c r="L98" t="n">
        <v>84.59999999999999</v>
      </c>
      <c r="M98" t="n">
        <v>4529</v>
      </c>
      <c r="N98" t="n">
        <v>5</v>
      </c>
      <c r="O98" t="n">
        <v>18341</v>
      </c>
      <c r="P98" t="n">
        <v>5</v>
      </c>
      <c r="Q98" t="n">
        <v>4</v>
      </c>
      <c r="R98" t="n">
        <v>61</v>
      </c>
      <c r="S98" t="n">
        <v>4796</v>
      </c>
      <c r="T98" t="n">
        <v>4796</v>
      </c>
      <c r="U98" t="n">
        <v>4796</v>
      </c>
      <c r="V98" t="n">
        <v>17776</v>
      </c>
      <c r="W98" t="n">
        <v>9.23</v>
      </c>
      <c r="X98" t="n">
        <v>291</v>
      </c>
      <c r="Y98" t="n">
        <v>323</v>
      </c>
      <c r="Z98">
        <f>IF(L98&gt;=70,"Yes","No")</f>
        <v/>
      </c>
      <c r="AA98">
        <f>IF(ISNUMBER(T98),T98/1000,"")</f>
        <v/>
      </c>
      <c r="AB98">
        <f>IF(ISNUMBER(W98),W98,0)</f>
        <v/>
      </c>
      <c r="AC98">
        <f>IF(ISNUMBER(T98),1,0)</f>
        <v/>
      </c>
    </row>
    <row r="99">
      <c r="A99" t="inlineStr">
        <is>
          <t>SIMULATED_ShelfStudy_POSM_vs_NoPOSM</t>
        </is>
      </c>
      <c r="B99" t="inlineStr">
        <is>
          <t>P18</t>
        </is>
      </c>
      <c r="C99" t="inlineStr">
        <is>
          <t>F</t>
        </is>
      </c>
      <c r="D99" t="inlineStr">
        <is>
          <t>35-44</t>
        </is>
      </c>
      <c r="E99" t="inlineStr">
        <is>
          <t>NoPOSM</t>
        </is>
      </c>
      <c r="F99" t="inlineStr">
        <is>
          <t>2026-10-14</t>
        </is>
      </c>
      <c r="G99" t="inlineStr">
        <is>
          <t>Shelf_NoPOSM_GazeMap</t>
        </is>
      </c>
      <c r="H99" t="inlineStr">
        <is>
          <t>Price_Tags</t>
        </is>
      </c>
      <c r="I99" t="n">
        <v>192665</v>
      </c>
      <c r="J99" t="n">
        <v>192665</v>
      </c>
      <c r="K99" t="n">
        <v>100</v>
      </c>
      <c r="L99" t="n">
        <v>84.59999999999999</v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n">
        <v>192665</v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>
        <f>IF(L99&gt;=70,"Yes","No")</f>
        <v/>
      </c>
      <c r="AA99">
        <f>IF(ISNUMBER(T99),T99/1000,"")</f>
        <v/>
      </c>
      <c r="AB99">
        <f>IF(ISNUMBER(W99),W99,0)</f>
        <v/>
      </c>
      <c r="AC99">
        <f>IF(ISNUMBER(T99),1,0)</f>
        <v/>
      </c>
    </row>
    <row r="100">
      <c r="A100" t="inlineStr">
        <is>
          <t>SIMULATED_ShelfStudy_POSM_vs_NoPOSM</t>
        </is>
      </c>
      <c r="B100" t="inlineStr">
        <is>
          <t>P18</t>
        </is>
      </c>
      <c r="C100" t="inlineStr">
        <is>
          <t>F</t>
        </is>
      </c>
      <c r="D100" t="inlineStr">
        <is>
          <t>35-44</t>
        </is>
      </c>
      <c r="E100" t="inlineStr">
        <is>
          <t>NoPOSM</t>
        </is>
      </c>
      <c r="F100" t="inlineStr">
        <is>
          <t>2026-10-14</t>
        </is>
      </c>
      <c r="G100" t="inlineStr">
        <is>
          <t>Shelf_NoPOSM_GazeMap</t>
        </is>
      </c>
      <c r="H100" t="inlineStr">
        <is>
          <t>Shelf_Other</t>
        </is>
      </c>
      <c r="I100" t="n">
        <v>192665</v>
      </c>
      <c r="J100" t="n">
        <v>192665</v>
      </c>
      <c r="K100" t="n">
        <v>100</v>
      </c>
      <c r="L100" t="n">
        <v>84.59999999999999</v>
      </c>
      <c r="M100" t="n">
        <v>1065</v>
      </c>
      <c r="N100" t="n">
        <v>3</v>
      </c>
      <c r="O100" t="n">
        <v>13398</v>
      </c>
      <c r="P100" t="n">
        <v>2</v>
      </c>
      <c r="Q100" t="n">
        <v>1</v>
      </c>
      <c r="R100" t="n">
        <v>51</v>
      </c>
      <c r="S100" t="n">
        <v>1183</v>
      </c>
      <c r="T100" t="n">
        <v>1183</v>
      </c>
      <c r="U100" t="n">
        <v>1183</v>
      </c>
      <c r="V100" t="n">
        <v>12979</v>
      </c>
      <c r="W100" t="n">
        <v>6.74</v>
      </c>
      <c r="X100" t="n">
        <v>254</v>
      </c>
      <c r="Y100" t="n">
        <v>286</v>
      </c>
      <c r="Z100">
        <f>IF(L100&gt;=70,"Yes","No")</f>
        <v/>
      </c>
      <c r="AA100">
        <f>IF(ISNUMBER(T100),T100/1000,"")</f>
        <v/>
      </c>
      <c r="AB100">
        <f>IF(ISNUMBER(W100),W100,0)</f>
        <v/>
      </c>
      <c r="AC100">
        <f>IF(ISNUMBER(T100),1,0)</f>
        <v/>
      </c>
    </row>
    <row r="101">
      <c r="A101" t="inlineStr">
        <is>
          <t>SIMULATED_ShelfStudy_POSM_vs_NoPOSM</t>
        </is>
      </c>
      <c r="B101" t="inlineStr">
        <is>
          <t>P19</t>
        </is>
      </c>
      <c r="C101" t="inlineStr">
        <is>
          <t>M</t>
        </is>
      </c>
      <c r="D101" t="inlineStr">
        <is>
          <t>25-34</t>
        </is>
      </c>
      <c r="E101" t="inlineStr">
        <is>
          <t>POSM</t>
        </is>
      </c>
      <c r="F101" t="inlineStr">
        <is>
          <t>2026-10-15</t>
        </is>
      </c>
      <c r="G101" t="inlineStr">
        <is>
          <t>Shelf_POSM_GazeMap</t>
        </is>
      </c>
      <c r="H101" t="inlineStr">
        <is>
          <t>Sensodyne_Products</t>
        </is>
      </c>
      <c r="I101" t="n">
        <v>176218</v>
      </c>
      <c r="J101" t="n">
        <v>176218</v>
      </c>
      <c r="K101" t="n">
        <v>100</v>
      </c>
      <c r="L101" t="n">
        <v>86.09999999999999</v>
      </c>
      <c r="M101" t="n">
        <v>2651</v>
      </c>
      <c r="N101" t="n">
        <v>4</v>
      </c>
      <c r="O101" t="n">
        <v>36689</v>
      </c>
      <c r="P101" t="n">
        <v>4</v>
      </c>
      <c r="Q101" t="n">
        <v>3</v>
      </c>
      <c r="R101" t="n">
        <v>106</v>
      </c>
      <c r="S101" t="n">
        <v>2773</v>
      </c>
      <c r="T101" t="n">
        <v>2773</v>
      </c>
      <c r="U101" t="n">
        <v>2773</v>
      </c>
      <c r="V101" t="n">
        <v>34770</v>
      </c>
      <c r="W101" t="n">
        <v>19.73</v>
      </c>
      <c r="X101" t="n">
        <v>328</v>
      </c>
      <c r="Y101" t="n">
        <v>278</v>
      </c>
      <c r="Z101">
        <f>IF(L101&gt;=70,"Yes","No")</f>
        <v/>
      </c>
      <c r="AA101">
        <f>IF(ISNUMBER(T101),T101/1000,"")</f>
        <v/>
      </c>
      <c r="AB101">
        <f>IF(ISNUMBER(W101),W101,0)</f>
        <v/>
      </c>
      <c r="AC101">
        <f>IF(ISNUMBER(T101),1,0)</f>
        <v/>
      </c>
    </row>
    <row r="102">
      <c r="A102" t="inlineStr">
        <is>
          <t>SIMULATED_ShelfStudy_POSM_vs_NoPOSM</t>
        </is>
      </c>
      <c r="B102" t="inlineStr">
        <is>
          <t>P19</t>
        </is>
      </c>
      <c r="C102" t="inlineStr">
        <is>
          <t>M</t>
        </is>
      </c>
      <c r="D102" t="inlineStr">
        <is>
          <t>25-34</t>
        </is>
      </c>
      <c r="E102" t="inlineStr">
        <is>
          <t>POSM</t>
        </is>
      </c>
      <c r="F102" t="inlineStr">
        <is>
          <t>2026-10-15</t>
        </is>
      </c>
      <c r="G102" t="inlineStr">
        <is>
          <t>Shelf_POSM_GazeMap</t>
        </is>
      </c>
      <c r="H102" t="inlineStr">
        <is>
          <t>Sensodyne_POSM_Wing</t>
        </is>
      </c>
      <c r="I102" t="n">
        <v>176218</v>
      </c>
      <c r="J102" t="n">
        <v>176218</v>
      </c>
      <c r="K102" t="n">
        <v>100</v>
      </c>
      <c r="L102" t="n">
        <v>86.09999999999999</v>
      </c>
      <c r="M102" t="n">
        <v>2934</v>
      </c>
      <c r="N102" t="n">
        <v>4</v>
      </c>
      <c r="O102" t="n">
        <v>17135</v>
      </c>
      <c r="P102" t="n">
        <v>3</v>
      </c>
      <c r="Q102" t="n">
        <v>2</v>
      </c>
      <c r="R102" t="n">
        <v>58</v>
      </c>
      <c r="S102" t="n">
        <v>3055</v>
      </c>
      <c r="T102" t="n">
        <v>3055</v>
      </c>
      <c r="U102" t="n">
        <v>3055</v>
      </c>
      <c r="V102" t="n">
        <v>15153</v>
      </c>
      <c r="W102" t="n">
        <v>8.6</v>
      </c>
      <c r="X102" t="n">
        <v>261</v>
      </c>
      <c r="Y102" t="n">
        <v>212</v>
      </c>
      <c r="Z102">
        <f>IF(L102&gt;=70,"Yes","No")</f>
        <v/>
      </c>
      <c r="AA102">
        <f>IF(ISNUMBER(T102),T102/1000,"")</f>
        <v/>
      </c>
      <c r="AB102">
        <f>IF(ISNUMBER(W102),W102,0)</f>
        <v/>
      </c>
      <c r="AC102">
        <f>IF(ISNUMBER(T102),1,0)</f>
        <v/>
      </c>
    </row>
    <row r="103">
      <c r="A103" t="inlineStr">
        <is>
          <t>SIMULATED_ShelfStudy_POSM_vs_NoPOSM</t>
        </is>
      </c>
      <c r="B103" t="inlineStr">
        <is>
          <t>P19</t>
        </is>
      </c>
      <c r="C103" t="inlineStr">
        <is>
          <t>M</t>
        </is>
      </c>
      <c r="D103" t="inlineStr">
        <is>
          <t>25-34</t>
        </is>
      </c>
      <c r="E103" t="inlineStr">
        <is>
          <t>POSM</t>
        </is>
      </c>
      <c r="F103" t="inlineStr">
        <is>
          <t>2026-10-15</t>
        </is>
      </c>
      <c r="G103" t="inlineStr">
        <is>
          <t>Shelf_POSM_GazeMap</t>
        </is>
      </c>
      <c r="H103" t="inlineStr">
        <is>
          <t>Competitor_A</t>
        </is>
      </c>
      <c r="I103" t="n">
        <v>176218</v>
      </c>
      <c r="J103" t="n">
        <v>176218</v>
      </c>
      <c r="K103" t="n">
        <v>100</v>
      </c>
      <c r="L103" t="n">
        <v>86.09999999999999</v>
      </c>
      <c r="M103" t="n">
        <v>1911</v>
      </c>
      <c r="N103" t="n">
        <v>10</v>
      </c>
      <c r="O103" t="n">
        <v>35070</v>
      </c>
      <c r="P103" t="n">
        <v>9</v>
      </c>
      <c r="Q103" t="n">
        <v>8</v>
      </c>
      <c r="R103" t="n">
        <v>122</v>
      </c>
      <c r="S103" t="n">
        <v>2195</v>
      </c>
      <c r="T103" t="n">
        <v>2195</v>
      </c>
      <c r="U103" t="n">
        <v>2195</v>
      </c>
      <c r="V103" t="n">
        <v>33952</v>
      </c>
      <c r="W103" t="n">
        <v>19.27</v>
      </c>
      <c r="X103" t="n">
        <v>278</v>
      </c>
      <c r="Y103" t="n">
        <v>430</v>
      </c>
      <c r="Z103">
        <f>IF(L103&gt;=70,"Yes","No")</f>
        <v/>
      </c>
      <c r="AA103">
        <f>IF(ISNUMBER(T103),T103/1000,"")</f>
        <v/>
      </c>
      <c r="AB103">
        <f>IF(ISNUMBER(W103),W103,0)</f>
        <v/>
      </c>
      <c r="AC103">
        <f>IF(ISNUMBER(T103),1,0)</f>
        <v/>
      </c>
    </row>
    <row r="104">
      <c r="A104" t="inlineStr">
        <is>
          <t>SIMULATED_ShelfStudy_POSM_vs_NoPOSM</t>
        </is>
      </c>
      <c r="B104" t="inlineStr">
        <is>
          <t>P19</t>
        </is>
      </c>
      <c r="C104" t="inlineStr">
        <is>
          <t>M</t>
        </is>
      </c>
      <c r="D104" t="inlineStr">
        <is>
          <t>25-34</t>
        </is>
      </c>
      <c r="E104" t="inlineStr">
        <is>
          <t>POSM</t>
        </is>
      </c>
      <c r="F104" t="inlineStr">
        <is>
          <t>2026-10-15</t>
        </is>
      </c>
      <c r="G104" t="inlineStr">
        <is>
          <t>Shelf_POSM_GazeMap</t>
        </is>
      </c>
      <c r="H104" t="inlineStr">
        <is>
          <t>Competitor_B</t>
        </is>
      </c>
      <c r="I104" t="n">
        <v>176218</v>
      </c>
      <c r="J104" t="n">
        <v>176218</v>
      </c>
      <c r="K104" t="n">
        <v>100</v>
      </c>
      <c r="L104" t="n">
        <v>86.09999999999999</v>
      </c>
      <c r="M104" t="n">
        <v>6486</v>
      </c>
      <c r="N104" t="n">
        <v>8</v>
      </c>
      <c r="O104" t="n">
        <v>28143</v>
      </c>
      <c r="P104" t="n">
        <v>8</v>
      </c>
      <c r="Q104" t="n">
        <v>7</v>
      </c>
      <c r="R104" t="n">
        <v>109</v>
      </c>
      <c r="S104" t="n">
        <v>6696</v>
      </c>
      <c r="T104" t="n">
        <v>6696</v>
      </c>
      <c r="U104" t="n">
        <v>6696</v>
      </c>
      <c r="V104" t="n">
        <v>25245</v>
      </c>
      <c r="W104" t="n">
        <v>14.33</v>
      </c>
      <c r="X104" t="n">
        <v>232</v>
      </c>
      <c r="Y104" t="n">
        <v>182</v>
      </c>
      <c r="Z104">
        <f>IF(L104&gt;=70,"Yes","No")</f>
        <v/>
      </c>
      <c r="AA104">
        <f>IF(ISNUMBER(T104),T104/1000,"")</f>
        <v/>
      </c>
      <c r="AB104">
        <f>IF(ISNUMBER(W104),W104,0)</f>
        <v/>
      </c>
      <c r="AC104">
        <f>IF(ISNUMBER(T104),1,0)</f>
        <v/>
      </c>
    </row>
    <row r="105">
      <c r="A105" t="inlineStr">
        <is>
          <t>SIMULATED_ShelfStudy_POSM_vs_NoPOSM</t>
        </is>
      </c>
      <c r="B105" t="inlineStr">
        <is>
          <t>P19</t>
        </is>
      </c>
      <c r="C105" t="inlineStr">
        <is>
          <t>M</t>
        </is>
      </c>
      <c r="D105" t="inlineStr">
        <is>
          <t>25-34</t>
        </is>
      </c>
      <c r="E105" t="inlineStr">
        <is>
          <t>POSM</t>
        </is>
      </c>
      <c r="F105" t="inlineStr">
        <is>
          <t>2026-10-15</t>
        </is>
      </c>
      <c r="G105" t="inlineStr">
        <is>
          <t>Shelf_POSM_GazeMap</t>
        </is>
      </c>
      <c r="H105" t="inlineStr">
        <is>
          <t>Price_Tags</t>
        </is>
      </c>
      <c r="I105" t="n">
        <v>176218</v>
      </c>
      <c r="J105" t="n">
        <v>176218</v>
      </c>
      <c r="K105" t="n">
        <v>100</v>
      </c>
      <c r="L105" t="n">
        <v>86.09999999999999</v>
      </c>
      <c r="M105" t="n">
        <v>11975</v>
      </c>
      <c r="N105" t="n">
        <v>4</v>
      </c>
      <c r="O105" t="n">
        <v>12212</v>
      </c>
      <c r="P105" t="n">
        <v>3</v>
      </c>
      <c r="Q105" t="n">
        <v>2</v>
      </c>
      <c r="R105" t="n">
        <v>32</v>
      </c>
      <c r="S105" t="n">
        <v>12272</v>
      </c>
      <c r="T105" t="n">
        <v>12272</v>
      </c>
      <c r="U105" t="n">
        <v>12272</v>
      </c>
      <c r="V105" t="n">
        <v>11721</v>
      </c>
      <c r="W105" t="n">
        <v>6.65</v>
      </c>
      <c r="X105" t="n">
        <v>366</v>
      </c>
      <c r="Y105" t="n">
        <v>184</v>
      </c>
      <c r="Z105">
        <f>IF(L105&gt;=70,"Yes","No")</f>
        <v/>
      </c>
      <c r="AA105">
        <f>IF(ISNUMBER(T105),T105/1000,"")</f>
        <v/>
      </c>
      <c r="AB105">
        <f>IF(ISNUMBER(W105),W105,0)</f>
        <v/>
      </c>
      <c r="AC105">
        <f>IF(ISNUMBER(T105),1,0)</f>
        <v/>
      </c>
    </row>
    <row r="106">
      <c r="A106" t="inlineStr">
        <is>
          <t>SIMULATED_ShelfStudy_POSM_vs_NoPOSM</t>
        </is>
      </c>
      <c r="B106" t="inlineStr">
        <is>
          <t>P19</t>
        </is>
      </c>
      <c r="C106" t="inlineStr">
        <is>
          <t>M</t>
        </is>
      </c>
      <c r="D106" t="inlineStr">
        <is>
          <t>25-34</t>
        </is>
      </c>
      <c r="E106" t="inlineStr">
        <is>
          <t>POSM</t>
        </is>
      </c>
      <c r="F106" t="inlineStr">
        <is>
          <t>2026-10-15</t>
        </is>
      </c>
      <c r="G106" t="inlineStr">
        <is>
          <t>Shelf_POSM_GazeMap</t>
        </is>
      </c>
      <c r="H106" t="inlineStr">
        <is>
          <t>Shelf_Other</t>
        </is>
      </c>
      <c r="I106" t="n">
        <v>176218</v>
      </c>
      <c r="J106" t="n">
        <v>176218</v>
      </c>
      <c r="K106" t="n">
        <v>100</v>
      </c>
      <c r="L106" t="n">
        <v>86.09999999999999</v>
      </c>
      <c r="M106" t="n">
        <v>1327</v>
      </c>
      <c r="N106" t="n">
        <v>12</v>
      </c>
      <c r="O106" t="n">
        <v>50414</v>
      </c>
      <c r="P106" t="n">
        <v>12</v>
      </c>
      <c r="Q106" t="n">
        <v>11</v>
      </c>
      <c r="R106" t="n">
        <v>207</v>
      </c>
      <c r="S106" t="n">
        <v>1424</v>
      </c>
      <c r="T106" t="n">
        <v>1424</v>
      </c>
      <c r="U106" t="n">
        <v>1424</v>
      </c>
      <c r="V106" t="n">
        <v>46566</v>
      </c>
      <c r="W106" t="n">
        <v>26.43</v>
      </c>
      <c r="X106" t="n">
        <v>225</v>
      </c>
      <c r="Y106" t="n">
        <v>218</v>
      </c>
      <c r="Z106">
        <f>IF(L106&gt;=70,"Yes","No")</f>
        <v/>
      </c>
      <c r="AA106">
        <f>IF(ISNUMBER(T106),T106/1000,"")</f>
        <v/>
      </c>
      <c r="AB106">
        <f>IF(ISNUMBER(W106),W106,0)</f>
        <v/>
      </c>
      <c r="AC106">
        <f>IF(ISNUMBER(T106),1,0)</f>
        <v/>
      </c>
    </row>
    <row r="107">
      <c r="A107" t="inlineStr">
        <is>
          <t>SIMULATED_ShelfStudy_POSM_vs_NoPOSM</t>
        </is>
      </c>
      <c r="B107" t="inlineStr">
        <is>
          <t>P20</t>
        </is>
      </c>
      <c r="C107" t="inlineStr">
        <is>
          <t>F</t>
        </is>
      </c>
      <c r="D107" t="inlineStr">
        <is>
          <t>45-59</t>
        </is>
      </c>
      <c r="E107" t="inlineStr">
        <is>
          <t>NoPOSM</t>
        </is>
      </c>
      <c r="F107" t="inlineStr">
        <is>
          <t>2026-10-15</t>
        </is>
      </c>
      <c r="G107" t="inlineStr">
        <is>
          <t>Shelf_NoPOSM_GazeMap</t>
        </is>
      </c>
      <c r="H107" t="inlineStr">
        <is>
          <t>Sensodyne_Products</t>
        </is>
      </c>
      <c r="I107" t="n">
        <v>154840</v>
      </c>
      <c r="J107" t="n">
        <v>154840</v>
      </c>
      <c r="K107" t="n">
        <v>100</v>
      </c>
      <c r="L107" t="n">
        <v>82.40000000000001</v>
      </c>
      <c r="M107" t="n">
        <v>2401</v>
      </c>
      <c r="N107" t="n">
        <v>3</v>
      </c>
      <c r="O107" t="n">
        <v>10029</v>
      </c>
      <c r="P107" t="n">
        <v>3</v>
      </c>
      <c r="Q107" t="n">
        <v>2</v>
      </c>
      <c r="R107" t="n">
        <v>30</v>
      </c>
      <c r="S107" t="n">
        <v>2660</v>
      </c>
      <c r="T107" t="n">
        <v>2660</v>
      </c>
      <c r="U107" t="n">
        <v>2660</v>
      </c>
      <c r="V107" t="n">
        <v>9150</v>
      </c>
      <c r="W107" t="n">
        <v>5.91</v>
      </c>
      <c r="X107" t="n">
        <v>305</v>
      </c>
      <c r="Y107" t="n">
        <v>252</v>
      </c>
      <c r="Z107">
        <f>IF(L107&gt;=70,"Yes","No")</f>
        <v/>
      </c>
      <c r="AA107">
        <f>IF(ISNUMBER(T107),T107/1000,"")</f>
        <v/>
      </c>
      <c r="AB107">
        <f>IF(ISNUMBER(W107),W107,0)</f>
        <v/>
      </c>
      <c r="AC107">
        <f>IF(ISNUMBER(T107),1,0)</f>
        <v/>
      </c>
    </row>
    <row r="108">
      <c r="A108" t="inlineStr">
        <is>
          <t>SIMULATED_ShelfStudy_POSM_vs_NoPOSM</t>
        </is>
      </c>
      <c r="B108" t="inlineStr">
        <is>
          <t>P20</t>
        </is>
      </c>
      <c r="C108" t="inlineStr">
        <is>
          <t>F</t>
        </is>
      </c>
      <c r="D108" t="inlineStr">
        <is>
          <t>45-59</t>
        </is>
      </c>
      <c r="E108" t="inlineStr">
        <is>
          <t>NoPOSM</t>
        </is>
      </c>
      <c r="F108" t="inlineStr">
        <is>
          <t>2026-10-15</t>
        </is>
      </c>
      <c r="G108" t="inlineStr">
        <is>
          <t>Shelf_NoPOSM_GazeMap</t>
        </is>
      </c>
      <c r="H108" t="inlineStr">
        <is>
          <t>Competitor_A</t>
        </is>
      </c>
      <c r="I108" t="n">
        <v>154840</v>
      </c>
      <c r="J108" t="n">
        <v>154840</v>
      </c>
      <c r="K108" t="n">
        <v>100</v>
      </c>
      <c r="L108" t="n">
        <v>82.40000000000001</v>
      </c>
      <c r="M108" t="n">
        <v>1691</v>
      </c>
      <c r="N108" t="n">
        <v>6</v>
      </c>
      <c r="O108" t="n">
        <v>27219</v>
      </c>
      <c r="P108" t="n">
        <v>6</v>
      </c>
      <c r="Q108" t="n">
        <v>5</v>
      </c>
      <c r="R108" t="n">
        <v>79</v>
      </c>
      <c r="S108" t="n">
        <v>1786</v>
      </c>
      <c r="T108" t="n">
        <v>1786</v>
      </c>
      <c r="U108" t="n">
        <v>1786</v>
      </c>
      <c r="V108" t="n">
        <v>25464</v>
      </c>
      <c r="W108" t="n">
        <v>16.45</v>
      </c>
      <c r="X108" t="n">
        <v>322</v>
      </c>
      <c r="Y108" t="n">
        <v>324</v>
      </c>
      <c r="Z108">
        <f>IF(L108&gt;=70,"Yes","No")</f>
        <v/>
      </c>
      <c r="AA108">
        <f>IF(ISNUMBER(T108),T108/1000,"")</f>
        <v/>
      </c>
      <c r="AB108">
        <f>IF(ISNUMBER(W108),W108,0)</f>
        <v/>
      </c>
      <c r="AC108">
        <f>IF(ISNUMBER(T108),1,0)</f>
        <v/>
      </c>
    </row>
    <row r="109">
      <c r="A109" t="inlineStr">
        <is>
          <t>SIMULATED_ShelfStudy_POSM_vs_NoPOSM</t>
        </is>
      </c>
      <c r="B109" t="inlineStr">
        <is>
          <t>P20</t>
        </is>
      </c>
      <c r="C109" t="inlineStr">
        <is>
          <t>F</t>
        </is>
      </c>
      <c r="D109" t="inlineStr">
        <is>
          <t>45-59</t>
        </is>
      </c>
      <c r="E109" t="inlineStr">
        <is>
          <t>NoPOSM</t>
        </is>
      </c>
      <c r="F109" t="inlineStr">
        <is>
          <t>2026-10-15</t>
        </is>
      </c>
      <c r="G109" t="inlineStr">
        <is>
          <t>Shelf_NoPOSM_GazeMap</t>
        </is>
      </c>
      <c r="H109" t="inlineStr">
        <is>
          <t>Competitor_B</t>
        </is>
      </c>
      <c r="I109" t="n">
        <v>154840</v>
      </c>
      <c r="J109" t="n">
        <v>154840</v>
      </c>
      <c r="K109" t="n">
        <v>100</v>
      </c>
      <c r="L109" t="n">
        <v>82.40000000000001</v>
      </c>
      <c r="M109" t="n">
        <v>4585</v>
      </c>
      <c r="N109" t="n">
        <v>6</v>
      </c>
      <c r="O109" t="n">
        <v>19136</v>
      </c>
      <c r="P109" t="n">
        <v>6</v>
      </c>
      <c r="Q109" t="n">
        <v>5</v>
      </c>
      <c r="R109" t="n">
        <v>74</v>
      </c>
      <c r="S109" t="n">
        <v>4796</v>
      </c>
      <c r="T109" t="n">
        <v>4796</v>
      </c>
      <c r="U109" t="n">
        <v>4796</v>
      </c>
      <c r="V109" t="n">
        <v>16803</v>
      </c>
      <c r="W109" t="n">
        <v>10.85</v>
      </c>
      <c r="X109" t="n">
        <v>227</v>
      </c>
      <c r="Y109" t="n">
        <v>204</v>
      </c>
      <c r="Z109">
        <f>IF(L109&gt;=70,"Yes","No")</f>
        <v/>
      </c>
      <c r="AA109">
        <f>IF(ISNUMBER(T109),T109/1000,"")</f>
        <v/>
      </c>
      <c r="AB109">
        <f>IF(ISNUMBER(W109),W109,0)</f>
        <v/>
      </c>
      <c r="AC109">
        <f>IF(ISNUMBER(T109),1,0)</f>
        <v/>
      </c>
    </row>
    <row r="110">
      <c r="A110" t="inlineStr">
        <is>
          <t>SIMULATED_ShelfStudy_POSM_vs_NoPOSM</t>
        </is>
      </c>
      <c r="B110" t="inlineStr">
        <is>
          <t>P20</t>
        </is>
      </c>
      <c r="C110" t="inlineStr">
        <is>
          <t>F</t>
        </is>
      </c>
      <c r="D110" t="inlineStr">
        <is>
          <t>45-59</t>
        </is>
      </c>
      <c r="E110" t="inlineStr">
        <is>
          <t>NoPOSM</t>
        </is>
      </c>
      <c r="F110" t="inlineStr">
        <is>
          <t>2026-10-15</t>
        </is>
      </c>
      <c r="G110" t="inlineStr">
        <is>
          <t>Shelf_NoPOSM_GazeMap</t>
        </is>
      </c>
      <c r="H110" t="inlineStr">
        <is>
          <t>Price_Tags</t>
        </is>
      </c>
      <c r="I110" t="n">
        <v>154840</v>
      </c>
      <c r="J110" t="n">
        <v>154840</v>
      </c>
      <c r="K110" t="n">
        <v>100</v>
      </c>
      <c r="L110" t="n">
        <v>82.40000000000001</v>
      </c>
      <c r="M110" t="inlineStr">
        <is>
          <t>NA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NA</t>
        </is>
      </c>
      <c r="U110" t="n">
        <v>154840</v>
      </c>
      <c r="V110" t="inlineStr">
        <is>
          <t>NA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>
        <f>IF(L110&gt;=70,"Yes","No")</f>
        <v/>
      </c>
      <c r="AA110">
        <f>IF(ISNUMBER(T110),T110/1000,"")</f>
        <v/>
      </c>
      <c r="AB110">
        <f>IF(ISNUMBER(W110),W110,0)</f>
        <v/>
      </c>
      <c r="AC110">
        <f>IF(ISNUMBER(T110),1,0)</f>
        <v/>
      </c>
    </row>
    <row r="111">
      <c r="A111" t="inlineStr">
        <is>
          <t>SIMULATED_ShelfStudy_POSM_vs_NoPOSM</t>
        </is>
      </c>
      <c r="B111" t="inlineStr">
        <is>
          <t>P20</t>
        </is>
      </c>
      <c r="C111" t="inlineStr">
        <is>
          <t>F</t>
        </is>
      </c>
      <c r="D111" t="inlineStr">
        <is>
          <t>45-59</t>
        </is>
      </c>
      <c r="E111" t="inlineStr">
        <is>
          <t>NoPOSM</t>
        </is>
      </c>
      <c r="F111" t="inlineStr">
        <is>
          <t>2026-10-15</t>
        </is>
      </c>
      <c r="G111" t="inlineStr">
        <is>
          <t>Shelf_NoPOSM_GazeMap</t>
        </is>
      </c>
      <c r="H111" t="inlineStr">
        <is>
          <t>Shelf_Other</t>
        </is>
      </c>
      <c r="I111" t="n">
        <v>154840</v>
      </c>
      <c r="J111" t="n">
        <v>154840</v>
      </c>
      <c r="K111" t="n">
        <v>100</v>
      </c>
      <c r="L111" t="n">
        <v>82.40000000000001</v>
      </c>
      <c r="M111" t="n">
        <v>447</v>
      </c>
      <c r="N111" t="n">
        <v>6</v>
      </c>
      <c r="O111" t="n">
        <v>24325</v>
      </c>
      <c r="P111" t="n">
        <v>6</v>
      </c>
      <c r="Q111" t="n">
        <v>5</v>
      </c>
      <c r="R111" t="n">
        <v>93</v>
      </c>
      <c r="S111" t="n">
        <v>627</v>
      </c>
      <c r="T111" t="n">
        <v>627</v>
      </c>
      <c r="U111" t="n">
        <v>627</v>
      </c>
      <c r="V111" t="n">
        <v>22715</v>
      </c>
      <c r="W111" t="n">
        <v>14.67</v>
      </c>
      <c r="X111" t="n">
        <v>244</v>
      </c>
      <c r="Y111" t="n">
        <v>230</v>
      </c>
      <c r="Z111">
        <f>IF(L111&gt;=70,"Yes","No")</f>
        <v/>
      </c>
      <c r="AA111">
        <f>IF(ISNUMBER(T111),T111/1000,"")</f>
        <v/>
      </c>
      <c r="AB111">
        <f>IF(ISNUMBER(W111),W111,0)</f>
        <v/>
      </c>
      <c r="AC111">
        <f>IF(ISNUMBER(T111),1,0)</f>
        <v/>
      </c>
    </row>
    <row r="112">
      <c r="A112" t="inlineStr">
        <is>
          <t>SIMULATED_ShelfStudy_POSM_vs_NoPOSM</t>
        </is>
      </c>
      <c r="B112" t="inlineStr">
        <is>
          <t>P21</t>
        </is>
      </c>
      <c r="C112" t="inlineStr">
        <is>
          <t>F</t>
        </is>
      </c>
      <c r="D112" t="inlineStr">
        <is>
          <t>18-24</t>
        </is>
      </c>
      <c r="E112" t="inlineStr">
        <is>
          <t>POSM</t>
        </is>
      </c>
      <c r="F112" t="inlineStr">
        <is>
          <t>2026-10-15</t>
        </is>
      </c>
      <c r="G112" t="inlineStr">
        <is>
          <t>Shelf_POSM_GazeMap</t>
        </is>
      </c>
      <c r="H112" t="inlineStr">
        <is>
          <t>Sensodyne_Products</t>
        </is>
      </c>
      <c r="I112" t="n">
        <v>110490</v>
      </c>
      <c r="J112" t="n">
        <v>110490</v>
      </c>
      <c r="K112" t="n">
        <v>100</v>
      </c>
      <c r="L112" t="n">
        <v>93.8</v>
      </c>
      <c r="M112" t="n">
        <v>4021</v>
      </c>
      <c r="N112" t="n">
        <v>1</v>
      </c>
      <c r="O112" t="n">
        <v>16525</v>
      </c>
      <c r="P112" t="n">
        <v>1</v>
      </c>
      <c r="Q112" t="n">
        <v>0</v>
      </c>
      <c r="R112" t="n">
        <v>46</v>
      </c>
      <c r="S112" t="n">
        <v>4292</v>
      </c>
      <c r="T112" t="n">
        <v>4292</v>
      </c>
      <c r="U112" t="n">
        <v>4292</v>
      </c>
      <c r="V112" t="n">
        <v>15686</v>
      </c>
      <c r="W112" t="n">
        <v>14.2</v>
      </c>
      <c r="X112" t="n">
        <v>341</v>
      </c>
      <c r="Y112" t="n">
        <v>296</v>
      </c>
      <c r="Z112">
        <f>IF(L112&gt;=70,"Yes","No")</f>
        <v/>
      </c>
      <c r="AA112">
        <f>IF(ISNUMBER(T112),T112/1000,"")</f>
        <v/>
      </c>
      <c r="AB112">
        <f>IF(ISNUMBER(W112),W112,0)</f>
        <v/>
      </c>
      <c r="AC112">
        <f>IF(ISNUMBER(T112),1,0)</f>
        <v/>
      </c>
    </row>
    <row r="113">
      <c r="A113" t="inlineStr">
        <is>
          <t>SIMULATED_ShelfStudy_POSM_vs_NoPOSM</t>
        </is>
      </c>
      <c r="B113" t="inlineStr">
        <is>
          <t>P21</t>
        </is>
      </c>
      <c r="C113" t="inlineStr">
        <is>
          <t>F</t>
        </is>
      </c>
      <c r="D113" t="inlineStr">
        <is>
          <t>18-24</t>
        </is>
      </c>
      <c r="E113" t="inlineStr">
        <is>
          <t>POSM</t>
        </is>
      </c>
      <c r="F113" t="inlineStr">
        <is>
          <t>2026-10-15</t>
        </is>
      </c>
      <c r="G113" t="inlineStr">
        <is>
          <t>Shelf_POSM_GazeMap</t>
        </is>
      </c>
      <c r="H113" t="inlineStr">
        <is>
          <t>Sensodyne_POSM_Wing</t>
        </is>
      </c>
      <c r="I113" t="n">
        <v>110490</v>
      </c>
      <c r="J113" t="n">
        <v>110490</v>
      </c>
      <c r="K113" t="n">
        <v>100</v>
      </c>
      <c r="L113" t="n">
        <v>93.8</v>
      </c>
      <c r="M113" t="n">
        <v>1240</v>
      </c>
      <c r="N113" t="n">
        <v>4</v>
      </c>
      <c r="O113" t="n">
        <v>8111</v>
      </c>
      <c r="P113" t="n">
        <v>3</v>
      </c>
      <c r="Q113" t="n">
        <v>2</v>
      </c>
      <c r="R113" t="n">
        <v>21</v>
      </c>
      <c r="S113" t="n">
        <v>1536</v>
      </c>
      <c r="T113" t="n">
        <v>1536</v>
      </c>
      <c r="U113" t="n">
        <v>1536</v>
      </c>
      <c r="V113" t="n">
        <v>7054</v>
      </c>
      <c r="W113" t="n">
        <v>6.38</v>
      </c>
      <c r="X113" t="n">
        <v>336</v>
      </c>
      <c r="Y113" t="n">
        <v>330</v>
      </c>
      <c r="Z113">
        <f>IF(L113&gt;=70,"Yes","No")</f>
        <v/>
      </c>
      <c r="AA113">
        <f>IF(ISNUMBER(T113),T113/1000,"")</f>
        <v/>
      </c>
      <c r="AB113">
        <f>IF(ISNUMBER(W113),W113,0)</f>
        <v/>
      </c>
      <c r="AC113">
        <f>IF(ISNUMBER(T113),1,0)</f>
        <v/>
      </c>
    </row>
    <row r="114">
      <c r="A114" t="inlineStr">
        <is>
          <t>SIMULATED_ShelfStudy_POSM_vs_NoPOSM</t>
        </is>
      </c>
      <c r="B114" t="inlineStr">
        <is>
          <t>P21</t>
        </is>
      </c>
      <c r="C114" t="inlineStr">
        <is>
          <t>F</t>
        </is>
      </c>
      <c r="D114" t="inlineStr">
        <is>
          <t>18-24</t>
        </is>
      </c>
      <c r="E114" t="inlineStr">
        <is>
          <t>POSM</t>
        </is>
      </c>
      <c r="F114" t="inlineStr">
        <is>
          <t>2026-10-15</t>
        </is>
      </c>
      <c r="G114" t="inlineStr">
        <is>
          <t>Shelf_POSM_GazeMap</t>
        </is>
      </c>
      <c r="H114" t="inlineStr">
        <is>
          <t>Competitor_A</t>
        </is>
      </c>
      <c r="I114" t="n">
        <v>110490</v>
      </c>
      <c r="J114" t="n">
        <v>110490</v>
      </c>
      <c r="K114" t="n">
        <v>100</v>
      </c>
      <c r="L114" t="n">
        <v>93.8</v>
      </c>
      <c r="M114" t="n">
        <v>2667</v>
      </c>
      <c r="N114" t="n">
        <v>5</v>
      </c>
      <c r="O114" t="n">
        <v>13756</v>
      </c>
      <c r="P114" t="n">
        <v>5</v>
      </c>
      <c r="Q114" t="n">
        <v>4</v>
      </c>
      <c r="R114" t="n">
        <v>66</v>
      </c>
      <c r="S114" t="n">
        <v>2774</v>
      </c>
      <c r="T114" t="n">
        <v>2774</v>
      </c>
      <c r="U114" t="n">
        <v>2774</v>
      </c>
      <c r="V114" t="n">
        <v>12315</v>
      </c>
      <c r="W114" t="n">
        <v>11.15</v>
      </c>
      <c r="X114" t="n">
        <v>187</v>
      </c>
      <c r="Y114" t="n">
        <v>324</v>
      </c>
      <c r="Z114">
        <f>IF(L114&gt;=70,"Yes","No")</f>
        <v/>
      </c>
      <c r="AA114">
        <f>IF(ISNUMBER(T114),T114/1000,"")</f>
        <v/>
      </c>
      <c r="AB114">
        <f>IF(ISNUMBER(W114),W114,0)</f>
        <v/>
      </c>
      <c r="AC114">
        <f>IF(ISNUMBER(T114),1,0)</f>
        <v/>
      </c>
    </row>
    <row r="115">
      <c r="A115" t="inlineStr">
        <is>
          <t>SIMULATED_ShelfStudy_POSM_vs_NoPOSM</t>
        </is>
      </c>
      <c r="B115" t="inlineStr">
        <is>
          <t>P21</t>
        </is>
      </c>
      <c r="C115" t="inlineStr">
        <is>
          <t>F</t>
        </is>
      </c>
      <c r="D115" t="inlineStr">
        <is>
          <t>18-24</t>
        </is>
      </c>
      <c r="E115" t="inlineStr">
        <is>
          <t>POSM</t>
        </is>
      </c>
      <c r="F115" t="inlineStr">
        <is>
          <t>2026-10-15</t>
        </is>
      </c>
      <c r="G115" t="inlineStr">
        <is>
          <t>Shelf_POSM_GazeMap</t>
        </is>
      </c>
      <c r="H115" t="inlineStr">
        <is>
          <t>Competitor_B</t>
        </is>
      </c>
      <c r="I115" t="n">
        <v>110490</v>
      </c>
      <c r="J115" t="n">
        <v>110490</v>
      </c>
      <c r="K115" t="n">
        <v>100</v>
      </c>
      <c r="L115" t="n">
        <v>93.8</v>
      </c>
      <c r="M115" t="n">
        <v>4338</v>
      </c>
      <c r="N115" t="n">
        <v>3</v>
      </c>
      <c r="O115" t="n">
        <v>7588</v>
      </c>
      <c r="P115" t="n">
        <v>3</v>
      </c>
      <c r="Q115" t="n">
        <v>2</v>
      </c>
      <c r="R115" t="n">
        <v>31</v>
      </c>
      <c r="S115" t="n">
        <v>4485</v>
      </c>
      <c r="T115" t="n">
        <v>4485</v>
      </c>
      <c r="U115" t="n">
        <v>4485</v>
      </c>
      <c r="V115" t="n">
        <v>7284</v>
      </c>
      <c r="W115" t="n">
        <v>6.59</v>
      </c>
      <c r="X115" t="n">
        <v>235</v>
      </c>
      <c r="Y115" t="n">
        <v>377</v>
      </c>
      <c r="Z115">
        <f>IF(L115&gt;=70,"Yes","No")</f>
        <v/>
      </c>
      <c r="AA115">
        <f>IF(ISNUMBER(T115),T115/1000,"")</f>
        <v/>
      </c>
      <c r="AB115">
        <f>IF(ISNUMBER(W115),W115,0)</f>
        <v/>
      </c>
      <c r="AC115">
        <f>IF(ISNUMBER(T115),1,0)</f>
        <v/>
      </c>
    </row>
    <row r="116">
      <c r="A116" t="inlineStr">
        <is>
          <t>SIMULATED_ShelfStudy_POSM_vs_NoPOSM</t>
        </is>
      </c>
      <c r="B116" t="inlineStr">
        <is>
          <t>P21</t>
        </is>
      </c>
      <c r="C116" t="inlineStr">
        <is>
          <t>F</t>
        </is>
      </c>
      <c r="D116" t="inlineStr">
        <is>
          <t>18-24</t>
        </is>
      </c>
      <c r="E116" t="inlineStr">
        <is>
          <t>POSM</t>
        </is>
      </c>
      <c r="F116" t="inlineStr">
        <is>
          <t>2026-10-15</t>
        </is>
      </c>
      <c r="G116" t="inlineStr">
        <is>
          <t>Shelf_POSM_GazeMap</t>
        </is>
      </c>
      <c r="H116" t="inlineStr">
        <is>
          <t>Price_Tags</t>
        </is>
      </c>
      <c r="I116" t="n">
        <v>110490</v>
      </c>
      <c r="J116" t="n">
        <v>110490</v>
      </c>
      <c r="K116" t="n">
        <v>100</v>
      </c>
      <c r="L116" t="n">
        <v>93.8</v>
      </c>
      <c r="M116" t="n">
        <v>6112</v>
      </c>
      <c r="N116" t="n">
        <v>2</v>
      </c>
      <c r="O116" t="n">
        <v>4841</v>
      </c>
      <c r="P116" t="n">
        <v>2</v>
      </c>
      <c r="Q116" t="n">
        <v>1</v>
      </c>
      <c r="R116" t="n">
        <v>21</v>
      </c>
      <c r="S116" t="n">
        <v>6398</v>
      </c>
      <c r="T116" t="n">
        <v>6398</v>
      </c>
      <c r="U116" t="n">
        <v>6398</v>
      </c>
      <c r="V116" t="n">
        <v>4624</v>
      </c>
      <c r="W116" t="n">
        <v>4.18</v>
      </c>
      <c r="X116" t="n">
        <v>220</v>
      </c>
      <c r="Y116" t="n">
        <v>181</v>
      </c>
      <c r="Z116">
        <f>IF(L116&gt;=70,"Yes","No")</f>
        <v/>
      </c>
      <c r="AA116">
        <f>IF(ISNUMBER(T116),T116/1000,"")</f>
        <v/>
      </c>
      <c r="AB116">
        <f>IF(ISNUMBER(W116),W116,0)</f>
        <v/>
      </c>
      <c r="AC116">
        <f>IF(ISNUMBER(T116),1,0)</f>
        <v/>
      </c>
    </row>
    <row r="117">
      <c r="A117" t="inlineStr">
        <is>
          <t>SIMULATED_ShelfStudy_POSM_vs_NoPOSM</t>
        </is>
      </c>
      <c r="B117" t="inlineStr">
        <is>
          <t>P21</t>
        </is>
      </c>
      <c r="C117" t="inlineStr">
        <is>
          <t>F</t>
        </is>
      </c>
      <c r="D117" t="inlineStr">
        <is>
          <t>18-24</t>
        </is>
      </c>
      <c r="E117" t="inlineStr">
        <is>
          <t>POSM</t>
        </is>
      </c>
      <c r="F117" t="inlineStr">
        <is>
          <t>2026-10-15</t>
        </is>
      </c>
      <c r="G117" t="inlineStr">
        <is>
          <t>Shelf_POSM_GazeMap</t>
        </is>
      </c>
      <c r="H117" t="inlineStr">
        <is>
          <t>Shelf_Other</t>
        </is>
      </c>
      <c r="I117" t="n">
        <v>110490</v>
      </c>
      <c r="J117" t="n">
        <v>110490</v>
      </c>
      <c r="K117" t="n">
        <v>100</v>
      </c>
      <c r="L117" t="n">
        <v>93.8</v>
      </c>
      <c r="M117" t="n">
        <v>502</v>
      </c>
      <c r="N117" t="n">
        <v>4</v>
      </c>
      <c r="O117" t="n">
        <v>12680</v>
      </c>
      <c r="P117" t="n">
        <v>3</v>
      </c>
      <c r="Q117" t="n">
        <v>2</v>
      </c>
      <c r="R117" t="n">
        <v>46</v>
      </c>
      <c r="S117" t="n">
        <v>785</v>
      </c>
      <c r="T117" t="n">
        <v>785</v>
      </c>
      <c r="U117" t="n">
        <v>785</v>
      </c>
      <c r="V117" t="n">
        <v>11729</v>
      </c>
      <c r="W117" t="n">
        <v>10.62</v>
      </c>
      <c r="X117" t="n">
        <v>255</v>
      </c>
      <c r="Y117" t="n">
        <v>230</v>
      </c>
      <c r="Z117">
        <f>IF(L117&gt;=70,"Yes","No")</f>
        <v/>
      </c>
      <c r="AA117">
        <f>IF(ISNUMBER(T117),T117/1000,"")</f>
        <v/>
      </c>
      <c r="AB117">
        <f>IF(ISNUMBER(W117),W117,0)</f>
        <v/>
      </c>
      <c r="AC117">
        <f>IF(ISNUMBER(T117),1,0)</f>
        <v/>
      </c>
    </row>
    <row r="118">
      <c r="A118" t="inlineStr">
        <is>
          <t>SIMULATED_ShelfStudy_POSM_vs_NoPOSM</t>
        </is>
      </c>
      <c r="B118" t="inlineStr">
        <is>
          <t>P22</t>
        </is>
      </c>
      <c r="C118" t="inlineStr">
        <is>
          <t>F</t>
        </is>
      </c>
      <c r="D118" t="inlineStr">
        <is>
          <t>35-44</t>
        </is>
      </c>
      <c r="E118" t="inlineStr">
        <is>
          <t>NoPOSM</t>
        </is>
      </c>
      <c r="F118" t="inlineStr">
        <is>
          <t>2026-10-15</t>
        </is>
      </c>
      <c r="G118" t="inlineStr">
        <is>
          <t>Shelf_NoPOSM_GazeMap</t>
        </is>
      </c>
      <c r="H118" t="inlineStr">
        <is>
          <t>Sensodyne_Products</t>
        </is>
      </c>
      <c r="I118" t="n">
        <v>217443</v>
      </c>
      <c r="J118" t="n">
        <v>217443</v>
      </c>
      <c r="K118" t="n">
        <v>100</v>
      </c>
      <c r="L118" t="n">
        <v>81.7</v>
      </c>
      <c r="M118" t="n">
        <v>4084</v>
      </c>
      <c r="N118" t="n">
        <v>6</v>
      </c>
      <c r="O118" t="n">
        <v>29431</v>
      </c>
      <c r="P118" t="n">
        <v>5</v>
      </c>
      <c r="Q118" t="n">
        <v>4</v>
      </c>
      <c r="R118" t="n">
        <v>77</v>
      </c>
      <c r="S118" t="n">
        <v>4373</v>
      </c>
      <c r="T118" t="n">
        <v>4373</v>
      </c>
      <c r="U118" t="n">
        <v>4373</v>
      </c>
      <c r="V118" t="n">
        <v>27520</v>
      </c>
      <c r="W118" t="n">
        <v>12.66</v>
      </c>
      <c r="X118" t="n">
        <v>357</v>
      </c>
      <c r="Y118" t="n">
        <v>156</v>
      </c>
      <c r="Z118">
        <f>IF(L118&gt;=70,"Yes","No")</f>
        <v/>
      </c>
      <c r="AA118">
        <f>IF(ISNUMBER(T118),T118/1000,"")</f>
        <v/>
      </c>
      <c r="AB118">
        <f>IF(ISNUMBER(W118),W118,0)</f>
        <v/>
      </c>
      <c r="AC118">
        <f>IF(ISNUMBER(T118),1,0)</f>
        <v/>
      </c>
    </row>
    <row r="119">
      <c r="A119" t="inlineStr">
        <is>
          <t>SIMULATED_ShelfStudy_POSM_vs_NoPOSM</t>
        </is>
      </c>
      <c r="B119" t="inlineStr">
        <is>
          <t>P22</t>
        </is>
      </c>
      <c r="C119" t="inlineStr">
        <is>
          <t>F</t>
        </is>
      </c>
      <c r="D119" t="inlineStr">
        <is>
          <t>35-44</t>
        </is>
      </c>
      <c r="E119" t="inlineStr">
        <is>
          <t>NoPOSM</t>
        </is>
      </c>
      <c r="F119" t="inlineStr">
        <is>
          <t>2026-10-15</t>
        </is>
      </c>
      <c r="G119" t="inlineStr">
        <is>
          <t>Shelf_NoPOSM_GazeMap</t>
        </is>
      </c>
      <c r="H119" t="inlineStr">
        <is>
          <t>Competitor_A</t>
        </is>
      </c>
      <c r="I119" t="n">
        <v>217443</v>
      </c>
      <c r="J119" t="n">
        <v>217443</v>
      </c>
      <c r="K119" t="n">
        <v>100</v>
      </c>
      <c r="L119" t="n">
        <v>81.7</v>
      </c>
      <c r="M119" t="n">
        <v>2075</v>
      </c>
      <c r="N119" t="n">
        <v>3</v>
      </c>
      <c r="O119" t="n">
        <v>22403</v>
      </c>
      <c r="P119" t="n">
        <v>3</v>
      </c>
      <c r="Q119" t="n">
        <v>2</v>
      </c>
      <c r="R119" t="n">
        <v>64</v>
      </c>
      <c r="S119" t="n">
        <v>2166</v>
      </c>
      <c r="T119" t="n">
        <v>2166</v>
      </c>
      <c r="U119" t="n">
        <v>2166</v>
      </c>
      <c r="V119" t="n">
        <v>20360</v>
      </c>
      <c r="W119" t="n">
        <v>9.359999999999999</v>
      </c>
      <c r="X119" t="n">
        <v>318</v>
      </c>
      <c r="Y119" t="n">
        <v>214</v>
      </c>
      <c r="Z119">
        <f>IF(L119&gt;=70,"Yes","No")</f>
        <v/>
      </c>
      <c r="AA119">
        <f>IF(ISNUMBER(T119),T119/1000,"")</f>
        <v/>
      </c>
      <c r="AB119">
        <f>IF(ISNUMBER(W119),W119,0)</f>
        <v/>
      </c>
      <c r="AC119">
        <f>IF(ISNUMBER(T119),1,0)</f>
        <v/>
      </c>
    </row>
    <row r="120">
      <c r="A120" t="inlineStr">
        <is>
          <t>SIMULATED_ShelfStudy_POSM_vs_NoPOSM</t>
        </is>
      </c>
      <c r="B120" t="inlineStr">
        <is>
          <t>P22</t>
        </is>
      </c>
      <c r="C120" t="inlineStr">
        <is>
          <t>F</t>
        </is>
      </c>
      <c r="D120" t="inlineStr">
        <is>
          <t>35-44</t>
        </is>
      </c>
      <c r="E120" t="inlineStr">
        <is>
          <t>NoPOSM</t>
        </is>
      </c>
      <c r="F120" t="inlineStr">
        <is>
          <t>2026-10-15</t>
        </is>
      </c>
      <c r="G120" t="inlineStr">
        <is>
          <t>Shelf_NoPOSM_GazeMap</t>
        </is>
      </c>
      <c r="H120" t="inlineStr">
        <is>
          <t>Competitor_B</t>
        </is>
      </c>
      <c r="I120" t="n">
        <v>217443</v>
      </c>
      <c r="J120" t="n">
        <v>217443</v>
      </c>
      <c r="K120" t="n">
        <v>100</v>
      </c>
      <c r="L120" t="n">
        <v>81.7</v>
      </c>
      <c r="M120" t="n">
        <v>1950</v>
      </c>
      <c r="N120" t="n">
        <v>10</v>
      </c>
      <c r="O120" t="n">
        <v>46543</v>
      </c>
      <c r="P120" t="n">
        <v>10</v>
      </c>
      <c r="Q120" t="n">
        <v>9</v>
      </c>
      <c r="R120" t="n">
        <v>196</v>
      </c>
      <c r="S120" t="n">
        <v>2214</v>
      </c>
      <c r="T120" t="n">
        <v>2214</v>
      </c>
      <c r="U120" t="n">
        <v>2214</v>
      </c>
      <c r="V120" t="n">
        <v>45168</v>
      </c>
      <c r="W120" t="n">
        <v>20.77</v>
      </c>
      <c r="X120" t="n">
        <v>230</v>
      </c>
      <c r="Y120" t="n">
        <v>243</v>
      </c>
      <c r="Z120">
        <f>IF(L120&gt;=70,"Yes","No")</f>
        <v/>
      </c>
      <c r="AA120">
        <f>IF(ISNUMBER(T120),T120/1000,"")</f>
        <v/>
      </c>
      <c r="AB120">
        <f>IF(ISNUMBER(W120),W120,0)</f>
        <v/>
      </c>
      <c r="AC120">
        <f>IF(ISNUMBER(T120),1,0)</f>
        <v/>
      </c>
    </row>
    <row r="121">
      <c r="A121" t="inlineStr">
        <is>
          <t>SIMULATED_ShelfStudy_POSM_vs_NoPOSM</t>
        </is>
      </c>
      <c r="B121" t="inlineStr">
        <is>
          <t>P22</t>
        </is>
      </c>
      <c r="C121" t="inlineStr">
        <is>
          <t>F</t>
        </is>
      </c>
      <c r="D121" t="inlineStr">
        <is>
          <t>35-44</t>
        </is>
      </c>
      <c r="E121" t="inlineStr">
        <is>
          <t>NoPOSM</t>
        </is>
      </c>
      <c r="F121" t="inlineStr">
        <is>
          <t>2026-10-15</t>
        </is>
      </c>
      <c r="G121" t="inlineStr">
        <is>
          <t>Shelf_NoPOSM_GazeMap</t>
        </is>
      </c>
      <c r="H121" t="inlineStr">
        <is>
          <t>Price_Tags</t>
        </is>
      </c>
      <c r="I121" t="n">
        <v>217443</v>
      </c>
      <c r="J121" t="n">
        <v>217443</v>
      </c>
      <c r="K121" t="n">
        <v>100</v>
      </c>
      <c r="L121" t="n">
        <v>81.7</v>
      </c>
      <c r="M121" t="n">
        <v>5382</v>
      </c>
      <c r="N121" t="n">
        <v>4</v>
      </c>
      <c r="O121" t="n">
        <v>17797</v>
      </c>
      <c r="P121" t="n">
        <v>4</v>
      </c>
      <c r="Q121" t="n">
        <v>3</v>
      </c>
      <c r="R121" t="n">
        <v>64</v>
      </c>
      <c r="S121" t="n">
        <v>5502</v>
      </c>
      <c r="T121" t="n">
        <v>5502</v>
      </c>
      <c r="U121" t="n">
        <v>5502</v>
      </c>
      <c r="V121" t="n">
        <v>16349</v>
      </c>
      <c r="W121" t="n">
        <v>7.52</v>
      </c>
      <c r="X121" t="n">
        <v>255</v>
      </c>
      <c r="Y121" t="n">
        <v>177</v>
      </c>
      <c r="Z121">
        <f>IF(L121&gt;=70,"Yes","No")</f>
        <v/>
      </c>
      <c r="AA121">
        <f>IF(ISNUMBER(T121),T121/1000,"")</f>
        <v/>
      </c>
      <c r="AB121">
        <f>IF(ISNUMBER(W121),W121,0)</f>
        <v/>
      </c>
      <c r="AC121">
        <f>IF(ISNUMBER(T121),1,0)</f>
        <v/>
      </c>
    </row>
    <row r="122">
      <c r="A122" t="inlineStr">
        <is>
          <t>SIMULATED_ShelfStudy_POSM_vs_NoPOSM</t>
        </is>
      </c>
      <c r="B122" t="inlineStr">
        <is>
          <t>P22</t>
        </is>
      </c>
      <c r="C122" t="inlineStr">
        <is>
          <t>F</t>
        </is>
      </c>
      <c r="D122" t="inlineStr">
        <is>
          <t>35-44</t>
        </is>
      </c>
      <c r="E122" t="inlineStr">
        <is>
          <t>NoPOSM</t>
        </is>
      </c>
      <c r="F122" t="inlineStr">
        <is>
          <t>2026-10-15</t>
        </is>
      </c>
      <c r="G122" t="inlineStr">
        <is>
          <t>Shelf_NoPOSM_GazeMap</t>
        </is>
      </c>
      <c r="H122" t="inlineStr">
        <is>
          <t>Shelf_Other</t>
        </is>
      </c>
      <c r="I122" t="n">
        <v>217443</v>
      </c>
      <c r="J122" t="n">
        <v>217443</v>
      </c>
      <c r="K122" t="n">
        <v>100</v>
      </c>
      <c r="L122" t="n">
        <v>81.7</v>
      </c>
      <c r="M122" t="n">
        <v>954</v>
      </c>
      <c r="N122" t="n">
        <v>1</v>
      </c>
      <c r="O122" t="n">
        <v>21952</v>
      </c>
      <c r="P122" t="n">
        <v>1</v>
      </c>
      <c r="Q122" t="n">
        <v>0</v>
      </c>
      <c r="R122" t="n">
        <v>68</v>
      </c>
      <c r="S122" t="n">
        <v>1085</v>
      </c>
      <c r="T122" t="n">
        <v>1085</v>
      </c>
      <c r="U122" t="n">
        <v>1085</v>
      </c>
      <c r="V122" t="n">
        <v>20549</v>
      </c>
      <c r="W122" t="n">
        <v>9.449999999999999</v>
      </c>
      <c r="X122" t="n">
        <v>302</v>
      </c>
      <c r="Y122" t="n">
        <v>261</v>
      </c>
      <c r="Z122">
        <f>IF(L122&gt;=70,"Yes","No")</f>
        <v/>
      </c>
      <c r="AA122">
        <f>IF(ISNUMBER(T122),T122/1000,"")</f>
        <v/>
      </c>
      <c r="AB122">
        <f>IF(ISNUMBER(W122),W122,0)</f>
        <v/>
      </c>
      <c r="AC122">
        <f>IF(ISNUMBER(T122),1,0)</f>
        <v/>
      </c>
    </row>
    <row r="123">
      <c r="A123" t="inlineStr">
        <is>
          <t>SIMULATED_ShelfStudy_POSM_vs_NoPOSM</t>
        </is>
      </c>
      <c r="B123" t="inlineStr">
        <is>
          <t>P23</t>
        </is>
      </c>
      <c r="C123" t="inlineStr">
        <is>
          <t>M</t>
        </is>
      </c>
      <c r="D123" t="inlineStr">
        <is>
          <t>18-24</t>
        </is>
      </c>
      <c r="E123" t="inlineStr">
        <is>
          <t>POSM</t>
        </is>
      </c>
      <c r="F123" t="inlineStr">
        <is>
          <t>2026-10-15</t>
        </is>
      </c>
      <c r="G123" t="inlineStr">
        <is>
          <t>Shelf_POSM_GazeMap</t>
        </is>
      </c>
      <c r="H123" t="inlineStr">
        <is>
          <t>Sensodyne_Products</t>
        </is>
      </c>
      <c r="I123" t="n">
        <v>101168</v>
      </c>
      <c r="J123" t="n">
        <v>101168</v>
      </c>
      <c r="K123" t="n">
        <v>100</v>
      </c>
      <c r="L123" t="n">
        <v>90.2</v>
      </c>
      <c r="M123" t="n">
        <v>1153</v>
      </c>
      <c r="N123" t="n">
        <v>4</v>
      </c>
      <c r="O123" t="n">
        <v>28362</v>
      </c>
      <c r="P123" t="n">
        <v>4</v>
      </c>
      <c r="Q123" t="n">
        <v>3</v>
      </c>
      <c r="R123" t="n">
        <v>103</v>
      </c>
      <c r="S123" t="n">
        <v>1356</v>
      </c>
      <c r="T123" t="n">
        <v>1356</v>
      </c>
      <c r="U123" t="n">
        <v>1356</v>
      </c>
      <c r="V123" t="n">
        <v>27498</v>
      </c>
      <c r="W123" t="n">
        <v>27.18</v>
      </c>
      <c r="X123" t="n">
        <v>267</v>
      </c>
      <c r="Y123" t="n">
        <v>311</v>
      </c>
      <c r="Z123">
        <f>IF(L123&gt;=70,"Yes","No")</f>
        <v/>
      </c>
      <c r="AA123">
        <f>IF(ISNUMBER(T123),T123/1000,"")</f>
        <v/>
      </c>
      <c r="AB123">
        <f>IF(ISNUMBER(W123),W123,0)</f>
        <v/>
      </c>
      <c r="AC123">
        <f>IF(ISNUMBER(T123),1,0)</f>
        <v/>
      </c>
    </row>
    <row r="124">
      <c r="A124" t="inlineStr">
        <is>
          <t>SIMULATED_ShelfStudy_POSM_vs_NoPOSM</t>
        </is>
      </c>
      <c r="B124" t="inlineStr">
        <is>
          <t>P23</t>
        </is>
      </c>
      <c r="C124" t="inlineStr">
        <is>
          <t>M</t>
        </is>
      </c>
      <c r="D124" t="inlineStr">
        <is>
          <t>18-24</t>
        </is>
      </c>
      <c r="E124" t="inlineStr">
        <is>
          <t>POSM</t>
        </is>
      </c>
      <c r="F124" t="inlineStr">
        <is>
          <t>2026-10-15</t>
        </is>
      </c>
      <c r="G124" t="inlineStr">
        <is>
          <t>Shelf_POSM_GazeMap</t>
        </is>
      </c>
      <c r="H124" t="inlineStr">
        <is>
          <t>Sensodyne_POSM_Wing</t>
        </is>
      </c>
      <c r="I124" t="n">
        <v>101168</v>
      </c>
      <c r="J124" t="n">
        <v>101168</v>
      </c>
      <c r="K124" t="n">
        <v>100</v>
      </c>
      <c r="L124" t="n">
        <v>90.2</v>
      </c>
      <c r="M124" t="n">
        <v>2397</v>
      </c>
      <c r="N124" t="n">
        <v>2</v>
      </c>
      <c r="O124" t="n">
        <v>5662</v>
      </c>
      <c r="P124" t="n">
        <v>2</v>
      </c>
      <c r="Q124" t="n">
        <v>1</v>
      </c>
      <c r="R124" t="n">
        <v>15</v>
      </c>
      <c r="S124" t="n">
        <v>2527</v>
      </c>
      <c r="T124" t="n">
        <v>2527</v>
      </c>
      <c r="U124" t="n">
        <v>2527</v>
      </c>
      <c r="V124" t="n">
        <v>5204</v>
      </c>
      <c r="W124" t="n">
        <v>5.14</v>
      </c>
      <c r="X124" t="n">
        <v>347</v>
      </c>
      <c r="Y124" t="n">
        <v>289</v>
      </c>
      <c r="Z124">
        <f>IF(L124&gt;=70,"Yes","No")</f>
        <v/>
      </c>
      <c r="AA124">
        <f>IF(ISNUMBER(T124),T124/1000,"")</f>
        <v/>
      </c>
      <c r="AB124">
        <f>IF(ISNUMBER(W124),W124,0)</f>
        <v/>
      </c>
      <c r="AC124">
        <f>IF(ISNUMBER(T124),1,0)</f>
        <v/>
      </c>
    </row>
    <row r="125">
      <c r="A125" t="inlineStr">
        <is>
          <t>SIMULATED_ShelfStudy_POSM_vs_NoPOSM</t>
        </is>
      </c>
      <c r="B125" t="inlineStr">
        <is>
          <t>P23</t>
        </is>
      </c>
      <c r="C125" t="inlineStr">
        <is>
          <t>M</t>
        </is>
      </c>
      <c r="D125" t="inlineStr">
        <is>
          <t>18-24</t>
        </is>
      </c>
      <c r="E125" t="inlineStr">
        <is>
          <t>POSM</t>
        </is>
      </c>
      <c r="F125" t="inlineStr">
        <is>
          <t>2026-10-15</t>
        </is>
      </c>
      <c r="G125" t="inlineStr">
        <is>
          <t>Shelf_POSM_GazeMap</t>
        </is>
      </c>
      <c r="H125" t="inlineStr">
        <is>
          <t>Competitor_A</t>
        </is>
      </c>
      <c r="I125" t="n">
        <v>101168</v>
      </c>
      <c r="J125" t="n">
        <v>101168</v>
      </c>
      <c r="K125" t="n">
        <v>100</v>
      </c>
      <c r="L125" t="n">
        <v>90.2</v>
      </c>
      <c r="M125" t="n">
        <v>2324</v>
      </c>
      <c r="N125" t="n">
        <v>4</v>
      </c>
      <c r="O125" t="n">
        <v>23765</v>
      </c>
      <c r="P125" t="n">
        <v>3</v>
      </c>
      <c r="Q125" t="n">
        <v>2</v>
      </c>
      <c r="R125" t="n">
        <v>83</v>
      </c>
      <c r="S125" t="n">
        <v>2441</v>
      </c>
      <c r="T125" t="n">
        <v>2441</v>
      </c>
      <c r="U125" t="n">
        <v>2441</v>
      </c>
      <c r="V125" t="n">
        <v>20916</v>
      </c>
      <c r="W125" t="n">
        <v>20.67</v>
      </c>
      <c r="X125" t="n">
        <v>252</v>
      </c>
      <c r="Y125" t="n">
        <v>217</v>
      </c>
      <c r="Z125">
        <f>IF(L125&gt;=70,"Yes","No")</f>
        <v/>
      </c>
      <c r="AA125">
        <f>IF(ISNUMBER(T125),T125/1000,"")</f>
        <v/>
      </c>
      <c r="AB125">
        <f>IF(ISNUMBER(W125),W125,0)</f>
        <v/>
      </c>
      <c r="AC125">
        <f>IF(ISNUMBER(T125),1,0)</f>
        <v/>
      </c>
    </row>
    <row r="126">
      <c r="A126" t="inlineStr">
        <is>
          <t>SIMULATED_ShelfStudy_POSM_vs_NoPOSM</t>
        </is>
      </c>
      <c r="B126" t="inlineStr">
        <is>
          <t>P23</t>
        </is>
      </c>
      <c r="C126" t="inlineStr">
        <is>
          <t>M</t>
        </is>
      </c>
      <c r="D126" t="inlineStr">
        <is>
          <t>18-24</t>
        </is>
      </c>
      <c r="E126" t="inlineStr">
        <is>
          <t>POSM</t>
        </is>
      </c>
      <c r="F126" t="inlineStr">
        <is>
          <t>2026-10-15</t>
        </is>
      </c>
      <c r="G126" t="inlineStr">
        <is>
          <t>Shelf_POSM_GazeMap</t>
        </is>
      </c>
      <c r="H126" t="inlineStr">
        <is>
          <t>Competitor_B</t>
        </is>
      </c>
      <c r="I126" t="n">
        <v>101168</v>
      </c>
      <c r="J126" t="n">
        <v>101168</v>
      </c>
      <c r="K126" t="n">
        <v>100</v>
      </c>
      <c r="L126" t="n">
        <v>90.2</v>
      </c>
      <c r="M126" t="n">
        <v>4990</v>
      </c>
      <c r="N126" t="n">
        <v>7</v>
      </c>
      <c r="O126" t="n">
        <v>16933</v>
      </c>
      <c r="P126" t="n">
        <v>7</v>
      </c>
      <c r="Q126" t="n">
        <v>6</v>
      </c>
      <c r="R126" t="n">
        <v>56</v>
      </c>
      <c r="S126" t="n">
        <v>5287</v>
      </c>
      <c r="T126" t="n">
        <v>5287</v>
      </c>
      <c r="U126" t="n">
        <v>5287</v>
      </c>
      <c r="V126" t="n">
        <v>16258</v>
      </c>
      <c r="W126" t="n">
        <v>16.07</v>
      </c>
      <c r="X126" t="n">
        <v>290</v>
      </c>
      <c r="Y126" t="n">
        <v>222</v>
      </c>
      <c r="Z126">
        <f>IF(L126&gt;=70,"Yes","No")</f>
        <v/>
      </c>
      <c r="AA126">
        <f>IF(ISNUMBER(T126),T126/1000,"")</f>
        <v/>
      </c>
      <c r="AB126">
        <f>IF(ISNUMBER(W126),W126,0)</f>
        <v/>
      </c>
      <c r="AC126">
        <f>IF(ISNUMBER(T126),1,0)</f>
        <v/>
      </c>
    </row>
    <row r="127">
      <c r="A127" t="inlineStr">
        <is>
          <t>SIMULATED_ShelfStudy_POSM_vs_NoPOSM</t>
        </is>
      </c>
      <c r="B127" t="inlineStr">
        <is>
          <t>P23</t>
        </is>
      </c>
      <c r="C127" t="inlineStr">
        <is>
          <t>M</t>
        </is>
      </c>
      <c r="D127" t="inlineStr">
        <is>
          <t>18-24</t>
        </is>
      </c>
      <c r="E127" t="inlineStr">
        <is>
          <t>POSM</t>
        </is>
      </c>
      <c r="F127" t="inlineStr">
        <is>
          <t>2026-10-15</t>
        </is>
      </c>
      <c r="G127" t="inlineStr">
        <is>
          <t>Shelf_POSM_GazeMap</t>
        </is>
      </c>
      <c r="H127" t="inlineStr">
        <is>
          <t>Price_Tags</t>
        </is>
      </c>
      <c r="I127" t="n">
        <v>101168</v>
      </c>
      <c r="J127" t="n">
        <v>101168</v>
      </c>
      <c r="K127" t="n">
        <v>100</v>
      </c>
      <c r="L127" t="n">
        <v>90.2</v>
      </c>
      <c r="M127" t="n">
        <v>4916</v>
      </c>
      <c r="N127" t="n">
        <v>7</v>
      </c>
      <c r="O127" t="n">
        <v>13321</v>
      </c>
      <c r="P127" t="n">
        <v>7</v>
      </c>
      <c r="Q127" t="n">
        <v>6</v>
      </c>
      <c r="R127" t="n">
        <v>56</v>
      </c>
      <c r="S127" t="n">
        <v>5145</v>
      </c>
      <c r="T127" t="n">
        <v>5145</v>
      </c>
      <c r="U127" t="n">
        <v>5145</v>
      </c>
      <c r="V127" t="n">
        <v>11757</v>
      </c>
      <c r="W127" t="n">
        <v>11.62</v>
      </c>
      <c r="X127" t="n">
        <v>210</v>
      </c>
      <c r="Y127" t="n">
        <v>162</v>
      </c>
      <c r="Z127">
        <f>IF(L127&gt;=70,"Yes","No")</f>
        <v/>
      </c>
      <c r="AA127">
        <f>IF(ISNUMBER(T127),T127/1000,"")</f>
        <v/>
      </c>
      <c r="AB127">
        <f>IF(ISNUMBER(W127),W127,0)</f>
        <v/>
      </c>
      <c r="AC127">
        <f>IF(ISNUMBER(T127),1,0)</f>
        <v/>
      </c>
    </row>
    <row r="128">
      <c r="A128" t="inlineStr">
        <is>
          <t>SIMULATED_ShelfStudy_POSM_vs_NoPOSM</t>
        </is>
      </c>
      <c r="B128" t="inlineStr">
        <is>
          <t>P23</t>
        </is>
      </c>
      <c r="C128" t="inlineStr">
        <is>
          <t>M</t>
        </is>
      </c>
      <c r="D128" t="inlineStr">
        <is>
          <t>18-24</t>
        </is>
      </c>
      <c r="E128" t="inlineStr">
        <is>
          <t>POSM</t>
        </is>
      </c>
      <c r="F128" t="inlineStr">
        <is>
          <t>2026-10-15</t>
        </is>
      </c>
      <c r="G128" t="inlineStr">
        <is>
          <t>Shelf_POSM_GazeMap</t>
        </is>
      </c>
      <c r="H128" t="inlineStr">
        <is>
          <t>Shelf_Other</t>
        </is>
      </c>
      <c r="I128" t="n">
        <v>101168</v>
      </c>
      <c r="J128" t="n">
        <v>101168</v>
      </c>
      <c r="K128" t="n">
        <v>100</v>
      </c>
      <c r="L128" t="n">
        <v>90.2</v>
      </c>
      <c r="M128" t="n">
        <v>2129</v>
      </c>
      <c r="N128" t="n">
        <v>3</v>
      </c>
      <c r="O128" t="n">
        <v>16396</v>
      </c>
      <c r="P128" t="n">
        <v>3</v>
      </c>
      <c r="Q128" t="n">
        <v>2</v>
      </c>
      <c r="R128" t="n">
        <v>62</v>
      </c>
      <c r="S128" t="n">
        <v>2212</v>
      </c>
      <c r="T128" t="n">
        <v>2212</v>
      </c>
      <c r="U128" t="n">
        <v>2212</v>
      </c>
      <c r="V128" t="n">
        <v>14476</v>
      </c>
      <c r="W128" t="n">
        <v>14.31</v>
      </c>
      <c r="X128" t="n">
        <v>233</v>
      </c>
      <c r="Y128" t="n">
        <v>207</v>
      </c>
      <c r="Z128">
        <f>IF(L128&gt;=70,"Yes","No")</f>
        <v/>
      </c>
      <c r="AA128">
        <f>IF(ISNUMBER(T128),T128/1000,"")</f>
        <v/>
      </c>
      <c r="AB128">
        <f>IF(ISNUMBER(W128),W128,0)</f>
        <v/>
      </c>
      <c r="AC128">
        <f>IF(ISNUMBER(T128),1,0)</f>
        <v/>
      </c>
    </row>
    <row r="129">
      <c r="A129" t="inlineStr">
        <is>
          <t>SIMULATED_ShelfStudy_POSM_vs_NoPOSM</t>
        </is>
      </c>
      <c r="B129" t="inlineStr">
        <is>
          <t>P24</t>
        </is>
      </c>
      <c r="C129" t="inlineStr">
        <is>
          <t>M</t>
        </is>
      </c>
      <c r="D129" t="inlineStr">
        <is>
          <t>35-44</t>
        </is>
      </c>
      <c r="E129" t="inlineStr">
        <is>
          <t>NoPOSM</t>
        </is>
      </c>
      <c r="F129" t="inlineStr">
        <is>
          <t>2026-10-15</t>
        </is>
      </c>
      <c r="G129" t="inlineStr">
        <is>
          <t>Shelf_NoPOSM_GazeMap</t>
        </is>
      </c>
      <c r="H129" t="inlineStr">
        <is>
          <t>Sensodyne_Products</t>
        </is>
      </c>
      <c r="I129" t="n">
        <v>153024</v>
      </c>
      <c r="J129" t="n">
        <v>153024</v>
      </c>
      <c r="K129" t="n">
        <v>100</v>
      </c>
      <c r="L129" t="n">
        <v>94.09999999999999</v>
      </c>
      <c r="M129" t="n">
        <v>4530</v>
      </c>
      <c r="N129" t="n">
        <v>4</v>
      </c>
      <c r="O129" t="n">
        <v>24371</v>
      </c>
      <c r="P129" t="n">
        <v>4</v>
      </c>
      <c r="Q129" t="n">
        <v>3</v>
      </c>
      <c r="R129" t="n">
        <v>103</v>
      </c>
      <c r="S129" t="n">
        <v>4646</v>
      </c>
      <c r="T129" t="n">
        <v>4646</v>
      </c>
      <c r="U129" t="n">
        <v>4646</v>
      </c>
      <c r="V129" t="n">
        <v>22339</v>
      </c>
      <c r="W129" t="n">
        <v>14.6</v>
      </c>
      <c r="X129" t="n">
        <v>217</v>
      </c>
      <c r="Y129" t="n">
        <v>225</v>
      </c>
      <c r="Z129">
        <f>IF(L129&gt;=70,"Yes","No")</f>
        <v/>
      </c>
      <c r="AA129">
        <f>IF(ISNUMBER(T129),T129/1000,"")</f>
        <v/>
      </c>
      <c r="AB129">
        <f>IF(ISNUMBER(W129),W129,0)</f>
        <v/>
      </c>
      <c r="AC129">
        <f>IF(ISNUMBER(T129),1,0)</f>
        <v/>
      </c>
    </row>
    <row r="130">
      <c r="A130" t="inlineStr">
        <is>
          <t>SIMULATED_ShelfStudy_POSM_vs_NoPOSM</t>
        </is>
      </c>
      <c r="B130" t="inlineStr">
        <is>
          <t>P24</t>
        </is>
      </c>
      <c r="C130" t="inlineStr">
        <is>
          <t>M</t>
        </is>
      </c>
      <c r="D130" t="inlineStr">
        <is>
          <t>35-44</t>
        </is>
      </c>
      <c r="E130" t="inlineStr">
        <is>
          <t>NoPOSM</t>
        </is>
      </c>
      <c r="F130" t="inlineStr">
        <is>
          <t>2026-10-15</t>
        </is>
      </c>
      <c r="G130" t="inlineStr">
        <is>
          <t>Shelf_NoPOSM_GazeMap</t>
        </is>
      </c>
      <c r="H130" t="inlineStr">
        <is>
          <t>Competitor_A</t>
        </is>
      </c>
      <c r="I130" t="n">
        <v>153024</v>
      </c>
      <c r="J130" t="n">
        <v>153024</v>
      </c>
      <c r="K130" t="n">
        <v>100</v>
      </c>
      <c r="L130" t="n">
        <v>94.09999999999999</v>
      </c>
      <c r="M130" t="n">
        <v>1852</v>
      </c>
      <c r="N130" t="n">
        <v>4</v>
      </c>
      <c r="O130" t="n">
        <v>31368</v>
      </c>
      <c r="P130" t="n">
        <v>2</v>
      </c>
      <c r="Q130" t="n">
        <v>1</v>
      </c>
      <c r="R130" t="n">
        <v>137</v>
      </c>
      <c r="S130" t="n">
        <v>2088</v>
      </c>
      <c r="T130" t="n">
        <v>2088</v>
      </c>
      <c r="U130" t="n">
        <v>2088</v>
      </c>
      <c r="V130" t="n">
        <v>29825</v>
      </c>
      <c r="W130" t="n">
        <v>19.49</v>
      </c>
      <c r="X130" t="n">
        <v>218</v>
      </c>
      <c r="Y130" t="n">
        <v>193</v>
      </c>
      <c r="Z130">
        <f>IF(L130&gt;=70,"Yes","No")</f>
        <v/>
      </c>
      <c r="AA130">
        <f>IF(ISNUMBER(T130),T130/1000,"")</f>
        <v/>
      </c>
      <c r="AB130">
        <f>IF(ISNUMBER(W130),W130,0)</f>
        <v/>
      </c>
      <c r="AC130">
        <f>IF(ISNUMBER(T130),1,0)</f>
        <v/>
      </c>
    </row>
    <row r="131">
      <c r="A131" t="inlineStr">
        <is>
          <t>SIMULATED_ShelfStudy_POSM_vs_NoPOSM</t>
        </is>
      </c>
      <c r="B131" t="inlineStr">
        <is>
          <t>P24</t>
        </is>
      </c>
      <c r="C131" t="inlineStr">
        <is>
          <t>M</t>
        </is>
      </c>
      <c r="D131" t="inlineStr">
        <is>
          <t>35-44</t>
        </is>
      </c>
      <c r="E131" t="inlineStr">
        <is>
          <t>NoPOSM</t>
        </is>
      </c>
      <c r="F131" t="inlineStr">
        <is>
          <t>2026-10-15</t>
        </is>
      </c>
      <c r="G131" t="inlineStr">
        <is>
          <t>Shelf_NoPOSM_GazeMap</t>
        </is>
      </c>
      <c r="H131" t="inlineStr">
        <is>
          <t>Competitor_B</t>
        </is>
      </c>
      <c r="I131" t="n">
        <v>153024</v>
      </c>
      <c r="J131" t="n">
        <v>153024</v>
      </c>
      <c r="K131" t="n">
        <v>100</v>
      </c>
      <c r="L131" t="n">
        <v>94.09999999999999</v>
      </c>
      <c r="M131" t="n">
        <v>7295</v>
      </c>
      <c r="N131" t="n">
        <v>5</v>
      </c>
      <c r="O131" t="n">
        <v>51377</v>
      </c>
      <c r="P131" t="n">
        <v>4</v>
      </c>
      <c r="Q131" t="n">
        <v>3</v>
      </c>
      <c r="R131" t="n">
        <v>139</v>
      </c>
      <c r="S131" t="n">
        <v>7482</v>
      </c>
      <c r="T131" t="n">
        <v>7482</v>
      </c>
      <c r="U131" t="n">
        <v>7482</v>
      </c>
      <c r="V131" t="n">
        <v>47100</v>
      </c>
      <c r="W131" t="n">
        <v>30.78</v>
      </c>
      <c r="X131" t="n">
        <v>339</v>
      </c>
      <c r="Y131" t="n">
        <v>200</v>
      </c>
      <c r="Z131">
        <f>IF(L131&gt;=70,"Yes","No")</f>
        <v/>
      </c>
      <c r="AA131">
        <f>IF(ISNUMBER(T131),T131/1000,"")</f>
        <v/>
      </c>
      <c r="AB131">
        <f>IF(ISNUMBER(W131),W131,0)</f>
        <v/>
      </c>
      <c r="AC131">
        <f>IF(ISNUMBER(T131),1,0)</f>
        <v/>
      </c>
    </row>
    <row r="132">
      <c r="A132" t="inlineStr">
        <is>
          <t>SIMULATED_ShelfStudy_POSM_vs_NoPOSM</t>
        </is>
      </c>
      <c r="B132" t="inlineStr">
        <is>
          <t>P24</t>
        </is>
      </c>
      <c r="C132" t="inlineStr">
        <is>
          <t>M</t>
        </is>
      </c>
      <c r="D132" t="inlineStr">
        <is>
          <t>35-44</t>
        </is>
      </c>
      <c r="E132" t="inlineStr">
        <is>
          <t>NoPOSM</t>
        </is>
      </c>
      <c r="F132" t="inlineStr">
        <is>
          <t>2026-10-15</t>
        </is>
      </c>
      <c r="G132" t="inlineStr">
        <is>
          <t>Shelf_NoPOSM_GazeMap</t>
        </is>
      </c>
      <c r="H132" t="inlineStr">
        <is>
          <t>Price_Tags</t>
        </is>
      </c>
      <c r="I132" t="n">
        <v>153024</v>
      </c>
      <c r="J132" t="n">
        <v>153024</v>
      </c>
      <c r="K132" t="n">
        <v>100</v>
      </c>
      <c r="L132" t="n">
        <v>94.09999999999999</v>
      </c>
      <c r="M132" t="n">
        <v>6772</v>
      </c>
      <c r="N132" t="n">
        <v>3</v>
      </c>
      <c r="O132" t="n">
        <v>12959</v>
      </c>
      <c r="P132" t="n">
        <v>3</v>
      </c>
      <c r="Q132" t="n">
        <v>2</v>
      </c>
      <c r="R132" t="n">
        <v>61</v>
      </c>
      <c r="S132" t="n">
        <v>6859</v>
      </c>
      <c r="T132" t="n">
        <v>6859</v>
      </c>
      <c r="U132" t="n">
        <v>6859</v>
      </c>
      <c r="V132" t="n">
        <v>11951</v>
      </c>
      <c r="W132" t="n">
        <v>7.81</v>
      </c>
      <c r="X132" t="n">
        <v>196</v>
      </c>
      <c r="Y132" t="n">
        <v>183</v>
      </c>
      <c r="Z132">
        <f>IF(L132&gt;=70,"Yes","No")</f>
        <v/>
      </c>
      <c r="AA132">
        <f>IF(ISNUMBER(T132),T132/1000,"")</f>
        <v/>
      </c>
      <c r="AB132">
        <f>IF(ISNUMBER(W132),W132,0)</f>
        <v/>
      </c>
      <c r="AC132">
        <f>IF(ISNUMBER(T132),1,0)</f>
        <v/>
      </c>
    </row>
    <row r="133">
      <c r="A133" t="inlineStr">
        <is>
          <t>SIMULATED_ShelfStudy_POSM_vs_NoPOSM</t>
        </is>
      </c>
      <c r="B133" t="inlineStr">
        <is>
          <t>P24</t>
        </is>
      </c>
      <c r="C133" t="inlineStr">
        <is>
          <t>M</t>
        </is>
      </c>
      <c r="D133" t="inlineStr">
        <is>
          <t>35-44</t>
        </is>
      </c>
      <c r="E133" t="inlineStr">
        <is>
          <t>NoPOSM</t>
        </is>
      </c>
      <c r="F133" t="inlineStr">
        <is>
          <t>2026-10-15</t>
        </is>
      </c>
      <c r="G133" t="inlineStr">
        <is>
          <t>Shelf_NoPOSM_GazeMap</t>
        </is>
      </c>
      <c r="H133" t="inlineStr">
        <is>
          <t>Shelf_Other</t>
        </is>
      </c>
      <c r="I133" t="n">
        <v>153024</v>
      </c>
      <c r="J133" t="n">
        <v>153024</v>
      </c>
      <c r="K133" t="n">
        <v>100</v>
      </c>
      <c r="L133" t="n">
        <v>94.09999999999999</v>
      </c>
      <c r="M133" t="n">
        <v>1216</v>
      </c>
      <c r="N133" t="n">
        <v>2</v>
      </c>
      <c r="O133" t="n">
        <v>23088</v>
      </c>
      <c r="P133" t="n">
        <v>1</v>
      </c>
      <c r="Q133" t="n">
        <v>0</v>
      </c>
      <c r="R133" t="n">
        <v>69</v>
      </c>
      <c r="S133" t="n">
        <v>1342</v>
      </c>
      <c r="T133" t="n">
        <v>1342</v>
      </c>
      <c r="U133" t="n">
        <v>1342</v>
      </c>
      <c r="V133" t="n">
        <v>22097</v>
      </c>
      <c r="W133" t="n">
        <v>14.44</v>
      </c>
      <c r="X133" t="n">
        <v>320</v>
      </c>
      <c r="Y133" t="n">
        <v>243</v>
      </c>
      <c r="Z133">
        <f>IF(L133&gt;=70,"Yes","No")</f>
        <v/>
      </c>
      <c r="AA133">
        <f>IF(ISNUMBER(T133),T133/1000,"")</f>
        <v/>
      </c>
      <c r="AB133">
        <f>IF(ISNUMBER(W133),W133,0)</f>
        <v/>
      </c>
      <c r="AC133">
        <f>IF(ISNUMBER(T133),1,0)</f>
        <v/>
      </c>
    </row>
    <row r="134">
      <c r="A134" t="inlineStr">
        <is>
          <t>SIMULATED_ShelfStudy_POSM_vs_NoPOSM</t>
        </is>
      </c>
      <c r="B134" t="inlineStr">
        <is>
          <t>P25</t>
        </is>
      </c>
      <c r="C134" t="inlineStr">
        <is>
          <t>M</t>
        </is>
      </c>
      <c r="D134" t="inlineStr">
        <is>
          <t>25-34</t>
        </is>
      </c>
      <c r="E134" t="inlineStr">
        <is>
          <t>POSM</t>
        </is>
      </c>
      <c r="F134" t="inlineStr">
        <is>
          <t>2026-10-16</t>
        </is>
      </c>
      <c r="G134" t="inlineStr">
        <is>
          <t>Shelf_POSM_GazeMap</t>
        </is>
      </c>
      <c r="H134" t="inlineStr">
        <is>
          <t>Sensodyne_Products</t>
        </is>
      </c>
      <c r="I134" t="n">
        <v>80000</v>
      </c>
      <c r="J134" t="n">
        <v>80000</v>
      </c>
      <c r="K134" t="n">
        <v>100</v>
      </c>
      <c r="L134" t="n">
        <v>88.3</v>
      </c>
      <c r="M134" t="n">
        <v>2059</v>
      </c>
      <c r="N134" t="n">
        <v>3</v>
      </c>
      <c r="O134" t="n">
        <v>15072</v>
      </c>
      <c r="P134" t="n">
        <v>3</v>
      </c>
      <c r="Q134" t="n">
        <v>2</v>
      </c>
      <c r="R134" t="n">
        <v>48</v>
      </c>
      <c r="S134" t="n">
        <v>2302</v>
      </c>
      <c r="T134" t="n">
        <v>2302</v>
      </c>
      <c r="U134" t="n">
        <v>2302</v>
      </c>
      <c r="V134" t="n">
        <v>14084</v>
      </c>
      <c r="W134" t="n">
        <v>17.61</v>
      </c>
      <c r="X134" t="n">
        <v>293</v>
      </c>
      <c r="Y134" t="n">
        <v>261</v>
      </c>
      <c r="Z134">
        <f>IF(L134&gt;=70,"Yes","No")</f>
        <v/>
      </c>
      <c r="AA134">
        <f>IF(ISNUMBER(T134),T134/1000,"")</f>
        <v/>
      </c>
      <c r="AB134">
        <f>IF(ISNUMBER(W134),W134,0)</f>
        <v/>
      </c>
      <c r="AC134">
        <f>IF(ISNUMBER(T134),1,0)</f>
        <v/>
      </c>
    </row>
    <row r="135">
      <c r="A135" t="inlineStr">
        <is>
          <t>SIMULATED_ShelfStudy_POSM_vs_NoPOSM</t>
        </is>
      </c>
      <c r="B135" t="inlineStr">
        <is>
          <t>P25</t>
        </is>
      </c>
      <c r="C135" t="inlineStr">
        <is>
          <t>M</t>
        </is>
      </c>
      <c r="D135" t="inlineStr">
        <is>
          <t>25-34</t>
        </is>
      </c>
      <c r="E135" t="inlineStr">
        <is>
          <t>POSM</t>
        </is>
      </c>
      <c r="F135" t="inlineStr">
        <is>
          <t>2026-10-16</t>
        </is>
      </c>
      <c r="G135" t="inlineStr">
        <is>
          <t>Shelf_POSM_GazeMap</t>
        </is>
      </c>
      <c r="H135" t="inlineStr">
        <is>
          <t>Sensodyne_POSM_Wing</t>
        </is>
      </c>
      <c r="I135" t="n">
        <v>80000</v>
      </c>
      <c r="J135" t="n">
        <v>80000</v>
      </c>
      <c r="K135" t="n">
        <v>100</v>
      </c>
      <c r="L135" t="n">
        <v>88.3</v>
      </c>
      <c r="M135" t="n">
        <v>1867</v>
      </c>
      <c r="N135" t="n">
        <v>3</v>
      </c>
      <c r="O135" t="n">
        <v>4749</v>
      </c>
      <c r="P135" t="n">
        <v>3</v>
      </c>
      <c r="Q135" t="n">
        <v>2</v>
      </c>
      <c r="R135" t="n">
        <v>14</v>
      </c>
      <c r="S135" t="n">
        <v>2057</v>
      </c>
      <c r="T135" t="n">
        <v>2057</v>
      </c>
      <c r="U135" t="n">
        <v>2057</v>
      </c>
      <c r="V135" t="n">
        <v>4155</v>
      </c>
      <c r="W135" t="n">
        <v>5.19</v>
      </c>
      <c r="X135" t="n">
        <v>297</v>
      </c>
      <c r="Y135" t="n">
        <v>142</v>
      </c>
      <c r="Z135">
        <f>IF(L135&gt;=70,"Yes","No")</f>
        <v/>
      </c>
      <c r="AA135">
        <f>IF(ISNUMBER(T135),T135/1000,"")</f>
        <v/>
      </c>
      <c r="AB135">
        <f>IF(ISNUMBER(W135),W135,0)</f>
        <v/>
      </c>
      <c r="AC135">
        <f>IF(ISNUMBER(T135),1,0)</f>
        <v/>
      </c>
    </row>
    <row r="136">
      <c r="A136" t="inlineStr">
        <is>
          <t>SIMULATED_ShelfStudy_POSM_vs_NoPOSM</t>
        </is>
      </c>
      <c r="B136" t="inlineStr">
        <is>
          <t>P25</t>
        </is>
      </c>
      <c r="C136" t="inlineStr">
        <is>
          <t>M</t>
        </is>
      </c>
      <c r="D136" t="inlineStr">
        <is>
          <t>25-34</t>
        </is>
      </c>
      <c r="E136" t="inlineStr">
        <is>
          <t>POSM</t>
        </is>
      </c>
      <c r="F136" t="inlineStr">
        <is>
          <t>2026-10-16</t>
        </is>
      </c>
      <c r="G136" t="inlineStr">
        <is>
          <t>Shelf_POSM_GazeMap</t>
        </is>
      </c>
      <c r="H136" t="inlineStr">
        <is>
          <t>Competitor_A</t>
        </is>
      </c>
      <c r="I136" t="n">
        <v>80000</v>
      </c>
      <c r="J136" t="n">
        <v>80000</v>
      </c>
      <c r="K136" t="n">
        <v>100</v>
      </c>
      <c r="L136" t="n">
        <v>88.3</v>
      </c>
      <c r="M136" t="n">
        <v>2853</v>
      </c>
      <c r="N136" t="n">
        <v>1</v>
      </c>
      <c r="O136" t="n">
        <v>9738</v>
      </c>
      <c r="P136" t="n">
        <v>1</v>
      </c>
      <c r="Q136" t="n">
        <v>0</v>
      </c>
      <c r="R136" t="n">
        <v>44</v>
      </c>
      <c r="S136" t="n">
        <v>3133</v>
      </c>
      <c r="T136" t="n">
        <v>3133</v>
      </c>
      <c r="U136" t="n">
        <v>3133</v>
      </c>
      <c r="V136" t="n">
        <v>8740</v>
      </c>
      <c r="W136" t="n">
        <v>10.92</v>
      </c>
      <c r="X136" t="n">
        <v>199</v>
      </c>
      <c r="Y136" t="n">
        <v>231</v>
      </c>
      <c r="Z136">
        <f>IF(L136&gt;=70,"Yes","No")</f>
        <v/>
      </c>
      <c r="AA136">
        <f>IF(ISNUMBER(T136),T136/1000,"")</f>
        <v/>
      </c>
      <c r="AB136">
        <f>IF(ISNUMBER(W136),W136,0)</f>
        <v/>
      </c>
      <c r="AC136">
        <f>IF(ISNUMBER(T136),1,0)</f>
        <v/>
      </c>
    </row>
    <row r="137">
      <c r="A137" t="inlineStr">
        <is>
          <t>SIMULATED_ShelfStudy_POSM_vs_NoPOSM</t>
        </is>
      </c>
      <c r="B137" t="inlineStr">
        <is>
          <t>P25</t>
        </is>
      </c>
      <c r="C137" t="inlineStr">
        <is>
          <t>M</t>
        </is>
      </c>
      <c r="D137" t="inlineStr">
        <is>
          <t>25-34</t>
        </is>
      </c>
      <c r="E137" t="inlineStr">
        <is>
          <t>POSM</t>
        </is>
      </c>
      <c r="F137" t="inlineStr">
        <is>
          <t>2026-10-16</t>
        </is>
      </c>
      <c r="G137" t="inlineStr">
        <is>
          <t>Shelf_POSM_GazeMap</t>
        </is>
      </c>
      <c r="H137" t="inlineStr">
        <is>
          <t>Competitor_B</t>
        </is>
      </c>
      <c r="I137" t="n">
        <v>80000</v>
      </c>
      <c r="J137" t="n">
        <v>80000</v>
      </c>
      <c r="K137" t="n">
        <v>100</v>
      </c>
      <c r="L137" t="n">
        <v>88.3</v>
      </c>
      <c r="M137" t="n">
        <v>5987</v>
      </c>
      <c r="N137" t="n">
        <v>1</v>
      </c>
      <c r="O137" t="n">
        <v>10532</v>
      </c>
      <c r="P137" t="n">
        <v>1</v>
      </c>
      <c r="Q137" t="n">
        <v>0</v>
      </c>
      <c r="R137" t="n">
        <v>37</v>
      </c>
      <c r="S137" t="n">
        <v>6113</v>
      </c>
      <c r="T137" t="n">
        <v>6113</v>
      </c>
      <c r="U137" t="n">
        <v>6113</v>
      </c>
      <c r="V137" t="n">
        <v>9768</v>
      </c>
      <c r="W137" t="n">
        <v>12.21</v>
      </c>
      <c r="X137" t="n">
        <v>264</v>
      </c>
      <c r="Y137" t="n">
        <v>281</v>
      </c>
      <c r="Z137">
        <f>IF(L137&gt;=70,"Yes","No")</f>
        <v/>
      </c>
      <c r="AA137">
        <f>IF(ISNUMBER(T137),T137/1000,"")</f>
        <v/>
      </c>
      <c r="AB137">
        <f>IF(ISNUMBER(W137),W137,0)</f>
        <v/>
      </c>
      <c r="AC137">
        <f>IF(ISNUMBER(T137),1,0)</f>
        <v/>
      </c>
    </row>
    <row r="138">
      <c r="A138" t="inlineStr">
        <is>
          <t>SIMULATED_ShelfStudy_POSM_vs_NoPOSM</t>
        </is>
      </c>
      <c r="B138" t="inlineStr">
        <is>
          <t>P25</t>
        </is>
      </c>
      <c r="C138" t="inlineStr">
        <is>
          <t>M</t>
        </is>
      </c>
      <c r="D138" t="inlineStr">
        <is>
          <t>25-34</t>
        </is>
      </c>
      <c r="E138" t="inlineStr">
        <is>
          <t>POSM</t>
        </is>
      </c>
      <c r="F138" t="inlineStr">
        <is>
          <t>2026-10-16</t>
        </is>
      </c>
      <c r="G138" t="inlineStr">
        <is>
          <t>Shelf_POSM_GazeMap</t>
        </is>
      </c>
      <c r="H138" t="inlineStr">
        <is>
          <t>Price_Tags</t>
        </is>
      </c>
      <c r="I138" t="n">
        <v>80000</v>
      </c>
      <c r="J138" t="n">
        <v>80000</v>
      </c>
      <c r="K138" t="n">
        <v>100</v>
      </c>
      <c r="L138" t="n">
        <v>88.3</v>
      </c>
      <c r="M138" t="n">
        <v>6281</v>
      </c>
      <c r="N138" t="n">
        <v>4</v>
      </c>
      <c r="O138" t="n">
        <v>8167</v>
      </c>
      <c r="P138" t="n">
        <v>4</v>
      </c>
      <c r="Q138" t="n">
        <v>3</v>
      </c>
      <c r="R138" t="n">
        <v>23</v>
      </c>
      <c r="S138" t="n">
        <v>6505</v>
      </c>
      <c r="T138" t="n">
        <v>6505</v>
      </c>
      <c r="U138" t="n">
        <v>6505</v>
      </c>
      <c r="V138" t="n">
        <v>7286</v>
      </c>
      <c r="W138" t="n">
        <v>9.109999999999999</v>
      </c>
      <c r="X138" t="n">
        <v>317</v>
      </c>
      <c r="Y138" t="n">
        <v>217</v>
      </c>
      <c r="Z138">
        <f>IF(L138&gt;=70,"Yes","No")</f>
        <v/>
      </c>
      <c r="AA138">
        <f>IF(ISNUMBER(T138),T138/1000,"")</f>
        <v/>
      </c>
      <c r="AB138">
        <f>IF(ISNUMBER(W138),W138,0)</f>
        <v/>
      </c>
      <c r="AC138">
        <f>IF(ISNUMBER(T138),1,0)</f>
        <v/>
      </c>
    </row>
    <row r="139">
      <c r="A139" t="inlineStr">
        <is>
          <t>SIMULATED_ShelfStudy_POSM_vs_NoPOSM</t>
        </is>
      </c>
      <c r="B139" t="inlineStr">
        <is>
          <t>P25</t>
        </is>
      </c>
      <c r="C139" t="inlineStr">
        <is>
          <t>M</t>
        </is>
      </c>
      <c r="D139" t="inlineStr">
        <is>
          <t>25-34</t>
        </is>
      </c>
      <c r="E139" t="inlineStr">
        <is>
          <t>POSM</t>
        </is>
      </c>
      <c r="F139" t="inlineStr">
        <is>
          <t>2026-10-16</t>
        </is>
      </c>
      <c r="G139" t="inlineStr">
        <is>
          <t>Shelf_POSM_GazeMap</t>
        </is>
      </c>
      <c r="H139" t="inlineStr">
        <is>
          <t>Shelf_Other</t>
        </is>
      </c>
      <c r="I139" t="n">
        <v>80000</v>
      </c>
      <c r="J139" t="n">
        <v>80000</v>
      </c>
      <c r="K139" t="n">
        <v>100</v>
      </c>
      <c r="L139" t="n">
        <v>88.3</v>
      </c>
      <c r="M139" t="n">
        <v>1199</v>
      </c>
      <c r="N139" t="n">
        <v>1</v>
      </c>
      <c r="O139" t="n">
        <v>172</v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n">
        <v>80000</v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>
        <f>IF(L139&gt;=70,"Yes","No")</f>
        <v/>
      </c>
      <c r="AA139">
        <f>IF(ISNUMBER(T139),T139/1000,"")</f>
        <v/>
      </c>
      <c r="AB139">
        <f>IF(ISNUMBER(W139),W139,0)</f>
        <v/>
      </c>
      <c r="AC139">
        <f>IF(ISNUMBER(T139),1,0)</f>
        <v/>
      </c>
    </row>
    <row r="140">
      <c r="A140" t="inlineStr">
        <is>
          <t>SIMULATED_ShelfStudy_POSM_vs_NoPOSM</t>
        </is>
      </c>
      <c r="B140" t="inlineStr">
        <is>
          <t>P26</t>
        </is>
      </c>
      <c r="C140" t="inlineStr">
        <is>
          <t>M</t>
        </is>
      </c>
      <c r="D140" t="inlineStr">
        <is>
          <t>25-34</t>
        </is>
      </c>
      <c r="E140" t="inlineStr">
        <is>
          <t>NoPOSM</t>
        </is>
      </c>
      <c r="F140" t="inlineStr">
        <is>
          <t>2026-10-16</t>
        </is>
      </c>
      <c r="G140" t="inlineStr">
        <is>
          <t>Shelf_NoPOSM_GazeMap</t>
        </is>
      </c>
      <c r="H140" t="inlineStr">
        <is>
          <t>Sensodyne_Products</t>
        </is>
      </c>
      <c r="I140" t="n">
        <v>160849</v>
      </c>
      <c r="J140" t="n">
        <v>160849</v>
      </c>
      <c r="K140" t="n">
        <v>100</v>
      </c>
      <c r="L140" t="n">
        <v>82.2</v>
      </c>
      <c r="M140" t="n">
        <v>3423</v>
      </c>
      <c r="N140" t="n">
        <v>4</v>
      </c>
      <c r="O140" t="n">
        <v>15529</v>
      </c>
      <c r="P140" t="n">
        <v>3</v>
      </c>
      <c r="Q140" t="n">
        <v>2</v>
      </c>
      <c r="R140" t="n">
        <v>44</v>
      </c>
      <c r="S140" t="n">
        <v>3715</v>
      </c>
      <c r="T140" t="n">
        <v>3715</v>
      </c>
      <c r="U140" t="n">
        <v>3715</v>
      </c>
      <c r="V140" t="n">
        <v>13655</v>
      </c>
      <c r="W140" t="n">
        <v>8.49</v>
      </c>
      <c r="X140" t="n">
        <v>310</v>
      </c>
      <c r="Y140" t="n">
        <v>275</v>
      </c>
      <c r="Z140">
        <f>IF(L140&gt;=70,"Yes","No")</f>
        <v/>
      </c>
      <c r="AA140">
        <f>IF(ISNUMBER(T140),T140/1000,"")</f>
        <v/>
      </c>
      <c r="AB140">
        <f>IF(ISNUMBER(W140),W140,0)</f>
        <v/>
      </c>
      <c r="AC140">
        <f>IF(ISNUMBER(T140),1,0)</f>
        <v/>
      </c>
    </row>
    <row r="141">
      <c r="A141" t="inlineStr">
        <is>
          <t>SIMULATED_ShelfStudy_POSM_vs_NoPOSM</t>
        </is>
      </c>
      <c r="B141" t="inlineStr">
        <is>
          <t>P26</t>
        </is>
      </c>
      <c r="C141" t="inlineStr">
        <is>
          <t>M</t>
        </is>
      </c>
      <c r="D141" t="inlineStr">
        <is>
          <t>25-34</t>
        </is>
      </c>
      <c r="E141" t="inlineStr">
        <is>
          <t>NoPOSM</t>
        </is>
      </c>
      <c r="F141" t="inlineStr">
        <is>
          <t>2026-10-16</t>
        </is>
      </c>
      <c r="G141" t="inlineStr">
        <is>
          <t>Shelf_NoPOSM_GazeMap</t>
        </is>
      </c>
      <c r="H141" t="inlineStr">
        <is>
          <t>Competitor_A</t>
        </is>
      </c>
      <c r="I141" t="n">
        <v>160849</v>
      </c>
      <c r="J141" t="n">
        <v>160849</v>
      </c>
      <c r="K141" t="n">
        <v>100</v>
      </c>
      <c r="L141" t="n">
        <v>82.2</v>
      </c>
      <c r="M141" t="n">
        <v>2188</v>
      </c>
      <c r="N141" t="n">
        <v>10</v>
      </c>
      <c r="O141" t="n">
        <v>36473</v>
      </c>
      <c r="P141" t="n">
        <v>10</v>
      </c>
      <c r="Q141" t="n">
        <v>9</v>
      </c>
      <c r="R141" t="n">
        <v>121</v>
      </c>
      <c r="S141" t="n">
        <v>2342</v>
      </c>
      <c r="T141" t="n">
        <v>2342</v>
      </c>
      <c r="U141" t="n">
        <v>2342</v>
      </c>
      <c r="V141" t="n">
        <v>31848</v>
      </c>
      <c r="W141" t="n">
        <v>19.8</v>
      </c>
      <c r="X141" t="n">
        <v>263</v>
      </c>
      <c r="Y141" t="n">
        <v>206</v>
      </c>
      <c r="Z141">
        <f>IF(L141&gt;=70,"Yes","No")</f>
        <v/>
      </c>
      <c r="AA141">
        <f>IF(ISNUMBER(T141),T141/1000,"")</f>
        <v/>
      </c>
      <c r="AB141">
        <f>IF(ISNUMBER(W141),W141,0)</f>
        <v/>
      </c>
      <c r="AC141">
        <f>IF(ISNUMBER(T141),1,0)</f>
        <v/>
      </c>
    </row>
    <row r="142">
      <c r="A142" t="inlineStr">
        <is>
          <t>SIMULATED_ShelfStudy_POSM_vs_NoPOSM</t>
        </is>
      </c>
      <c r="B142" t="inlineStr">
        <is>
          <t>P26</t>
        </is>
      </c>
      <c r="C142" t="inlineStr">
        <is>
          <t>M</t>
        </is>
      </c>
      <c r="D142" t="inlineStr">
        <is>
          <t>25-34</t>
        </is>
      </c>
      <c r="E142" t="inlineStr">
        <is>
          <t>NoPOSM</t>
        </is>
      </c>
      <c r="F142" t="inlineStr">
        <is>
          <t>2026-10-16</t>
        </is>
      </c>
      <c r="G142" t="inlineStr">
        <is>
          <t>Shelf_NoPOSM_GazeMap</t>
        </is>
      </c>
      <c r="H142" t="inlineStr">
        <is>
          <t>Competitor_B</t>
        </is>
      </c>
      <c r="I142" t="n">
        <v>160849</v>
      </c>
      <c r="J142" t="n">
        <v>160849</v>
      </c>
      <c r="K142" t="n">
        <v>100</v>
      </c>
      <c r="L142" t="n">
        <v>82.2</v>
      </c>
      <c r="M142" t="n">
        <v>6797</v>
      </c>
      <c r="N142" t="n">
        <v>1</v>
      </c>
      <c r="O142" t="n">
        <v>176</v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NA</t>
        </is>
      </c>
      <c r="U142" t="n">
        <v>160849</v>
      </c>
      <c r="V142" t="inlineStr">
        <is>
          <t>NA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>
        <f>IF(L142&gt;=70,"Yes","No")</f>
        <v/>
      </c>
      <c r="AA142">
        <f>IF(ISNUMBER(T142),T142/1000,"")</f>
        <v/>
      </c>
      <c r="AB142">
        <f>IF(ISNUMBER(W142),W142,0)</f>
        <v/>
      </c>
      <c r="AC142">
        <f>IF(ISNUMBER(T142),1,0)</f>
        <v/>
      </c>
    </row>
    <row r="143">
      <c r="A143" t="inlineStr">
        <is>
          <t>SIMULATED_ShelfStudy_POSM_vs_NoPOSM</t>
        </is>
      </c>
      <c r="B143" t="inlineStr">
        <is>
          <t>P26</t>
        </is>
      </c>
      <c r="C143" t="inlineStr">
        <is>
          <t>M</t>
        </is>
      </c>
      <c r="D143" t="inlineStr">
        <is>
          <t>25-34</t>
        </is>
      </c>
      <c r="E143" t="inlineStr">
        <is>
          <t>NoPOSM</t>
        </is>
      </c>
      <c r="F143" t="inlineStr">
        <is>
          <t>2026-10-16</t>
        </is>
      </c>
      <c r="G143" t="inlineStr">
        <is>
          <t>Shelf_NoPOSM_GazeMap</t>
        </is>
      </c>
      <c r="H143" t="inlineStr">
        <is>
          <t>Price_Tags</t>
        </is>
      </c>
      <c r="I143" t="n">
        <v>160849</v>
      </c>
      <c r="J143" t="n">
        <v>160849</v>
      </c>
      <c r="K143" t="n">
        <v>100</v>
      </c>
      <c r="L143" t="n">
        <v>82.2</v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  <c r="T143" t="inlineStr">
        <is>
          <t>NA</t>
        </is>
      </c>
      <c r="U143" t="n">
        <v>160849</v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>
        <f>IF(L143&gt;=70,"Yes","No")</f>
        <v/>
      </c>
      <c r="AA143">
        <f>IF(ISNUMBER(T143),T143/1000,"")</f>
        <v/>
      </c>
      <c r="AB143">
        <f>IF(ISNUMBER(W143),W143,0)</f>
        <v/>
      </c>
      <c r="AC143">
        <f>IF(ISNUMBER(T143),1,0)</f>
        <v/>
      </c>
    </row>
    <row r="144">
      <c r="A144" t="inlineStr">
        <is>
          <t>SIMULATED_ShelfStudy_POSM_vs_NoPOSM</t>
        </is>
      </c>
      <c r="B144" t="inlineStr">
        <is>
          <t>P26</t>
        </is>
      </c>
      <c r="C144" t="inlineStr">
        <is>
          <t>M</t>
        </is>
      </c>
      <c r="D144" t="inlineStr">
        <is>
          <t>25-34</t>
        </is>
      </c>
      <c r="E144" t="inlineStr">
        <is>
          <t>NoPOSM</t>
        </is>
      </c>
      <c r="F144" t="inlineStr">
        <is>
          <t>2026-10-16</t>
        </is>
      </c>
      <c r="G144" t="inlineStr">
        <is>
          <t>Shelf_NoPOSM_GazeMap</t>
        </is>
      </c>
      <c r="H144" t="inlineStr">
        <is>
          <t>Shelf_Other</t>
        </is>
      </c>
      <c r="I144" t="n">
        <v>160849</v>
      </c>
      <c r="J144" t="n">
        <v>160849</v>
      </c>
      <c r="K144" t="n">
        <v>100</v>
      </c>
      <c r="L144" t="n">
        <v>82.2</v>
      </c>
      <c r="M144" t="n">
        <v>2324</v>
      </c>
      <c r="N144" t="n">
        <v>3</v>
      </c>
      <c r="O144" t="n">
        <v>22115</v>
      </c>
      <c r="P144" t="n">
        <v>3</v>
      </c>
      <c r="Q144" t="n">
        <v>2</v>
      </c>
      <c r="R144" t="n">
        <v>88</v>
      </c>
      <c r="S144" t="n">
        <v>2605</v>
      </c>
      <c r="T144" t="n">
        <v>2605</v>
      </c>
      <c r="U144" t="n">
        <v>2605</v>
      </c>
      <c r="V144" t="n">
        <v>19340</v>
      </c>
      <c r="W144" t="n">
        <v>12.02</v>
      </c>
      <c r="X144" t="n">
        <v>220</v>
      </c>
      <c r="Y144" t="n">
        <v>339</v>
      </c>
      <c r="Z144">
        <f>IF(L144&gt;=70,"Yes","No")</f>
        <v/>
      </c>
      <c r="AA144">
        <f>IF(ISNUMBER(T144),T144/1000,"")</f>
        <v/>
      </c>
      <c r="AB144">
        <f>IF(ISNUMBER(W144),W144,0)</f>
        <v/>
      </c>
      <c r="AC144">
        <f>IF(ISNUMBER(T144),1,0)</f>
        <v/>
      </c>
    </row>
    <row r="145">
      <c r="A145" t="inlineStr">
        <is>
          <t>SIMULATED_ShelfStudy_POSM_vs_NoPOSM</t>
        </is>
      </c>
      <c r="B145" t="inlineStr">
        <is>
          <t>P27</t>
        </is>
      </c>
      <c r="C145" t="inlineStr">
        <is>
          <t>M</t>
        </is>
      </c>
      <c r="D145" t="inlineStr">
        <is>
          <t>45-59</t>
        </is>
      </c>
      <c r="E145" t="inlineStr">
        <is>
          <t>POSM</t>
        </is>
      </c>
      <c r="F145" t="inlineStr">
        <is>
          <t>2026-10-16</t>
        </is>
      </c>
      <c r="G145" t="inlineStr">
        <is>
          <t>Shelf_POSM_GazeMap</t>
        </is>
      </c>
      <c r="H145" t="inlineStr">
        <is>
          <t>Sensodyne_Products</t>
        </is>
      </c>
      <c r="I145" t="n">
        <v>149382</v>
      </c>
      <c r="J145" t="n">
        <v>149382</v>
      </c>
      <c r="K145" t="n">
        <v>100</v>
      </c>
      <c r="L145" t="n">
        <v>85.09999999999999</v>
      </c>
      <c r="M145" t="n">
        <v>2391</v>
      </c>
      <c r="N145" t="n">
        <v>6</v>
      </c>
      <c r="O145" t="n">
        <v>26826</v>
      </c>
      <c r="P145" t="n">
        <v>5</v>
      </c>
      <c r="Q145" t="n">
        <v>4</v>
      </c>
      <c r="R145" t="n">
        <v>104</v>
      </c>
      <c r="S145" t="n">
        <v>2487</v>
      </c>
      <c r="T145" t="n">
        <v>2487</v>
      </c>
      <c r="U145" t="n">
        <v>2487</v>
      </c>
      <c r="V145" t="n">
        <v>25637</v>
      </c>
      <c r="W145" t="n">
        <v>17.16</v>
      </c>
      <c r="X145" t="n">
        <v>247</v>
      </c>
      <c r="Y145" t="n">
        <v>246</v>
      </c>
      <c r="Z145">
        <f>IF(L145&gt;=70,"Yes","No")</f>
        <v/>
      </c>
      <c r="AA145">
        <f>IF(ISNUMBER(T145),T145/1000,"")</f>
        <v/>
      </c>
      <c r="AB145">
        <f>IF(ISNUMBER(W145),W145,0)</f>
        <v/>
      </c>
      <c r="AC145">
        <f>IF(ISNUMBER(T145),1,0)</f>
        <v/>
      </c>
    </row>
    <row r="146">
      <c r="A146" t="inlineStr">
        <is>
          <t>SIMULATED_ShelfStudy_POSM_vs_NoPOSM</t>
        </is>
      </c>
      <c r="B146" t="inlineStr">
        <is>
          <t>P27</t>
        </is>
      </c>
      <c r="C146" t="inlineStr">
        <is>
          <t>M</t>
        </is>
      </c>
      <c r="D146" t="inlineStr">
        <is>
          <t>45-59</t>
        </is>
      </c>
      <c r="E146" t="inlineStr">
        <is>
          <t>POSM</t>
        </is>
      </c>
      <c r="F146" t="inlineStr">
        <is>
          <t>2026-10-16</t>
        </is>
      </c>
      <c r="G146" t="inlineStr">
        <is>
          <t>Shelf_POSM_GazeMap</t>
        </is>
      </c>
      <c r="H146" t="inlineStr">
        <is>
          <t>Sensodyne_POSM_Wing</t>
        </is>
      </c>
      <c r="I146" t="n">
        <v>149382</v>
      </c>
      <c r="J146" t="n">
        <v>149382</v>
      </c>
      <c r="K146" t="n">
        <v>100</v>
      </c>
      <c r="L146" t="n">
        <v>85.09999999999999</v>
      </c>
      <c r="M146" t="n">
        <v>2553</v>
      </c>
      <c r="N146" t="n">
        <v>4</v>
      </c>
      <c r="O146" t="n">
        <v>12100</v>
      </c>
      <c r="P146" t="n">
        <v>4</v>
      </c>
      <c r="Q146" t="n">
        <v>3</v>
      </c>
      <c r="R146" t="n">
        <v>57</v>
      </c>
      <c r="S146" t="n">
        <v>2635</v>
      </c>
      <c r="T146" t="n">
        <v>2635</v>
      </c>
      <c r="U146" t="n">
        <v>2635</v>
      </c>
      <c r="V146" t="n">
        <v>11085</v>
      </c>
      <c r="W146" t="n">
        <v>7.42</v>
      </c>
      <c r="X146" t="n">
        <v>194</v>
      </c>
      <c r="Y146" t="n">
        <v>206</v>
      </c>
      <c r="Z146">
        <f>IF(L146&gt;=70,"Yes","No")</f>
        <v/>
      </c>
      <c r="AA146">
        <f>IF(ISNUMBER(T146),T146/1000,"")</f>
        <v/>
      </c>
      <c r="AB146">
        <f>IF(ISNUMBER(W146),W146,0)</f>
        <v/>
      </c>
      <c r="AC146">
        <f>IF(ISNUMBER(T146),1,0)</f>
        <v/>
      </c>
    </row>
    <row r="147">
      <c r="A147" t="inlineStr">
        <is>
          <t>SIMULATED_ShelfStudy_POSM_vs_NoPOSM</t>
        </is>
      </c>
      <c r="B147" t="inlineStr">
        <is>
          <t>P27</t>
        </is>
      </c>
      <c r="C147" t="inlineStr">
        <is>
          <t>M</t>
        </is>
      </c>
      <c r="D147" t="inlineStr">
        <is>
          <t>45-59</t>
        </is>
      </c>
      <c r="E147" t="inlineStr">
        <is>
          <t>POSM</t>
        </is>
      </c>
      <c r="F147" t="inlineStr">
        <is>
          <t>2026-10-16</t>
        </is>
      </c>
      <c r="G147" t="inlineStr">
        <is>
          <t>Shelf_POSM_GazeMap</t>
        </is>
      </c>
      <c r="H147" t="inlineStr">
        <is>
          <t>Competitor_A</t>
        </is>
      </c>
      <c r="I147" t="n">
        <v>149382</v>
      </c>
      <c r="J147" t="n">
        <v>149382</v>
      </c>
      <c r="K147" t="n">
        <v>100</v>
      </c>
      <c r="L147" t="n">
        <v>85.09999999999999</v>
      </c>
      <c r="M147" t="n">
        <v>3428</v>
      </c>
      <c r="N147" t="n">
        <v>6</v>
      </c>
      <c r="O147" t="n">
        <v>25201</v>
      </c>
      <c r="P147" t="n">
        <v>6</v>
      </c>
      <c r="Q147" t="n">
        <v>5</v>
      </c>
      <c r="R147" t="n">
        <v>113</v>
      </c>
      <c r="S147" t="n">
        <v>3603</v>
      </c>
      <c r="T147" t="n">
        <v>3603</v>
      </c>
      <c r="U147" t="n">
        <v>3603</v>
      </c>
      <c r="V147" t="n">
        <v>22971</v>
      </c>
      <c r="W147" t="n">
        <v>15.38</v>
      </c>
      <c r="X147" t="n">
        <v>203</v>
      </c>
      <c r="Y147" t="n">
        <v>319</v>
      </c>
      <c r="Z147">
        <f>IF(L147&gt;=70,"Yes","No")</f>
        <v/>
      </c>
      <c r="AA147">
        <f>IF(ISNUMBER(T147),T147/1000,"")</f>
        <v/>
      </c>
      <c r="AB147">
        <f>IF(ISNUMBER(W147),W147,0)</f>
        <v/>
      </c>
      <c r="AC147">
        <f>IF(ISNUMBER(T147),1,0)</f>
        <v/>
      </c>
    </row>
    <row r="148">
      <c r="A148" t="inlineStr">
        <is>
          <t>SIMULATED_ShelfStudy_POSM_vs_NoPOSM</t>
        </is>
      </c>
      <c r="B148" t="inlineStr">
        <is>
          <t>P27</t>
        </is>
      </c>
      <c r="C148" t="inlineStr">
        <is>
          <t>M</t>
        </is>
      </c>
      <c r="D148" t="inlineStr">
        <is>
          <t>45-59</t>
        </is>
      </c>
      <c r="E148" t="inlineStr">
        <is>
          <t>POSM</t>
        </is>
      </c>
      <c r="F148" t="inlineStr">
        <is>
          <t>2026-10-16</t>
        </is>
      </c>
      <c r="G148" t="inlineStr">
        <is>
          <t>Shelf_POSM_GazeMap</t>
        </is>
      </c>
      <c r="H148" t="inlineStr">
        <is>
          <t>Competitor_B</t>
        </is>
      </c>
      <c r="I148" t="n">
        <v>149382</v>
      </c>
      <c r="J148" t="n">
        <v>149382</v>
      </c>
      <c r="K148" t="n">
        <v>100</v>
      </c>
      <c r="L148" t="n">
        <v>85.09999999999999</v>
      </c>
      <c r="M148" t="n">
        <v>5172</v>
      </c>
      <c r="N148" t="n">
        <v>5</v>
      </c>
      <c r="O148" t="n">
        <v>16570</v>
      </c>
      <c r="P148" t="n">
        <v>3</v>
      </c>
      <c r="Q148" t="n">
        <v>2</v>
      </c>
      <c r="R148" t="n">
        <v>43</v>
      </c>
      <c r="S148" t="n">
        <v>5260</v>
      </c>
      <c r="T148" t="n">
        <v>5260</v>
      </c>
      <c r="U148" t="n">
        <v>5260</v>
      </c>
      <c r="V148" t="n">
        <v>15624</v>
      </c>
      <c r="W148" t="n">
        <v>10.46</v>
      </c>
      <c r="X148" t="n">
        <v>363</v>
      </c>
      <c r="Y148" t="n">
        <v>253</v>
      </c>
      <c r="Z148">
        <f>IF(L148&gt;=70,"Yes","No")</f>
        <v/>
      </c>
      <c r="AA148">
        <f>IF(ISNUMBER(T148),T148/1000,"")</f>
        <v/>
      </c>
      <c r="AB148">
        <f>IF(ISNUMBER(W148),W148,0)</f>
        <v/>
      </c>
      <c r="AC148">
        <f>IF(ISNUMBER(T148),1,0)</f>
        <v/>
      </c>
    </row>
    <row r="149">
      <c r="A149" t="inlineStr">
        <is>
          <t>SIMULATED_ShelfStudy_POSM_vs_NoPOSM</t>
        </is>
      </c>
      <c r="B149" t="inlineStr">
        <is>
          <t>P27</t>
        </is>
      </c>
      <c r="C149" t="inlineStr">
        <is>
          <t>M</t>
        </is>
      </c>
      <c r="D149" t="inlineStr">
        <is>
          <t>45-59</t>
        </is>
      </c>
      <c r="E149" t="inlineStr">
        <is>
          <t>POSM</t>
        </is>
      </c>
      <c r="F149" t="inlineStr">
        <is>
          <t>2026-10-16</t>
        </is>
      </c>
      <c r="G149" t="inlineStr">
        <is>
          <t>Shelf_POSM_GazeMap</t>
        </is>
      </c>
      <c r="H149" t="inlineStr">
        <is>
          <t>Price_Tags</t>
        </is>
      </c>
      <c r="I149" t="n">
        <v>149382</v>
      </c>
      <c r="J149" t="n">
        <v>149382</v>
      </c>
      <c r="K149" t="n">
        <v>100</v>
      </c>
      <c r="L149" t="n">
        <v>85.09999999999999</v>
      </c>
      <c r="M149" t="n">
        <v>5619</v>
      </c>
      <c r="N149" t="n">
        <v>1</v>
      </c>
      <c r="O149" t="n">
        <v>13239</v>
      </c>
      <c r="P149" t="n">
        <v>1</v>
      </c>
      <c r="Q149" t="n">
        <v>0</v>
      </c>
      <c r="R149" t="n">
        <v>42</v>
      </c>
      <c r="S149" t="n">
        <v>5771</v>
      </c>
      <c r="T149" t="n">
        <v>5771</v>
      </c>
      <c r="U149" t="n">
        <v>5771</v>
      </c>
      <c r="V149" t="n">
        <v>12337</v>
      </c>
      <c r="W149" t="n">
        <v>8.26</v>
      </c>
      <c r="X149" t="n">
        <v>294</v>
      </c>
      <c r="Y149" t="n">
        <v>176</v>
      </c>
      <c r="Z149">
        <f>IF(L149&gt;=70,"Yes","No")</f>
        <v/>
      </c>
      <c r="AA149">
        <f>IF(ISNUMBER(T149),T149/1000,"")</f>
        <v/>
      </c>
      <c r="AB149">
        <f>IF(ISNUMBER(W149),W149,0)</f>
        <v/>
      </c>
      <c r="AC149">
        <f>IF(ISNUMBER(T149),1,0)</f>
        <v/>
      </c>
    </row>
    <row r="150">
      <c r="A150" t="inlineStr">
        <is>
          <t>SIMULATED_ShelfStudy_POSM_vs_NoPOSM</t>
        </is>
      </c>
      <c r="B150" t="inlineStr">
        <is>
          <t>P27</t>
        </is>
      </c>
      <c r="C150" t="inlineStr">
        <is>
          <t>M</t>
        </is>
      </c>
      <c r="D150" t="inlineStr">
        <is>
          <t>45-59</t>
        </is>
      </c>
      <c r="E150" t="inlineStr">
        <is>
          <t>POSM</t>
        </is>
      </c>
      <c r="F150" t="inlineStr">
        <is>
          <t>2026-10-16</t>
        </is>
      </c>
      <c r="G150" t="inlineStr">
        <is>
          <t>Shelf_POSM_GazeMap</t>
        </is>
      </c>
      <c r="H150" t="inlineStr">
        <is>
          <t>Shelf_Other</t>
        </is>
      </c>
      <c r="I150" t="n">
        <v>149382</v>
      </c>
      <c r="J150" t="n">
        <v>149382</v>
      </c>
      <c r="K150" t="n">
        <v>100</v>
      </c>
      <c r="L150" t="n">
        <v>85.09999999999999</v>
      </c>
      <c r="M150" t="n">
        <v>1088</v>
      </c>
      <c r="N150" t="n">
        <v>3</v>
      </c>
      <c r="O150" t="n">
        <v>17514</v>
      </c>
      <c r="P150" t="n">
        <v>3</v>
      </c>
      <c r="Q150" t="n">
        <v>2</v>
      </c>
      <c r="R150" t="n">
        <v>51</v>
      </c>
      <c r="S150" t="n">
        <v>1350</v>
      </c>
      <c r="T150" t="n">
        <v>1350</v>
      </c>
      <c r="U150" t="n">
        <v>1350</v>
      </c>
      <c r="V150" t="n">
        <v>16344</v>
      </c>
      <c r="W150" t="n">
        <v>10.94</v>
      </c>
      <c r="X150" t="n">
        <v>320</v>
      </c>
      <c r="Y150" t="n">
        <v>121</v>
      </c>
      <c r="Z150">
        <f>IF(L150&gt;=70,"Yes","No")</f>
        <v/>
      </c>
      <c r="AA150">
        <f>IF(ISNUMBER(T150),T150/1000,"")</f>
        <v/>
      </c>
      <c r="AB150">
        <f>IF(ISNUMBER(W150),W150,0)</f>
        <v/>
      </c>
      <c r="AC150">
        <f>IF(ISNUMBER(T150),1,0)</f>
        <v/>
      </c>
    </row>
    <row r="151">
      <c r="A151" t="inlineStr">
        <is>
          <t>SIMULATED_ShelfStudy_POSM_vs_NoPOSM</t>
        </is>
      </c>
      <c r="B151" t="inlineStr">
        <is>
          <t>P28</t>
        </is>
      </c>
      <c r="C151" t="inlineStr">
        <is>
          <t>F</t>
        </is>
      </c>
      <c r="D151" t="inlineStr">
        <is>
          <t>25-34</t>
        </is>
      </c>
      <c r="E151" t="inlineStr">
        <is>
          <t>NoPOSM</t>
        </is>
      </c>
      <c r="F151" t="inlineStr">
        <is>
          <t>2026-10-16</t>
        </is>
      </c>
      <c r="G151" t="inlineStr">
        <is>
          <t>Shelf_NoPOSM_GazeMap</t>
        </is>
      </c>
      <c r="H151" t="inlineStr">
        <is>
          <t>Sensodyne_Products</t>
        </is>
      </c>
      <c r="I151" t="n">
        <v>169374</v>
      </c>
      <c r="J151" t="n">
        <v>169374</v>
      </c>
      <c r="K151" t="n">
        <v>100</v>
      </c>
      <c r="L151" t="n">
        <v>91.5</v>
      </c>
      <c r="M151" t="n">
        <v>3044</v>
      </c>
      <c r="N151" t="n">
        <v>1</v>
      </c>
      <c r="O151" t="n">
        <v>14123</v>
      </c>
      <c r="P151" t="n">
        <v>1</v>
      </c>
      <c r="Q151" t="n">
        <v>0</v>
      </c>
      <c r="R151" t="n">
        <v>56</v>
      </c>
      <c r="S151" t="n">
        <v>3280</v>
      </c>
      <c r="T151" t="n">
        <v>3280</v>
      </c>
      <c r="U151" t="n">
        <v>3280</v>
      </c>
      <c r="V151" t="n">
        <v>12875</v>
      </c>
      <c r="W151" t="n">
        <v>7.6</v>
      </c>
      <c r="X151" t="n">
        <v>230</v>
      </c>
      <c r="Y151" t="n">
        <v>129</v>
      </c>
      <c r="Z151">
        <f>IF(L151&gt;=70,"Yes","No")</f>
        <v/>
      </c>
      <c r="AA151">
        <f>IF(ISNUMBER(T151),T151/1000,"")</f>
        <v/>
      </c>
      <c r="AB151">
        <f>IF(ISNUMBER(W151),W151,0)</f>
        <v/>
      </c>
      <c r="AC151">
        <f>IF(ISNUMBER(T151),1,0)</f>
        <v/>
      </c>
    </row>
    <row r="152">
      <c r="A152" t="inlineStr">
        <is>
          <t>SIMULATED_ShelfStudy_POSM_vs_NoPOSM</t>
        </is>
      </c>
      <c r="B152" t="inlineStr">
        <is>
          <t>P28</t>
        </is>
      </c>
      <c r="C152" t="inlineStr">
        <is>
          <t>F</t>
        </is>
      </c>
      <c r="D152" t="inlineStr">
        <is>
          <t>25-34</t>
        </is>
      </c>
      <c r="E152" t="inlineStr">
        <is>
          <t>NoPOSM</t>
        </is>
      </c>
      <c r="F152" t="inlineStr">
        <is>
          <t>2026-10-16</t>
        </is>
      </c>
      <c r="G152" t="inlineStr">
        <is>
          <t>Shelf_NoPOSM_GazeMap</t>
        </is>
      </c>
      <c r="H152" t="inlineStr">
        <is>
          <t>Competitor_A</t>
        </is>
      </c>
      <c r="I152" t="n">
        <v>169374</v>
      </c>
      <c r="J152" t="n">
        <v>169374</v>
      </c>
      <c r="K152" t="n">
        <v>100</v>
      </c>
      <c r="L152" t="n">
        <v>91.5</v>
      </c>
      <c r="M152" t="n">
        <v>1436</v>
      </c>
      <c r="N152" t="n">
        <v>8</v>
      </c>
      <c r="O152" t="n">
        <v>25036</v>
      </c>
      <c r="P152" t="n">
        <v>7</v>
      </c>
      <c r="Q152" t="n">
        <v>6</v>
      </c>
      <c r="R152" t="n">
        <v>82</v>
      </c>
      <c r="S152" t="n">
        <v>1600</v>
      </c>
      <c r="T152" t="n">
        <v>1600</v>
      </c>
      <c r="U152" t="n">
        <v>1600</v>
      </c>
      <c r="V152" t="n">
        <v>21912</v>
      </c>
      <c r="W152" t="n">
        <v>12.94</v>
      </c>
      <c r="X152" t="n">
        <v>267</v>
      </c>
      <c r="Y152" t="n">
        <v>230</v>
      </c>
      <c r="Z152">
        <f>IF(L152&gt;=70,"Yes","No")</f>
        <v/>
      </c>
      <c r="AA152">
        <f>IF(ISNUMBER(T152),T152/1000,"")</f>
        <v/>
      </c>
      <c r="AB152">
        <f>IF(ISNUMBER(W152),W152,0)</f>
        <v/>
      </c>
      <c r="AC152">
        <f>IF(ISNUMBER(T152),1,0)</f>
        <v/>
      </c>
    </row>
    <row r="153">
      <c r="A153" t="inlineStr">
        <is>
          <t>SIMULATED_ShelfStudy_POSM_vs_NoPOSM</t>
        </is>
      </c>
      <c r="B153" t="inlineStr">
        <is>
          <t>P28</t>
        </is>
      </c>
      <c r="C153" t="inlineStr">
        <is>
          <t>F</t>
        </is>
      </c>
      <c r="D153" t="inlineStr">
        <is>
          <t>25-34</t>
        </is>
      </c>
      <c r="E153" t="inlineStr">
        <is>
          <t>NoPOSM</t>
        </is>
      </c>
      <c r="F153" t="inlineStr">
        <is>
          <t>2026-10-16</t>
        </is>
      </c>
      <c r="G153" t="inlineStr">
        <is>
          <t>Shelf_NoPOSM_GazeMap</t>
        </is>
      </c>
      <c r="H153" t="inlineStr">
        <is>
          <t>Competitor_B</t>
        </is>
      </c>
      <c r="I153" t="n">
        <v>169374</v>
      </c>
      <c r="J153" t="n">
        <v>169374</v>
      </c>
      <c r="K153" t="n">
        <v>100</v>
      </c>
      <c r="L153" t="n">
        <v>91.5</v>
      </c>
      <c r="M153" t="n">
        <v>3933</v>
      </c>
      <c r="N153" t="n">
        <v>3</v>
      </c>
      <c r="O153" t="n">
        <v>12838</v>
      </c>
      <c r="P153" t="n">
        <v>3</v>
      </c>
      <c r="Q153" t="n">
        <v>2</v>
      </c>
      <c r="R153" t="n">
        <v>38</v>
      </c>
      <c r="S153" t="n">
        <v>4066</v>
      </c>
      <c r="T153" t="n">
        <v>4066</v>
      </c>
      <c r="U153" t="n">
        <v>4066</v>
      </c>
      <c r="V153" t="n">
        <v>12137</v>
      </c>
      <c r="W153" t="n">
        <v>7.17</v>
      </c>
      <c r="X153" t="n">
        <v>319</v>
      </c>
      <c r="Y153" t="n">
        <v>167</v>
      </c>
      <c r="Z153">
        <f>IF(L153&gt;=70,"Yes","No")</f>
        <v/>
      </c>
      <c r="AA153">
        <f>IF(ISNUMBER(T153),T153/1000,"")</f>
        <v/>
      </c>
      <c r="AB153">
        <f>IF(ISNUMBER(W153),W153,0)</f>
        <v/>
      </c>
      <c r="AC153">
        <f>IF(ISNUMBER(T153),1,0)</f>
        <v/>
      </c>
    </row>
    <row r="154">
      <c r="A154" t="inlineStr">
        <is>
          <t>SIMULATED_ShelfStudy_POSM_vs_NoPOSM</t>
        </is>
      </c>
      <c r="B154" t="inlineStr">
        <is>
          <t>P28</t>
        </is>
      </c>
      <c r="C154" t="inlineStr">
        <is>
          <t>F</t>
        </is>
      </c>
      <c r="D154" t="inlineStr">
        <is>
          <t>25-34</t>
        </is>
      </c>
      <c r="E154" t="inlineStr">
        <is>
          <t>NoPOSM</t>
        </is>
      </c>
      <c r="F154" t="inlineStr">
        <is>
          <t>2026-10-16</t>
        </is>
      </c>
      <c r="G154" t="inlineStr">
        <is>
          <t>Shelf_NoPOSM_GazeMap</t>
        </is>
      </c>
      <c r="H154" t="inlineStr">
        <is>
          <t>Price_Tags</t>
        </is>
      </c>
      <c r="I154" t="n">
        <v>169374</v>
      </c>
      <c r="J154" t="n">
        <v>169374</v>
      </c>
      <c r="K154" t="n">
        <v>100</v>
      </c>
      <c r="L154" t="n">
        <v>91.5</v>
      </c>
      <c r="M154" t="n">
        <v>6703</v>
      </c>
      <c r="N154" t="n">
        <v>1</v>
      </c>
      <c r="O154" t="n">
        <v>7588</v>
      </c>
      <c r="P154" t="n">
        <v>1</v>
      </c>
      <c r="Q154" t="n">
        <v>0</v>
      </c>
      <c r="R154" t="n">
        <v>33</v>
      </c>
      <c r="S154" t="n">
        <v>6940</v>
      </c>
      <c r="T154" t="n">
        <v>6940</v>
      </c>
      <c r="U154" t="n">
        <v>6940</v>
      </c>
      <c r="V154" t="n">
        <v>6789</v>
      </c>
      <c r="W154" t="n">
        <v>4.01</v>
      </c>
      <c r="X154" t="n">
        <v>206</v>
      </c>
      <c r="Y154" t="n">
        <v>217</v>
      </c>
      <c r="Z154">
        <f>IF(L154&gt;=70,"Yes","No")</f>
        <v/>
      </c>
      <c r="AA154">
        <f>IF(ISNUMBER(T154),T154/1000,"")</f>
        <v/>
      </c>
      <c r="AB154">
        <f>IF(ISNUMBER(W154),W154,0)</f>
        <v/>
      </c>
      <c r="AC154">
        <f>IF(ISNUMBER(T154),1,0)</f>
        <v/>
      </c>
    </row>
    <row r="155">
      <c r="A155" t="inlineStr">
        <is>
          <t>SIMULATED_ShelfStudy_POSM_vs_NoPOSM</t>
        </is>
      </c>
      <c r="B155" t="inlineStr">
        <is>
          <t>P28</t>
        </is>
      </c>
      <c r="C155" t="inlineStr">
        <is>
          <t>F</t>
        </is>
      </c>
      <c r="D155" t="inlineStr">
        <is>
          <t>25-34</t>
        </is>
      </c>
      <c r="E155" t="inlineStr">
        <is>
          <t>NoPOSM</t>
        </is>
      </c>
      <c r="F155" t="inlineStr">
        <is>
          <t>2026-10-16</t>
        </is>
      </c>
      <c r="G155" t="inlineStr">
        <is>
          <t>Shelf_NoPOSM_GazeMap</t>
        </is>
      </c>
      <c r="H155" t="inlineStr">
        <is>
          <t>Shelf_Other</t>
        </is>
      </c>
      <c r="I155" t="n">
        <v>169374</v>
      </c>
      <c r="J155" t="n">
        <v>169374</v>
      </c>
      <c r="K155" t="n">
        <v>100</v>
      </c>
      <c r="L155" t="n">
        <v>91.5</v>
      </c>
      <c r="M155" t="n">
        <v>579</v>
      </c>
      <c r="N155" t="n">
        <v>4</v>
      </c>
      <c r="O155" t="n">
        <v>22716</v>
      </c>
      <c r="P155" t="n">
        <v>4</v>
      </c>
      <c r="Q155" t="n">
        <v>3</v>
      </c>
      <c r="R155" t="n">
        <v>61</v>
      </c>
      <c r="S155" t="n">
        <v>669</v>
      </c>
      <c r="T155" t="n">
        <v>669</v>
      </c>
      <c r="U155" t="n">
        <v>669</v>
      </c>
      <c r="V155" t="n">
        <v>20004</v>
      </c>
      <c r="W155" t="n">
        <v>11.81</v>
      </c>
      <c r="X155" t="n">
        <v>328</v>
      </c>
      <c r="Y155" t="n">
        <v>211</v>
      </c>
      <c r="Z155">
        <f>IF(L155&gt;=70,"Yes","No")</f>
        <v/>
      </c>
      <c r="AA155">
        <f>IF(ISNUMBER(T155),T155/1000,"")</f>
        <v/>
      </c>
      <c r="AB155">
        <f>IF(ISNUMBER(W155),W155,0)</f>
        <v/>
      </c>
      <c r="AC155">
        <f>IF(ISNUMBER(T155),1,0)</f>
        <v/>
      </c>
    </row>
    <row r="156">
      <c r="A156" t="inlineStr">
        <is>
          <t>SIMULATED_ShelfStudy_POSM_vs_NoPOSM</t>
        </is>
      </c>
      <c r="B156" t="inlineStr">
        <is>
          <t>P29</t>
        </is>
      </c>
      <c r="C156" t="inlineStr">
        <is>
          <t>M</t>
        </is>
      </c>
      <c r="D156" t="inlineStr">
        <is>
          <t>18-24</t>
        </is>
      </c>
      <c r="E156" t="inlineStr">
        <is>
          <t>POSM</t>
        </is>
      </c>
      <c r="F156" t="inlineStr">
        <is>
          <t>2026-10-16</t>
        </is>
      </c>
      <c r="G156" t="inlineStr">
        <is>
          <t>Shelf_POSM_GazeMap</t>
        </is>
      </c>
      <c r="H156" t="inlineStr">
        <is>
          <t>Sensodyne_Products</t>
        </is>
      </c>
      <c r="I156" t="n">
        <v>107429</v>
      </c>
      <c r="J156" t="n">
        <v>107429</v>
      </c>
      <c r="K156" t="n">
        <v>100</v>
      </c>
      <c r="L156" t="n">
        <v>79.8</v>
      </c>
      <c r="M156" t="n">
        <v>903</v>
      </c>
      <c r="N156" t="n">
        <v>9</v>
      </c>
      <c r="O156" t="n">
        <v>29554</v>
      </c>
      <c r="P156" t="n">
        <v>9</v>
      </c>
      <c r="Q156" t="n">
        <v>8</v>
      </c>
      <c r="R156" t="n">
        <v>97</v>
      </c>
      <c r="S156" t="n">
        <v>1059</v>
      </c>
      <c r="T156" t="n">
        <v>1059</v>
      </c>
      <c r="U156" t="n">
        <v>1059</v>
      </c>
      <c r="V156" t="n">
        <v>27150</v>
      </c>
      <c r="W156" t="n">
        <v>25.27</v>
      </c>
      <c r="X156" t="n">
        <v>280</v>
      </c>
      <c r="Y156" t="n">
        <v>110</v>
      </c>
      <c r="Z156">
        <f>IF(L156&gt;=70,"Yes","No")</f>
        <v/>
      </c>
      <c r="AA156">
        <f>IF(ISNUMBER(T156),T156/1000,"")</f>
        <v/>
      </c>
      <c r="AB156">
        <f>IF(ISNUMBER(W156),W156,0)</f>
        <v/>
      </c>
      <c r="AC156">
        <f>IF(ISNUMBER(T156),1,0)</f>
        <v/>
      </c>
    </row>
    <row r="157">
      <c r="A157" t="inlineStr">
        <is>
          <t>SIMULATED_ShelfStudy_POSM_vs_NoPOSM</t>
        </is>
      </c>
      <c r="B157" t="inlineStr">
        <is>
          <t>P29</t>
        </is>
      </c>
      <c r="C157" t="inlineStr">
        <is>
          <t>M</t>
        </is>
      </c>
      <c r="D157" t="inlineStr">
        <is>
          <t>18-24</t>
        </is>
      </c>
      <c r="E157" t="inlineStr">
        <is>
          <t>POSM</t>
        </is>
      </c>
      <c r="F157" t="inlineStr">
        <is>
          <t>2026-10-16</t>
        </is>
      </c>
      <c r="G157" t="inlineStr">
        <is>
          <t>Shelf_POSM_GazeMap</t>
        </is>
      </c>
      <c r="H157" t="inlineStr">
        <is>
          <t>Sensodyne_POSM_Wing</t>
        </is>
      </c>
      <c r="I157" t="n">
        <v>107429</v>
      </c>
      <c r="J157" t="n">
        <v>107429</v>
      </c>
      <c r="K157" t="n">
        <v>100</v>
      </c>
      <c r="L157" t="n">
        <v>79.8</v>
      </c>
      <c r="M157" t="n">
        <v>1810</v>
      </c>
      <c r="N157" t="n">
        <v>5</v>
      </c>
      <c r="O157" t="n">
        <v>5750</v>
      </c>
      <c r="P157" t="n">
        <v>3</v>
      </c>
      <c r="Q157" t="n">
        <v>2</v>
      </c>
      <c r="R157" t="n">
        <v>25</v>
      </c>
      <c r="S157" t="n">
        <v>1898</v>
      </c>
      <c r="T157" t="n">
        <v>1898</v>
      </c>
      <c r="U157" t="n">
        <v>1898</v>
      </c>
      <c r="V157" t="n">
        <v>5568</v>
      </c>
      <c r="W157" t="n">
        <v>5.18</v>
      </c>
      <c r="X157" t="n">
        <v>223</v>
      </c>
      <c r="Y157" t="n">
        <v>270</v>
      </c>
      <c r="Z157">
        <f>IF(L157&gt;=70,"Yes","No")</f>
        <v/>
      </c>
      <c r="AA157">
        <f>IF(ISNUMBER(T157),T157/1000,"")</f>
        <v/>
      </c>
      <c r="AB157">
        <f>IF(ISNUMBER(W157),W157,0)</f>
        <v/>
      </c>
      <c r="AC157">
        <f>IF(ISNUMBER(T157),1,0)</f>
        <v/>
      </c>
    </row>
    <row r="158">
      <c r="A158" t="inlineStr">
        <is>
          <t>SIMULATED_ShelfStudy_POSM_vs_NoPOSM</t>
        </is>
      </c>
      <c r="B158" t="inlineStr">
        <is>
          <t>P29</t>
        </is>
      </c>
      <c r="C158" t="inlineStr">
        <is>
          <t>M</t>
        </is>
      </c>
      <c r="D158" t="inlineStr">
        <is>
          <t>18-24</t>
        </is>
      </c>
      <c r="E158" t="inlineStr">
        <is>
          <t>POSM</t>
        </is>
      </c>
      <c r="F158" t="inlineStr">
        <is>
          <t>2026-10-16</t>
        </is>
      </c>
      <c r="G158" t="inlineStr">
        <is>
          <t>Shelf_POSM_GazeMap</t>
        </is>
      </c>
      <c r="H158" t="inlineStr">
        <is>
          <t>Competitor_A</t>
        </is>
      </c>
      <c r="I158" t="n">
        <v>107429</v>
      </c>
      <c r="J158" t="n">
        <v>107429</v>
      </c>
      <c r="K158" t="n">
        <v>100</v>
      </c>
      <c r="L158" t="n">
        <v>79.8</v>
      </c>
      <c r="M158" t="n">
        <v>1787</v>
      </c>
      <c r="N158" t="n">
        <v>4</v>
      </c>
      <c r="O158" t="n">
        <v>13526</v>
      </c>
      <c r="P158" t="n">
        <v>4</v>
      </c>
      <c r="Q158" t="n">
        <v>3</v>
      </c>
      <c r="R158" t="n">
        <v>45</v>
      </c>
      <c r="S158" t="n">
        <v>1982</v>
      </c>
      <c r="T158" t="n">
        <v>1982</v>
      </c>
      <c r="U158" t="n">
        <v>1982</v>
      </c>
      <c r="V158" t="n">
        <v>13034</v>
      </c>
      <c r="W158" t="n">
        <v>12.13</v>
      </c>
      <c r="X158" t="n">
        <v>290</v>
      </c>
      <c r="Y158" t="n">
        <v>187</v>
      </c>
      <c r="Z158">
        <f>IF(L158&gt;=70,"Yes","No")</f>
        <v/>
      </c>
      <c r="AA158">
        <f>IF(ISNUMBER(T158),T158/1000,"")</f>
        <v/>
      </c>
      <c r="AB158">
        <f>IF(ISNUMBER(W158),W158,0)</f>
        <v/>
      </c>
      <c r="AC158">
        <f>IF(ISNUMBER(T158),1,0)</f>
        <v/>
      </c>
    </row>
    <row r="159">
      <c r="A159" t="inlineStr">
        <is>
          <t>SIMULATED_ShelfStudy_POSM_vs_NoPOSM</t>
        </is>
      </c>
      <c r="B159" t="inlineStr">
        <is>
          <t>P29</t>
        </is>
      </c>
      <c r="C159" t="inlineStr">
        <is>
          <t>M</t>
        </is>
      </c>
      <c r="D159" t="inlineStr">
        <is>
          <t>18-24</t>
        </is>
      </c>
      <c r="E159" t="inlineStr">
        <is>
          <t>POSM</t>
        </is>
      </c>
      <c r="F159" t="inlineStr">
        <is>
          <t>2026-10-16</t>
        </is>
      </c>
      <c r="G159" t="inlineStr">
        <is>
          <t>Shelf_POSM_GazeMap</t>
        </is>
      </c>
      <c r="H159" t="inlineStr">
        <is>
          <t>Competitor_B</t>
        </is>
      </c>
      <c r="I159" t="n">
        <v>107429</v>
      </c>
      <c r="J159" t="n">
        <v>107429</v>
      </c>
      <c r="K159" t="n">
        <v>100</v>
      </c>
      <c r="L159" t="n">
        <v>79.8</v>
      </c>
      <c r="M159" t="n">
        <v>3679</v>
      </c>
      <c r="N159" t="n">
        <v>3</v>
      </c>
      <c r="O159" t="n">
        <v>17452</v>
      </c>
      <c r="P159" t="n">
        <v>2</v>
      </c>
      <c r="Q159" t="n">
        <v>1</v>
      </c>
      <c r="R159" t="n">
        <v>63</v>
      </c>
      <c r="S159" t="n">
        <v>3867</v>
      </c>
      <c r="T159" t="n">
        <v>3867</v>
      </c>
      <c r="U159" t="n">
        <v>3867</v>
      </c>
      <c r="V159" t="n">
        <v>15790</v>
      </c>
      <c r="W159" t="n">
        <v>14.7</v>
      </c>
      <c r="X159" t="n">
        <v>251</v>
      </c>
      <c r="Y159" t="n">
        <v>148</v>
      </c>
      <c r="Z159">
        <f>IF(L159&gt;=70,"Yes","No")</f>
        <v/>
      </c>
      <c r="AA159">
        <f>IF(ISNUMBER(T159),T159/1000,"")</f>
        <v/>
      </c>
      <c r="AB159">
        <f>IF(ISNUMBER(W159),W159,0)</f>
        <v/>
      </c>
      <c r="AC159">
        <f>IF(ISNUMBER(T159),1,0)</f>
        <v/>
      </c>
    </row>
    <row r="160">
      <c r="A160" t="inlineStr">
        <is>
          <t>SIMULATED_ShelfStudy_POSM_vs_NoPOSM</t>
        </is>
      </c>
      <c r="B160" t="inlineStr">
        <is>
          <t>P29</t>
        </is>
      </c>
      <c r="C160" t="inlineStr">
        <is>
          <t>M</t>
        </is>
      </c>
      <c r="D160" t="inlineStr">
        <is>
          <t>18-24</t>
        </is>
      </c>
      <c r="E160" t="inlineStr">
        <is>
          <t>POSM</t>
        </is>
      </c>
      <c r="F160" t="inlineStr">
        <is>
          <t>2026-10-16</t>
        </is>
      </c>
      <c r="G160" t="inlineStr">
        <is>
          <t>Shelf_POSM_GazeMap</t>
        </is>
      </c>
      <c r="H160" t="inlineStr">
        <is>
          <t>Price_Tags</t>
        </is>
      </c>
      <c r="I160" t="n">
        <v>107429</v>
      </c>
      <c r="J160" t="n">
        <v>107429</v>
      </c>
      <c r="K160" t="n">
        <v>100</v>
      </c>
      <c r="L160" t="n">
        <v>79.8</v>
      </c>
      <c r="M160" t="n">
        <v>8695</v>
      </c>
      <c r="N160" t="n">
        <v>2</v>
      </c>
      <c r="O160" t="n">
        <v>9141</v>
      </c>
      <c r="P160" t="n">
        <v>2</v>
      </c>
      <c r="Q160" t="n">
        <v>1</v>
      </c>
      <c r="R160" t="n">
        <v>26</v>
      </c>
      <c r="S160" t="n">
        <v>8865</v>
      </c>
      <c r="T160" t="n">
        <v>8865</v>
      </c>
      <c r="U160" t="n">
        <v>8865</v>
      </c>
      <c r="V160" t="n">
        <v>8086</v>
      </c>
      <c r="W160" t="n">
        <v>7.53</v>
      </c>
      <c r="X160" t="n">
        <v>311</v>
      </c>
      <c r="Y160" t="n">
        <v>205</v>
      </c>
      <c r="Z160">
        <f>IF(L160&gt;=70,"Yes","No")</f>
        <v/>
      </c>
      <c r="AA160">
        <f>IF(ISNUMBER(T160),T160/1000,"")</f>
        <v/>
      </c>
      <c r="AB160">
        <f>IF(ISNUMBER(W160),W160,0)</f>
        <v/>
      </c>
      <c r="AC160">
        <f>IF(ISNUMBER(T160),1,0)</f>
        <v/>
      </c>
    </row>
    <row r="161">
      <c r="A161" t="inlineStr">
        <is>
          <t>SIMULATED_ShelfStudy_POSM_vs_NoPOSM</t>
        </is>
      </c>
      <c r="B161" t="inlineStr">
        <is>
          <t>P29</t>
        </is>
      </c>
      <c r="C161" t="inlineStr">
        <is>
          <t>M</t>
        </is>
      </c>
      <c r="D161" t="inlineStr">
        <is>
          <t>18-24</t>
        </is>
      </c>
      <c r="E161" t="inlineStr">
        <is>
          <t>POSM</t>
        </is>
      </c>
      <c r="F161" t="inlineStr">
        <is>
          <t>2026-10-16</t>
        </is>
      </c>
      <c r="G161" t="inlineStr">
        <is>
          <t>Shelf_POSM_GazeMap</t>
        </is>
      </c>
      <c r="H161" t="inlineStr">
        <is>
          <t>Shelf_Other</t>
        </is>
      </c>
      <c r="I161" t="n">
        <v>107429</v>
      </c>
      <c r="J161" t="n">
        <v>107429</v>
      </c>
      <c r="K161" t="n">
        <v>100</v>
      </c>
      <c r="L161" t="n">
        <v>79.8</v>
      </c>
      <c r="M161" t="n">
        <v>557</v>
      </c>
      <c r="N161" t="n">
        <v>3</v>
      </c>
      <c r="O161" t="n">
        <v>21252</v>
      </c>
      <c r="P161" t="n">
        <v>2</v>
      </c>
      <c r="Q161" t="n">
        <v>1</v>
      </c>
      <c r="R161" t="n">
        <v>61</v>
      </c>
      <c r="S161" t="n">
        <v>826</v>
      </c>
      <c r="T161" t="n">
        <v>826</v>
      </c>
      <c r="U161" t="n">
        <v>826</v>
      </c>
      <c r="V161" t="n">
        <v>19417</v>
      </c>
      <c r="W161" t="n">
        <v>18.07</v>
      </c>
      <c r="X161" t="n">
        <v>318</v>
      </c>
      <c r="Y161" t="n">
        <v>243</v>
      </c>
      <c r="Z161">
        <f>IF(L161&gt;=70,"Yes","No")</f>
        <v/>
      </c>
      <c r="AA161">
        <f>IF(ISNUMBER(T161),T161/1000,"")</f>
        <v/>
      </c>
      <c r="AB161">
        <f>IF(ISNUMBER(W161),W161,0)</f>
        <v/>
      </c>
      <c r="AC161">
        <f>IF(ISNUMBER(T161),1,0)</f>
        <v/>
      </c>
    </row>
    <row r="162">
      <c r="A162" t="inlineStr">
        <is>
          <t>SIMULATED_ShelfStudy_POSM_vs_NoPOSM</t>
        </is>
      </c>
      <c r="B162" t="inlineStr">
        <is>
          <t>P30</t>
        </is>
      </c>
      <c r="C162" t="inlineStr">
        <is>
          <t>M</t>
        </is>
      </c>
      <c r="D162" t="inlineStr">
        <is>
          <t>35-44</t>
        </is>
      </c>
      <c r="E162" t="inlineStr">
        <is>
          <t>NoPOSM</t>
        </is>
      </c>
      <c r="F162" t="inlineStr">
        <is>
          <t>2026-10-16</t>
        </is>
      </c>
      <c r="G162" t="inlineStr">
        <is>
          <t>Shelf_NoPOSM_GazeMap</t>
        </is>
      </c>
      <c r="H162" t="inlineStr">
        <is>
          <t>Sensodyne_Products</t>
        </is>
      </c>
      <c r="I162" t="n">
        <v>135825</v>
      </c>
      <c r="J162" t="n">
        <v>135825</v>
      </c>
      <c r="K162" t="n">
        <v>100</v>
      </c>
      <c r="L162" t="n">
        <v>83.7</v>
      </c>
      <c r="M162" t="n">
        <v>2539</v>
      </c>
      <c r="N162" t="n">
        <v>8</v>
      </c>
      <c r="O162" t="n">
        <v>22070</v>
      </c>
      <c r="P162" t="n">
        <v>7</v>
      </c>
      <c r="Q162" t="n">
        <v>6</v>
      </c>
      <c r="R162" t="n">
        <v>70</v>
      </c>
      <c r="S162" t="n">
        <v>2659</v>
      </c>
      <c r="T162" t="n">
        <v>2659</v>
      </c>
      <c r="U162" t="n">
        <v>2659</v>
      </c>
      <c r="V162" t="n">
        <v>19401</v>
      </c>
      <c r="W162" t="n">
        <v>14.28</v>
      </c>
      <c r="X162" t="n">
        <v>277</v>
      </c>
      <c r="Y162" t="n">
        <v>309</v>
      </c>
      <c r="Z162">
        <f>IF(L162&gt;=70,"Yes","No")</f>
        <v/>
      </c>
      <c r="AA162">
        <f>IF(ISNUMBER(T162),T162/1000,"")</f>
        <v/>
      </c>
      <c r="AB162">
        <f>IF(ISNUMBER(W162),W162,0)</f>
        <v/>
      </c>
      <c r="AC162">
        <f>IF(ISNUMBER(T162),1,0)</f>
        <v/>
      </c>
    </row>
    <row r="163">
      <c r="A163" t="inlineStr">
        <is>
          <t>SIMULATED_ShelfStudy_POSM_vs_NoPOSM</t>
        </is>
      </c>
      <c r="B163" t="inlineStr">
        <is>
          <t>P30</t>
        </is>
      </c>
      <c r="C163" t="inlineStr">
        <is>
          <t>M</t>
        </is>
      </c>
      <c r="D163" t="inlineStr">
        <is>
          <t>35-44</t>
        </is>
      </c>
      <c r="E163" t="inlineStr">
        <is>
          <t>NoPOSM</t>
        </is>
      </c>
      <c r="F163" t="inlineStr">
        <is>
          <t>2026-10-16</t>
        </is>
      </c>
      <c r="G163" t="inlineStr">
        <is>
          <t>Shelf_NoPOSM_GazeMap</t>
        </is>
      </c>
      <c r="H163" t="inlineStr">
        <is>
          <t>Competitor_A</t>
        </is>
      </c>
      <c r="I163" t="n">
        <v>135825</v>
      </c>
      <c r="J163" t="n">
        <v>135825</v>
      </c>
      <c r="K163" t="n">
        <v>100</v>
      </c>
      <c r="L163" t="n">
        <v>83.7</v>
      </c>
      <c r="M163" t="n">
        <v>1063</v>
      </c>
      <c r="N163" t="n">
        <v>7</v>
      </c>
      <c r="O163" t="n">
        <v>37358</v>
      </c>
      <c r="P163" t="n">
        <v>7</v>
      </c>
      <c r="Q163" t="n">
        <v>6</v>
      </c>
      <c r="R163" t="n">
        <v>126</v>
      </c>
      <c r="S163" t="n">
        <v>1267</v>
      </c>
      <c r="T163" t="n">
        <v>1267</v>
      </c>
      <c r="U163" t="n">
        <v>1267</v>
      </c>
      <c r="V163" t="n">
        <v>33605</v>
      </c>
      <c r="W163" t="n">
        <v>24.74</v>
      </c>
      <c r="X163" t="n">
        <v>267</v>
      </c>
      <c r="Y163" t="n">
        <v>111</v>
      </c>
      <c r="Z163">
        <f>IF(L163&gt;=70,"Yes","No")</f>
        <v/>
      </c>
      <c r="AA163">
        <f>IF(ISNUMBER(T163),T163/1000,"")</f>
        <v/>
      </c>
      <c r="AB163">
        <f>IF(ISNUMBER(W163),W163,0)</f>
        <v/>
      </c>
      <c r="AC163">
        <f>IF(ISNUMBER(T163),1,0)</f>
        <v/>
      </c>
    </row>
    <row r="164">
      <c r="A164" t="inlineStr">
        <is>
          <t>SIMULATED_ShelfStudy_POSM_vs_NoPOSM</t>
        </is>
      </c>
      <c r="B164" t="inlineStr">
        <is>
          <t>P30</t>
        </is>
      </c>
      <c r="C164" t="inlineStr">
        <is>
          <t>M</t>
        </is>
      </c>
      <c r="D164" t="inlineStr">
        <is>
          <t>35-44</t>
        </is>
      </c>
      <c r="E164" t="inlineStr">
        <is>
          <t>NoPOSM</t>
        </is>
      </c>
      <c r="F164" t="inlineStr">
        <is>
          <t>2026-10-16</t>
        </is>
      </c>
      <c r="G164" t="inlineStr">
        <is>
          <t>Shelf_NoPOSM_GazeMap</t>
        </is>
      </c>
      <c r="H164" t="inlineStr">
        <is>
          <t>Competitor_B</t>
        </is>
      </c>
      <c r="I164" t="n">
        <v>135825</v>
      </c>
      <c r="J164" t="n">
        <v>135825</v>
      </c>
      <c r="K164" t="n">
        <v>100</v>
      </c>
      <c r="L164" t="n">
        <v>83.7</v>
      </c>
      <c r="M164" t="n">
        <v>2468</v>
      </c>
      <c r="N164" t="n">
        <v>7</v>
      </c>
      <c r="O164" t="n">
        <v>21560</v>
      </c>
      <c r="P164" t="n">
        <v>6</v>
      </c>
      <c r="Q164" t="n">
        <v>5</v>
      </c>
      <c r="R164" t="n">
        <v>84</v>
      </c>
      <c r="S164" t="n">
        <v>2549</v>
      </c>
      <c r="T164" t="n">
        <v>2549</v>
      </c>
      <c r="U164" t="n">
        <v>2549</v>
      </c>
      <c r="V164" t="n">
        <v>20235</v>
      </c>
      <c r="W164" t="n">
        <v>14.9</v>
      </c>
      <c r="X164" t="n">
        <v>241</v>
      </c>
      <c r="Y164" t="n">
        <v>214</v>
      </c>
      <c r="Z164">
        <f>IF(L164&gt;=70,"Yes","No")</f>
        <v/>
      </c>
      <c r="AA164">
        <f>IF(ISNUMBER(T164),T164/1000,"")</f>
        <v/>
      </c>
      <c r="AB164">
        <f>IF(ISNUMBER(W164),W164,0)</f>
        <v/>
      </c>
      <c r="AC164">
        <f>IF(ISNUMBER(T164),1,0)</f>
        <v/>
      </c>
    </row>
    <row r="165">
      <c r="A165" t="inlineStr">
        <is>
          <t>SIMULATED_ShelfStudy_POSM_vs_NoPOSM</t>
        </is>
      </c>
      <c r="B165" t="inlineStr">
        <is>
          <t>P30</t>
        </is>
      </c>
      <c r="C165" t="inlineStr">
        <is>
          <t>M</t>
        </is>
      </c>
      <c r="D165" t="inlineStr">
        <is>
          <t>35-44</t>
        </is>
      </c>
      <c r="E165" t="inlineStr">
        <is>
          <t>NoPOSM</t>
        </is>
      </c>
      <c r="F165" t="inlineStr">
        <is>
          <t>2026-10-16</t>
        </is>
      </c>
      <c r="G165" t="inlineStr">
        <is>
          <t>Shelf_NoPOSM_GazeMap</t>
        </is>
      </c>
      <c r="H165" t="inlineStr">
        <is>
          <t>Price_Tags</t>
        </is>
      </c>
      <c r="I165" t="n">
        <v>135825</v>
      </c>
      <c r="J165" t="n">
        <v>135825</v>
      </c>
      <c r="K165" t="n">
        <v>100</v>
      </c>
      <c r="L165" t="n">
        <v>83.7</v>
      </c>
      <c r="M165" t="n">
        <v>6696</v>
      </c>
      <c r="N165" t="n">
        <v>4</v>
      </c>
      <c r="O165" t="n">
        <v>16961</v>
      </c>
      <c r="P165" t="n">
        <v>4</v>
      </c>
      <c r="Q165" t="n">
        <v>3</v>
      </c>
      <c r="R165" t="n">
        <v>51</v>
      </c>
      <c r="S165" t="n">
        <v>6964</v>
      </c>
      <c r="T165" t="n">
        <v>6964</v>
      </c>
      <c r="U165" t="n">
        <v>6964</v>
      </c>
      <c r="V165" t="n">
        <v>15093</v>
      </c>
      <c r="W165" t="n">
        <v>11.11</v>
      </c>
      <c r="X165" t="n">
        <v>296</v>
      </c>
      <c r="Y165" t="n">
        <v>256</v>
      </c>
      <c r="Z165">
        <f>IF(L165&gt;=70,"Yes","No")</f>
        <v/>
      </c>
      <c r="AA165">
        <f>IF(ISNUMBER(T165),T165/1000,"")</f>
        <v/>
      </c>
      <c r="AB165">
        <f>IF(ISNUMBER(W165),W165,0)</f>
        <v/>
      </c>
      <c r="AC165">
        <f>IF(ISNUMBER(T165),1,0)</f>
        <v/>
      </c>
    </row>
    <row r="166">
      <c r="A166" t="inlineStr">
        <is>
          <t>SIMULATED_ShelfStudy_POSM_vs_NoPOSM</t>
        </is>
      </c>
      <c r="B166" t="inlineStr">
        <is>
          <t>P30</t>
        </is>
      </c>
      <c r="C166" t="inlineStr">
        <is>
          <t>M</t>
        </is>
      </c>
      <c r="D166" t="inlineStr">
        <is>
          <t>35-44</t>
        </is>
      </c>
      <c r="E166" t="inlineStr">
        <is>
          <t>NoPOSM</t>
        </is>
      </c>
      <c r="F166" t="inlineStr">
        <is>
          <t>2026-10-16</t>
        </is>
      </c>
      <c r="G166" t="inlineStr">
        <is>
          <t>Shelf_NoPOSM_GazeMap</t>
        </is>
      </c>
      <c r="H166" t="inlineStr">
        <is>
          <t>Shelf_Other</t>
        </is>
      </c>
      <c r="I166" t="n">
        <v>135825</v>
      </c>
      <c r="J166" t="n">
        <v>135825</v>
      </c>
      <c r="K166" t="n">
        <v>100</v>
      </c>
      <c r="L166" t="n">
        <v>83.7</v>
      </c>
      <c r="M166" t="n">
        <v>1781</v>
      </c>
      <c r="N166" t="n">
        <v>5</v>
      </c>
      <c r="O166" t="n">
        <v>43306</v>
      </c>
      <c r="P166" t="n">
        <v>4</v>
      </c>
      <c r="Q166" t="n">
        <v>3</v>
      </c>
      <c r="R166" t="n">
        <v>146</v>
      </c>
      <c r="S166" t="n">
        <v>1940</v>
      </c>
      <c r="T166" t="n">
        <v>1940</v>
      </c>
      <c r="U166" t="n">
        <v>1940</v>
      </c>
      <c r="V166" t="n">
        <v>40700</v>
      </c>
      <c r="W166" t="n">
        <v>29.97</v>
      </c>
      <c r="X166" t="n">
        <v>279</v>
      </c>
      <c r="Y166" t="n">
        <v>258</v>
      </c>
      <c r="Z166">
        <f>IF(L166&gt;=70,"Yes","No")</f>
        <v/>
      </c>
      <c r="AA166">
        <f>IF(ISNUMBER(T166),T166/1000,"")</f>
        <v/>
      </c>
      <c r="AB166">
        <f>IF(ISNUMBER(W166),W166,0)</f>
        <v/>
      </c>
      <c r="AC166">
        <f>IF(ISNUMBER(T166),1,0)</f>
        <v/>
      </c>
    </row>
  </sheetData>
  <autoFilter ref="A1:AC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4" customWidth="1" min="3" max="3"/>
    <col width="22" customWidth="1" min="4" max="4"/>
    <col width="14" customWidth="1" min="5" max="5"/>
    <col width="15" customWidth="1" min="6" max="6"/>
    <col width="22" customWidth="1" min="7" max="7"/>
    <col width="21" customWidth="1" min="8" max="8"/>
    <col width="22" customWidth="1" min="9" max="9"/>
    <col width="21" customWidth="1" min="10" max="10"/>
  </cols>
  <sheetData>
    <row r="1">
      <c r="A1" s="4" t="inlineStr">
        <is>
          <t>Descriptive table by AOI and condition (kept respondents only). SIMULATED data.</t>
        </is>
      </c>
    </row>
    <row r="2">
      <c r="A2" s="5" t="inlineStr">
        <is>
          <t>n = kept respondents with a row for the AOI; Respondent ratio = percent who fixated the AOI; TTFF statistics use fixators only; dwell statistics count never fixated AOIs as 0.</t>
        </is>
      </c>
    </row>
    <row r="3"/>
    <row r="4">
      <c r="A4" s="2" t="inlineStr">
        <is>
          <t>AOI</t>
        </is>
      </c>
      <c r="B4" s="2" t="inlineStr">
        <is>
          <t>Condition</t>
        </is>
      </c>
      <c r="C4" s="2" t="inlineStr">
        <is>
          <t>n</t>
        </is>
      </c>
      <c r="D4" s="2" t="inlineStr">
        <is>
          <t>Respondent ratio (%)</t>
        </is>
      </c>
      <c r="E4" s="2" t="inlineStr">
        <is>
          <t>n with TTFF</t>
        </is>
      </c>
      <c r="F4" s="2" t="inlineStr">
        <is>
          <t>TTFF mean (s)</t>
        </is>
      </c>
      <c r="G4" s="2" t="inlineStr">
        <is>
          <t>TTFF SD (s)</t>
        </is>
      </c>
      <c r="H4" s="2" t="inlineStr">
        <is>
          <t>Dwell time mean (%)</t>
        </is>
      </c>
      <c r="I4" s="2" t="inlineStr">
        <is>
          <t>Dwell time SD (%)</t>
        </is>
      </c>
      <c r="J4" s="2" t="inlineStr">
        <is>
          <t>Fixation count mean</t>
        </is>
      </c>
    </row>
    <row r="5">
      <c r="A5" s="6" t="inlineStr">
        <is>
          <t>Sensodyne_Products</t>
        </is>
      </c>
      <c r="B5" s="6" t="inlineStr">
        <is>
          <t>NoPOSM</t>
        </is>
      </c>
      <c r="C5" s="7">
        <f>COUNTIFS(Data!$E$2:$E$166,$B5,Data!$H$2:$H$166,$A5,Data!$Z$2:$Z$166,"Yes")</f>
        <v/>
      </c>
      <c r="D5" s="7">
        <f>100*AVERAGEIFS(Data!$AC$2:$AC$166,Data!$E$2:$E$166,$B5,Data!$H$2:$H$166,$A5,Data!$Z$2:$Z$166,"Yes")</f>
        <v/>
      </c>
      <c r="E5" s="7">
        <f>COUNTIFS(Data!$E$2:$E$166,$B5,Data!$H$2:$H$166,$A5,Data!$Z$2:$Z$166,"Yes",Data!$AA$2:$AA$166,"&gt;0")</f>
        <v/>
      </c>
      <c r="F5" s="7">
        <f>AVERAGEIFS(Data!$AA$2:$AA$166,Data!$E$2:$E$166,$B5,Data!$H$2:$H$166,$A5,Data!$Z$2:$Z$166,"Yes")</f>
        <v/>
      </c>
      <c r="G5" s="7">
        <f t="array" ref="G5">_xlfn.STDEV.S(IF((Data!$E$2:$E$166=$B5)*(Data!$H$2:$H$166=$A5)*(Data!$Z$2:$Z$166="Yes")*ISNUMBER(Data!$AA$2:$AA$166),Data!$AA$2:$AA$166))</f>
        <v/>
      </c>
      <c r="H5" s="7">
        <f>AVERAGEIFS(Data!$AB$2:$AB$166,Data!$E$2:$E$166,$B5,Data!$H$2:$H$166,$A5,Data!$Z$2:$Z$166,"Yes")</f>
        <v/>
      </c>
      <c r="I5" s="7">
        <f t="array" ref="I5">_xlfn.STDEV.S(IF((Data!$E$2:$E$166=$B5)*(Data!$H$2:$H$166=$A5)*(Data!$Z$2:$Z$166="Yes"),Data!$AB$2:$AB$166))</f>
        <v/>
      </c>
      <c r="J5" s="7">
        <f>AVERAGEIFS(Data!$R$2:$R$166,Data!$E$2:$E$166,$B5,Data!$H$2:$H$166,$A5,Data!$Z$2:$Z$166,"Yes")</f>
        <v/>
      </c>
    </row>
    <row r="6">
      <c r="A6" s="6" t="inlineStr">
        <is>
          <t>Sensodyne_Products</t>
        </is>
      </c>
      <c r="B6" s="6" t="inlineStr">
        <is>
          <t>POSM</t>
        </is>
      </c>
      <c r="C6" s="7">
        <f>COUNTIFS(Data!$E$2:$E$166,$B6,Data!$H$2:$H$166,$A6,Data!$Z$2:$Z$166,"Yes")</f>
        <v/>
      </c>
      <c r="D6" s="7">
        <f>100*AVERAGEIFS(Data!$AC$2:$AC$166,Data!$E$2:$E$166,$B6,Data!$H$2:$H$166,$A6,Data!$Z$2:$Z$166,"Yes")</f>
        <v/>
      </c>
      <c r="E6" s="7">
        <f>COUNTIFS(Data!$E$2:$E$166,$B6,Data!$H$2:$H$166,$A6,Data!$Z$2:$Z$166,"Yes",Data!$AA$2:$AA$166,"&gt;0")</f>
        <v/>
      </c>
      <c r="F6" s="7">
        <f>AVERAGEIFS(Data!$AA$2:$AA$166,Data!$E$2:$E$166,$B6,Data!$H$2:$H$166,$A6,Data!$Z$2:$Z$166,"Yes")</f>
        <v/>
      </c>
      <c r="G6" s="7">
        <f t="array" ref="G6">_xlfn.STDEV.S(IF((Data!$E$2:$E$166=$B6)*(Data!$H$2:$H$166=$A6)*(Data!$Z$2:$Z$166="Yes")*ISNUMBER(Data!$AA$2:$AA$166),Data!$AA$2:$AA$166))</f>
        <v/>
      </c>
      <c r="H6" s="7">
        <f>AVERAGEIFS(Data!$AB$2:$AB$166,Data!$E$2:$E$166,$B6,Data!$H$2:$H$166,$A6,Data!$Z$2:$Z$166,"Yes")</f>
        <v/>
      </c>
      <c r="I6" s="7">
        <f t="array" ref="I6">_xlfn.STDEV.S(IF((Data!$E$2:$E$166=$B6)*(Data!$H$2:$H$166=$A6)*(Data!$Z$2:$Z$166="Yes"),Data!$AB$2:$AB$166))</f>
        <v/>
      </c>
      <c r="J6" s="7">
        <f>AVERAGEIFS(Data!$R$2:$R$166,Data!$E$2:$E$166,$B6,Data!$H$2:$H$166,$A6,Data!$Z$2:$Z$166,"Yes")</f>
        <v/>
      </c>
    </row>
    <row r="7">
      <c r="A7" s="6" t="inlineStr">
        <is>
          <t>Sensodyne_POSM_Wing</t>
        </is>
      </c>
      <c r="B7" s="6" t="inlineStr">
        <is>
          <t>POSM</t>
        </is>
      </c>
      <c r="C7" s="7">
        <f>COUNTIFS(Data!$E$2:$E$166,$B7,Data!$H$2:$H$166,$A7,Data!$Z$2:$Z$166,"Yes")</f>
        <v/>
      </c>
      <c r="D7" s="7">
        <f>100*AVERAGEIFS(Data!$AC$2:$AC$166,Data!$E$2:$E$166,$B7,Data!$H$2:$H$166,$A7,Data!$Z$2:$Z$166,"Yes")</f>
        <v/>
      </c>
      <c r="E7" s="7">
        <f>COUNTIFS(Data!$E$2:$E$166,$B7,Data!$H$2:$H$166,$A7,Data!$Z$2:$Z$166,"Yes",Data!$AA$2:$AA$166,"&gt;0")</f>
        <v/>
      </c>
      <c r="F7" s="7">
        <f>AVERAGEIFS(Data!$AA$2:$AA$166,Data!$E$2:$E$166,$B7,Data!$H$2:$H$166,$A7,Data!$Z$2:$Z$166,"Yes")</f>
        <v/>
      </c>
      <c r="G7" s="7">
        <f t="array" ref="G7">_xlfn.STDEV.S(IF((Data!$E$2:$E$166=$B7)*(Data!$H$2:$H$166=$A7)*(Data!$Z$2:$Z$166="Yes")*ISNUMBER(Data!$AA$2:$AA$166),Data!$AA$2:$AA$166))</f>
        <v/>
      </c>
      <c r="H7" s="7">
        <f>AVERAGEIFS(Data!$AB$2:$AB$166,Data!$E$2:$E$166,$B7,Data!$H$2:$H$166,$A7,Data!$Z$2:$Z$166,"Yes")</f>
        <v/>
      </c>
      <c r="I7" s="7">
        <f t="array" ref="I7">_xlfn.STDEV.S(IF((Data!$E$2:$E$166=$B7)*(Data!$H$2:$H$166=$A7)*(Data!$Z$2:$Z$166="Yes"),Data!$AB$2:$AB$166))</f>
        <v/>
      </c>
      <c r="J7" s="7">
        <f>AVERAGEIFS(Data!$R$2:$R$166,Data!$E$2:$E$166,$B7,Data!$H$2:$H$166,$A7,Data!$Z$2:$Z$166,"Yes")</f>
        <v/>
      </c>
    </row>
    <row r="8">
      <c r="A8" s="6" t="inlineStr">
        <is>
          <t>Competitor_A</t>
        </is>
      </c>
      <c r="B8" s="6" t="inlineStr">
        <is>
          <t>NoPOSM</t>
        </is>
      </c>
      <c r="C8" s="7">
        <f>COUNTIFS(Data!$E$2:$E$166,$B8,Data!$H$2:$H$166,$A8,Data!$Z$2:$Z$166,"Yes")</f>
        <v/>
      </c>
      <c r="D8" s="7">
        <f>100*AVERAGEIFS(Data!$AC$2:$AC$166,Data!$E$2:$E$166,$B8,Data!$H$2:$H$166,$A8,Data!$Z$2:$Z$166,"Yes")</f>
        <v/>
      </c>
      <c r="E8" s="7">
        <f>COUNTIFS(Data!$E$2:$E$166,$B8,Data!$H$2:$H$166,$A8,Data!$Z$2:$Z$166,"Yes",Data!$AA$2:$AA$166,"&gt;0")</f>
        <v/>
      </c>
      <c r="F8" s="7">
        <f>AVERAGEIFS(Data!$AA$2:$AA$166,Data!$E$2:$E$166,$B8,Data!$H$2:$H$166,$A8,Data!$Z$2:$Z$166,"Yes")</f>
        <v/>
      </c>
      <c r="G8" s="7">
        <f t="array" ref="G8">_xlfn.STDEV.S(IF((Data!$E$2:$E$166=$B8)*(Data!$H$2:$H$166=$A8)*(Data!$Z$2:$Z$166="Yes")*ISNUMBER(Data!$AA$2:$AA$166),Data!$AA$2:$AA$166))</f>
        <v/>
      </c>
      <c r="H8" s="7">
        <f>AVERAGEIFS(Data!$AB$2:$AB$166,Data!$E$2:$E$166,$B8,Data!$H$2:$H$166,$A8,Data!$Z$2:$Z$166,"Yes")</f>
        <v/>
      </c>
      <c r="I8" s="7">
        <f t="array" ref="I8">_xlfn.STDEV.S(IF((Data!$E$2:$E$166=$B8)*(Data!$H$2:$H$166=$A8)*(Data!$Z$2:$Z$166="Yes"),Data!$AB$2:$AB$166))</f>
        <v/>
      </c>
      <c r="J8" s="7">
        <f>AVERAGEIFS(Data!$R$2:$R$166,Data!$E$2:$E$166,$B8,Data!$H$2:$H$166,$A8,Data!$Z$2:$Z$166,"Yes")</f>
        <v/>
      </c>
    </row>
    <row r="9">
      <c r="A9" s="6" t="inlineStr">
        <is>
          <t>Competitor_A</t>
        </is>
      </c>
      <c r="B9" s="6" t="inlineStr">
        <is>
          <t>POSM</t>
        </is>
      </c>
      <c r="C9" s="7">
        <f>COUNTIFS(Data!$E$2:$E$166,$B9,Data!$H$2:$H$166,$A9,Data!$Z$2:$Z$166,"Yes")</f>
        <v/>
      </c>
      <c r="D9" s="7">
        <f>100*AVERAGEIFS(Data!$AC$2:$AC$166,Data!$E$2:$E$166,$B9,Data!$H$2:$H$166,$A9,Data!$Z$2:$Z$166,"Yes")</f>
        <v/>
      </c>
      <c r="E9" s="7">
        <f>COUNTIFS(Data!$E$2:$E$166,$B9,Data!$H$2:$H$166,$A9,Data!$Z$2:$Z$166,"Yes",Data!$AA$2:$AA$166,"&gt;0")</f>
        <v/>
      </c>
      <c r="F9" s="7">
        <f>AVERAGEIFS(Data!$AA$2:$AA$166,Data!$E$2:$E$166,$B9,Data!$H$2:$H$166,$A9,Data!$Z$2:$Z$166,"Yes")</f>
        <v/>
      </c>
      <c r="G9" s="7">
        <f t="array" ref="G9">_xlfn.STDEV.S(IF((Data!$E$2:$E$166=$B9)*(Data!$H$2:$H$166=$A9)*(Data!$Z$2:$Z$166="Yes")*ISNUMBER(Data!$AA$2:$AA$166),Data!$AA$2:$AA$166))</f>
        <v/>
      </c>
      <c r="H9" s="7">
        <f>AVERAGEIFS(Data!$AB$2:$AB$166,Data!$E$2:$E$166,$B9,Data!$H$2:$H$166,$A9,Data!$Z$2:$Z$166,"Yes")</f>
        <v/>
      </c>
      <c r="I9" s="7">
        <f t="array" ref="I9">_xlfn.STDEV.S(IF((Data!$E$2:$E$166=$B9)*(Data!$H$2:$H$166=$A9)*(Data!$Z$2:$Z$166="Yes"),Data!$AB$2:$AB$166))</f>
        <v/>
      </c>
      <c r="J9" s="7">
        <f>AVERAGEIFS(Data!$R$2:$R$166,Data!$E$2:$E$166,$B9,Data!$H$2:$H$166,$A9,Data!$Z$2:$Z$166,"Yes")</f>
        <v/>
      </c>
    </row>
    <row r="10">
      <c r="A10" s="6" t="inlineStr">
        <is>
          <t>Competitor_B</t>
        </is>
      </c>
      <c r="B10" s="6" t="inlineStr">
        <is>
          <t>NoPOSM</t>
        </is>
      </c>
      <c r="C10" s="7">
        <f>COUNTIFS(Data!$E$2:$E$166,$B10,Data!$H$2:$H$166,$A10,Data!$Z$2:$Z$166,"Yes")</f>
        <v/>
      </c>
      <c r="D10" s="7">
        <f>100*AVERAGEIFS(Data!$AC$2:$AC$166,Data!$E$2:$E$166,$B10,Data!$H$2:$H$166,$A10,Data!$Z$2:$Z$166,"Yes")</f>
        <v/>
      </c>
      <c r="E10" s="7">
        <f>COUNTIFS(Data!$E$2:$E$166,$B10,Data!$H$2:$H$166,$A10,Data!$Z$2:$Z$166,"Yes",Data!$AA$2:$AA$166,"&gt;0")</f>
        <v/>
      </c>
      <c r="F10" s="7">
        <f>AVERAGEIFS(Data!$AA$2:$AA$166,Data!$E$2:$E$166,$B10,Data!$H$2:$H$166,$A10,Data!$Z$2:$Z$166,"Yes")</f>
        <v/>
      </c>
      <c r="G10" s="7">
        <f t="array" ref="G10">_xlfn.STDEV.S(IF((Data!$E$2:$E$166=$B10)*(Data!$H$2:$H$166=$A10)*(Data!$Z$2:$Z$166="Yes")*ISNUMBER(Data!$AA$2:$AA$166),Data!$AA$2:$AA$166))</f>
        <v/>
      </c>
      <c r="H10" s="7">
        <f>AVERAGEIFS(Data!$AB$2:$AB$166,Data!$E$2:$E$166,$B10,Data!$H$2:$H$166,$A10,Data!$Z$2:$Z$166,"Yes")</f>
        <v/>
      </c>
      <c r="I10" s="7">
        <f t="array" ref="I10">_xlfn.STDEV.S(IF((Data!$E$2:$E$166=$B10)*(Data!$H$2:$H$166=$A10)*(Data!$Z$2:$Z$166="Yes"),Data!$AB$2:$AB$166))</f>
        <v/>
      </c>
      <c r="J10" s="7">
        <f>AVERAGEIFS(Data!$R$2:$R$166,Data!$E$2:$E$166,$B10,Data!$H$2:$H$166,$A10,Data!$Z$2:$Z$166,"Yes")</f>
        <v/>
      </c>
    </row>
    <row r="11">
      <c r="A11" s="6" t="inlineStr">
        <is>
          <t>Competitor_B</t>
        </is>
      </c>
      <c r="B11" s="6" t="inlineStr">
        <is>
          <t>POSM</t>
        </is>
      </c>
      <c r="C11" s="7">
        <f>COUNTIFS(Data!$E$2:$E$166,$B11,Data!$H$2:$H$166,$A11,Data!$Z$2:$Z$166,"Yes")</f>
        <v/>
      </c>
      <c r="D11" s="7">
        <f>100*AVERAGEIFS(Data!$AC$2:$AC$166,Data!$E$2:$E$166,$B11,Data!$H$2:$H$166,$A11,Data!$Z$2:$Z$166,"Yes")</f>
        <v/>
      </c>
      <c r="E11" s="7">
        <f>COUNTIFS(Data!$E$2:$E$166,$B11,Data!$H$2:$H$166,$A11,Data!$Z$2:$Z$166,"Yes",Data!$AA$2:$AA$166,"&gt;0")</f>
        <v/>
      </c>
      <c r="F11" s="7">
        <f>AVERAGEIFS(Data!$AA$2:$AA$166,Data!$E$2:$E$166,$B11,Data!$H$2:$H$166,$A11,Data!$Z$2:$Z$166,"Yes")</f>
        <v/>
      </c>
      <c r="G11" s="7">
        <f t="array" ref="G11">_xlfn.STDEV.S(IF((Data!$E$2:$E$166=$B11)*(Data!$H$2:$H$166=$A11)*(Data!$Z$2:$Z$166="Yes")*ISNUMBER(Data!$AA$2:$AA$166),Data!$AA$2:$AA$166))</f>
        <v/>
      </c>
      <c r="H11" s="7">
        <f>AVERAGEIFS(Data!$AB$2:$AB$166,Data!$E$2:$E$166,$B11,Data!$H$2:$H$166,$A11,Data!$Z$2:$Z$166,"Yes")</f>
        <v/>
      </c>
      <c r="I11" s="7">
        <f t="array" ref="I11">_xlfn.STDEV.S(IF((Data!$E$2:$E$166=$B11)*(Data!$H$2:$H$166=$A11)*(Data!$Z$2:$Z$166="Yes"),Data!$AB$2:$AB$166))</f>
        <v/>
      </c>
      <c r="J11" s="7">
        <f>AVERAGEIFS(Data!$R$2:$R$166,Data!$E$2:$E$166,$B11,Data!$H$2:$H$166,$A11,Data!$Z$2:$Z$166,"Yes")</f>
        <v/>
      </c>
    </row>
    <row r="12">
      <c r="A12" s="6" t="inlineStr">
        <is>
          <t>Price_Tags</t>
        </is>
      </c>
      <c r="B12" s="6" t="inlineStr">
        <is>
          <t>NoPOSM</t>
        </is>
      </c>
      <c r="C12" s="7">
        <f>COUNTIFS(Data!$E$2:$E$166,$B12,Data!$H$2:$H$166,$A12,Data!$Z$2:$Z$166,"Yes")</f>
        <v/>
      </c>
      <c r="D12" s="7">
        <f>100*AVERAGEIFS(Data!$AC$2:$AC$166,Data!$E$2:$E$166,$B12,Data!$H$2:$H$166,$A12,Data!$Z$2:$Z$166,"Yes")</f>
        <v/>
      </c>
      <c r="E12" s="7">
        <f>COUNTIFS(Data!$E$2:$E$166,$B12,Data!$H$2:$H$166,$A12,Data!$Z$2:$Z$166,"Yes",Data!$AA$2:$AA$166,"&gt;0")</f>
        <v/>
      </c>
      <c r="F12" s="7">
        <f>AVERAGEIFS(Data!$AA$2:$AA$166,Data!$E$2:$E$166,$B12,Data!$H$2:$H$166,$A12,Data!$Z$2:$Z$166,"Yes")</f>
        <v/>
      </c>
      <c r="G12" s="7">
        <f t="array" ref="G12">_xlfn.STDEV.S(IF((Data!$E$2:$E$166=$B12)*(Data!$H$2:$H$166=$A12)*(Data!$Z$2:$Z$166="Yes")*ISNUMBER(Data!$AA$2:$AA$166),Data!$AA$2:$AA$166))</f>
        <v/>
      </c>
      <c r="H12" s="7">
        <f>AVERAGEIFS(Data!$AB$2:$AB$166,Data!$E$2:$E$166,$B12,Data!$H$2:$H$166,$A12,Data!$Z$2:$Z$166,"Yes")</f>
        <v/>
      </c>
      <c r="I12" s="7">
        <f t="array" ref="I12">_xlfn.STDEV.S(IF((Data!$E$2:$E$166=$B12)*(Data!$H$2:$H$166=$A12)*(Data!$Z$2:$Z$166="Yes"),Data!$AB$2:$AB$166))</f>
        <v/>
      </c>
      <c r="J12" s="7">
        <f>AVERAGEIFS(Data!$R$2:$R$166,Data!$E$2:$E$166,$B12,Data!$H$2:$H$166,$A12,Data!$Z$2:$Z$166,"Yes")</f>
        <v/>
      </c>
    </row>
    <row r="13">
      <c r="A13" s="6" t="inlineStr">
        <is>
          <t>Price_Tags</t>
        </is>
      </c>
      <c r="B13" s="6" t="inlineStr">
        <is>
          <t>POSM</t>
        </is>
      </c>
      <c r="C13" s="7">
        <f>COUNTIFS(Data!$E$2:$E$166,$B13,Data!$H$2:$H$166,$A13,Data!$Z$2:$Z$166,"Yes")</f>
        <v/>
      </c>
      <c r="D13" s="7">
        <f>100*AVERAGEIFS(Data!$AC$2:$AC$166,Data!$E$2:$E$166,$B13,Data!$H$2:$H$166,$A13,Data!$Z$2:$Z$166,"Yes")</f>
        <v/>
      </c>
      <c r="E13" s="7">
        <f>COUNTIFS(Data!$E$2:$E$166,$B13,Data!$H$2:$H$166,$A13,Data!$Z$2:$Z$166,"Yes",Data!$AA$2:$AA$166,"&gt;0")</f>
        <v/>
      </c>
      <c r="F13" s="7">
        <f>AVERAGEIFS(Data!$AA$2:$AA$166,Data!$E$2:$E$166,$B13,Data!$H$2:$H$166,$A13,Data!$Z$2:$Z$166,"Yes")</f>
        <v/>
      </c>
      <c r="G13" s="7">
        <f t="array" ref="G13">_xlfn.STDEV.S(IF((Data!$E$2:$E$166=$B13)*(Data!$H$2:$H$166=$A13)*(Data!$Z$2:$Z$166="Yes")*ISNUMBER(Data!$AA$2:$AA$166),Data!$AA$2:$AA$166))</f>
        <v/>
      </c>
      <c r="H13" s="7">
        <f>AVERAGEIFS(Data!$AB$2:$AB$166,Data!$E$2:$E$166,$B13,Data!$H$2:$H$166,$A13,Data!$Z$2:$Z$166,"Yes")</f>
        <v/>
      </c>
      <c r="I13" s="7">
        <f t="array" ref="I13">_xlfn.STDEV.S(IF((Data!$E$2:$E$166=$B13)*(Data!$H$2:$H$166=$A13)*(Data!$Z$2:$Z$166="Yes"),Data!$AB$2:$AB$166))</f>
        <v/>
      </c>
      <c r="J13" s="7">
        <f>AVERAGEIFS(Data!$R$2:$R$166,Data!$E$2:$E$166,$B13,Data!$H$2:$H$166,$A13,Data!$Z$2:$Z$166,"Yes")</f>
        <v/>
      </c>
    </row>
    <row r="14">
      <c r="A14" s="6" t="inlineStr">
        <is>
          <t>Shelf_Other</t>
        </is>
      </c>
      <c r="B14" s="6" t="inlineStr">
        <is>
          <t>NoPOSM</t>
        </is>
      </c>
      <c r="C14" s="7">
        <f>COUNTIFS(Data!$E$2:$E$166,$B14,Data!$H$2:$H$166,$A14,Data!$Z$2:$Z$166,"Yes")</f>
        <v/>
      </c>
      <c r="D14" s="7">
        <f>100*AVERAGEIFS(Data!$AC$2:$AC$166,Data!$E$2:$E$166,$B14,Data!$H$2:$H$166,$A14,Data!$Z$2:$Z$166,"Yes")</f>
        <v/>
      </c>
      <c r="E14" s="7">
        <f>COUNTIFS(Data!$E$2:$E$166,$B14,Data!$H$2:$H$166,$A14,Data!$Z$2:$Z$166,"Yes",Data!$AA$2:$AA$166,"&gt;0")</f>
        <v/>
      </c>
      <c r="F14" s="7">
        <f>AVERAGEIFS(Data!$AA$2:$AA$166,Data!$E$2:$E$166,$B14,Data!$H$2:$H$166,$A14,Data!$Z$2:$Z$166,"Yes")</f>
        <v/>
      </c>
      <c r="G14" s="7">
        <f t="array" ref="G14">_xlfn.STDEV.S(IF((Data!$E$2:$E$166=$B14)*(Data!$H$2:$H$166=$A14)*(Data!$Z$2:$Z$166="Yes")*ISNUMBER(Data!$AA$2:$AA$166),Data!$AA$2:$AA$166))</f>
        <v/>
      </c>
      <c r="H14" s="7">
        <f>AVERAGEIFS(Data!$AB$2:$AB$166,Data!$E$2:$E$166,$B14,Data!$H$2:$H$166,$A14,Data!$Z$2:$Z$166,"Yes")</f>
        <v/>
      </c>
      <c r="I14" s="7">
        <f t="array" ref="I14">_xlfn.STDEV.S(IF((Data!$E$2:$E$166=$B14)*(Data!$H$2:$H$166=$A14)*(Data!$Z$2:$Z$166="Yes"),Data!$AB$2:$AB$166))</f>
        <v/>
      </c>
      <c r="J14" s="7">
        <f>AVERAGEIFS(Data!$R$2:$R$166,Data!$E$2:$E$166,$B14,Data!$H$2:$H$166,$A14,Data!$Z$2:$Z$166,"Yes")</f>
        <v/>
      </c>
    </row>
    <row r="15">
      <c r="A15" s="6" t="inlineStr">
        <is>
          <t>Shelf_Other</t>
        </is>
      </c>
      <c r="B15" s="6" t="inlineStr">
        <is>
          <t>POSM</t>
        </is>
      </c>
      <c r="C15" s="7">
        <f>COUNTIFS(Data!$E$2:$E$166,$B15,Data!$H$2:$H$166,$A15,Data!$Z$2:$Z$166,"Yes")</f>
        <v/>
      </c>
      <c r="D15" s="7">
        <f>100*AVERAGEIFS(Data!$AC$2:$AC$166,Data!$E$2:$E$166,$B15,Data!$H$2:$H$166,$A15,Data!$Z$2:$Z$166,"Yes")</f>
        <v/>
      </c>
      <c r="E15" s="7">
        <f>COUNTIFS(Data!$E$2:$E$166,$B15,Data!$H$2:$H$166,$A15,Data!$Z$2:$Z$166,"Yes",Data!$AA$2:$AA$166,"&gt;0")</f>
        <v/>
      </c>
      <c r="F15" s="7">
        <f>AVERAGEIFS(Data!$AA$2:$AA$166,Data!$E$2:$E$166,$B15,Data!$H$2:$H$166,$A15,Data!$Z$2:$Z$166,"Yes")</f>
        <v/>
      </c>
      <c r="G15" s="7">
        <f t="array" ref="G15">_xlfn.STDEV.S(IF((Data!$E$2:$E$166=$B15)*(Data!$H$2:$H$166=$A15)*(Data!$Z$2:$Z$166="Yes")*ISNUMBER(Data!$AA$2:$AA$166),Data!$AA$2:$AA$166))</f>
        <v/>
      </c>
      <c r="H15" s="7">
        <f>AVERAGEIFS(Data!$AB$2:$AB$166,Data!$E$2:$E$166,$B15,Data!$H$2:$H$166,$A15,Data!$Z$2:$Z$166,"Yes")</f>
        <v/>
      </c>
      <c r="I15" s="7">
        <f t="array" ref="I15">_xlfn.STDEV.S(IF((Data!$E$2:$E$166=$B15)*(Data!$H$2:$H$166=$A15)*(Data!$Z$2:$Z$166="Yes"),Data!$AB$2:$AB$166))</f>
        <v/>
      </c>
      <c r="J15" s="7">
        <f>AVERAGEIFS(Data!$R$2:$R$166,Data!$E$2:$E$166,$B15,Data!$H$2:$H$166,$A15,Data!$Z$2:$Z$166,"Yes")</f>
        <v/>
      </c>
    </row>
    <row r="16"/>
    <row r="17">
      <c r="A17" s="5" t="inlineStr">
        <is>
          <t>Array formulas (columns G and I): Excel 365 evaluates them with Enter; Excel 2019 or older needs Ctrl+Shift+Enter after editing.</t>
        </is>
      </c>
    </row>
    <row r="19">
      <c r="A19" s="8" t="inlineStr">
        <is>
          <t>Chart table: mean Dwell time (%) by AOI and condition</t>
        </is>
      </c>
    </row>
    <row r="20">
      <c r="A20" t="inlineStr">
        <is>
          <t>AOI</t>
        </is>
      </c>
      <c r="B20" t="inlineStr">
        <is>
          <t>NoPOSM</t>
        </is>
      </c>
      <c r="C20" t="inlineStr">
        <is>
          <t>POSM</t>
        </is>
      </c>
    </row>
    <row r="21">
      <c r="A21" t="inlineStr">
        <is>
          <t>Sensodyne_Products</t>
        </is>
      </c>
      <c r="B21" s="9">
        <f>H5</f>
        <v/>
      </c>
      <c r="C21" s="9">
        <f>H6</f>
        <v/>
      </c>
    </row>
    <row r="22">
      <c r="A22" t="inlineStr">
        <is>
          <t>Sensodyne_POSM_Wing</t>
        </is>
      </c>
      <c r="B22" s="9" t="n">
        <v>0</v>
      </c>
      <c r="C22" s="9">
        <f>H7</f>
        <v/>
      </c>
    </row>
    <row r="23">
      <c r="A23" t="inlineStr">
        <is>
          <t>Competitor_A</t>
        </is>
      </c>
      <c r="B23" s="9">
        <f>H8</f>
        <v/>
      </c>
      <c r="C23" s="9">
        <f>H9</f>
        <v/>
      </c>
    </row>
    <row r="24">
      <c r="A24" t="inlineStr">
        <is>
          <t>Competitor_B</t>
        </is>
      </c>
      <c r="B24" s="9">
        <f>H10</f>
        <v/>
      </c>
      <c r="C24" s="9">
        <f>H11</f>
        <v/>
      </c>
    </row>
    <row r="25">
      <c r="A25" t="inlineStr">
        <is>
          <t>Price_Tags</t>
        </is>
      </c>
      <c r="B25" s="9">
        <f>H12</f>
        <v/>
      </c>
      <c r="C25" s="9">
        <f>H13</f>
        <v/>
      </c>
    </row>
    <row r="26">
      <c r="A26" t="inlineStr">
        <is>
          <t>Shelf_Other</t>
        </is>
      </c>
      <c r="B26" s="9">
        <f>H14</f>
        <v/>
      </c>
      <c r="C26" s="9">
        <f>H15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4" customWidth="1" min="10" max="10"/>
    <col width="12" customWidth="1" min="11" max="11"/>
    <col width="60" customWidth="1" min="12" max="12"/>
    <col width="52" customWidth="1" min="13" max="13"/>
  </cols>
  <sheetData>
    <row r="1">
      <c r="A1" s="4" t="inlineStr">
        <is>
          <t>Sensodyne_Products rows, kept respondents, sorted by condition (POSM first). SIMULATED data.</t>
        </is>
      </c>
    </row>
    <row r="2">
      <c r="A2" s="5" t="inlineStr">
        <is>
          <t>In Excel: Data sheet &gt; filter AOI Name = Sensodyne_Products and Keep = Yes &gt; copy the visible rows here &gt; sort by Group. T.TEST needs two blocks of numbers, so each condition must be contiguous.</t>
        </is>
      </c>
    </row>
    <row r="4">
      <c r="A4" s="2" t="inlineStr">
        <is>
          <t>Respondent Name</t>
        </is>
      </c>
      <c r="B4" s="2" t="inlineStr">
        <is>
          <t>Group</t>
        </is>
      </c>
      <c r="C4" s="2" t="inlineStr">
        <is>
          <t>Valid data</t>
        </is>
      </c>
      <c r="D4" s="2" t="inlineStr">
        <is>
          <t>TTFF parent (ms)</t>
        </is>
      </c>
      <c r="E4" s="2" t="inlineStr">
        <is>
          <t>TTFF_s</t>
        </is>
      </c>
      <c r="F4" s="2" t="inlineStr">
        <is>
          <t>Dwell time (%)</t>
        </is>
      </c>
      <c r="G4" s="2" t="inlineStr">
        <is>
          <t>Dwell_pct_clean</t>
        </is>
      </c>
      <c r="H4" s="2" t="inlineStr">
        <is>
          <t>Fixation count</t>
        </is>
      </c>
      <c r="J4" s="10" t="inlineStr">
        <is>
          <t>Statistic</t>
        </is>
      </c>
      <c r="K4" s="10" t="inlineStr">
        <is>
          <t>Value</t>
        </is>
      </c>
      <c r="L4" s="10" t="inlineStr">
        <is>
          <t>Formula shown</t>
        </is>
      </c>
      <c r="M4" s="10" t="inlineStr">
        <is>
          <t>Note</t>
        </is>
      </c>
    </row>
    <row r="5">
      <c r="A5" s="6" t="inlineStr">
        <is>
          <t>P01</t>
        </is>
      </c>
      <c r="B5" s="6" t="inlineStr">
        <is>
          <t>POSM</t>
        </is>
      </c>
      <c r="C5" s="6" t="n">
        <v>93.8</v>
      </c>
      <c r="D5" s="6" t="n">
        <v>2356</v>
      </c>
      <c r="E5" s="6">
        <f>IF(ISNUMBER(D5),D5/1000,"")</f>
        <v/>
      </c>
      <c r="F5" s="6" t="n">
        <v>18.07</v>
      </c>
      <c r="G5" s="6">
        <f>IF(ISNUMBER(F5),F5,0)</f>
        <v/>
      </c>
      <c r="H5" s="6" t="n">
        <v>84</v>
      </c>
      <c r="J5" s="11" t="inlineStr">
        <is>
          <t>Welch t test and Cohen's d: TTFF_s to Sensodyne_Products</t>
        </is>
      </c>
    </row>
    <row r="6">
      <c r="A6" s="6" t="inlineStr">
        <is>
          <t>P03</t>
        </is>
      </c>
      <c r="B6" s="6" t="inlineStr">
        <is>
          <t>POSM</t>
        </is>
      </c>
      <c r="C6" s="6" t="n">
        <v>84.09999999999999</v>
      </c>
      <c r="D6" s="6" t="n">
        <v>2532</v>
      </c>
      <c r="E6" s="6">
        <f>IF(ISNUMBER(D6),D6/1000,"")</f>
        <v/>
      </c>
      <c r="F6" s="6" t="n">
        <v>14.41</v>
      </c>
      <c r="G6" s="6">
        <f>IF(ISNUMBER(F6),F6,0)</f>
        <v/>
      </c>
      <c r="H6" s="6" t="n">
        <v>64</v>
      </c>
      <c r="J6" t="inlineStr">
        <is>
          <t>POSM mean (s)</t>
        </is>
      </c>
      <c r="K6" s="12">
        <f>AVERAGE(E5:E18)</f>
        <v/>
      </c>
      <c r="L6" s="13" t="inlineStr">
        <is>
          <t>AVERAGE(E5:E18)</t>
        </is>
      </c>
      <c r="M6" s="5" t="inlineStr">
        <is>
          <t>AVERAGE of the POSM block</t>
        </is>
      </c>
    </row>
    <row r="7">
      <c r="A7" s="6" t="inlineStr">
        <is>
          <t>P05</t>
        </is>
      </c>
      <c r="B7" s="6" t="inlineStr">
        <is>
          <t>POSM</t>
        </is>
      </c>
      <c r="C7" s="6" t="n">
        <v>81.3</v>
      </c>
      <c r="D7" s="6" t="n">
        <v>2784</v>
      </c>
      <c r="E7" s="6">
        <f>IF(ISNUMBER(D7),D7/1000,"")</f>
        <v/>
      </c>
      <c r="F7" s="6" t="n">
        <v>17.57</v>
      </c>
      <c r="G7" s="6">
        <f>IF(ISNUMBER(F7),F7,0)</f>
        <v/>
      </c>
      <c r="H7" s="6" t="n">
        <v>134</v>
      </c>
      <c r="J7" t="inlineStr">
        <is>
          <t>POSM SD (s)</t>
        </is>
      </c>
      <c r="K7" s="12">
        <f>_xlfn.STDEV.S(E5:E18)</f>
        <v/>
      </c>
      <c r="L7" s="13" t="inlineStr">
        <is>
          <t>_xlfn.STDEV.S(E5:E18)</t>
        </is>
      </c>
      <c r="M7" s="5" t="inlineStr">
        <is>
          <t>STDEV.S = sample standard deviation</t>
        </is>
      </c>
    </row>
    <row r="8">
      <c r="A8" s="6" t="inlineStr">
        <is>
          <t>P07</t>
        </is>
      </c>
      <c r="B8" s="6" t="inlineStr">
        <is>
          <t>POSM</t>
        </is>
      </c>
      <c r="C8" s="6" t="n">
        <v>86.8</v>
      </c>
      <c r="D8" s="6" t="n">
        <v>1759</v>
      </c>
      <c r="E8" s="6">
        <f>IF(ISNUMBER(D8),D8/1000,"")</f>
        <v/>
      </c>
      <c r="F8" s="6" t="n">
        <v>8.91</v>
      </c>
      <c r="G8" s="6">
        <f>IF(ISNUMBER(F8),F8,0)</f>
        <v/>
      </c>
      <c r="H8" s="6" t="n">
        <v>61</v>
      </c>
      <c r="J8" t="inlineStr">
        <is>
          <t>POSM n</t>
        </is>
      </c>
      <c r="K8" s="14">
        <f>COUNT(E5:E18)</f>
        <v/>
      </c>
      <c r="L8" s="13" t="inlineStr">
        <is>
          <t>COUNT(E5:E18)</t>
        </is>
      </c>
      <c r="M8" s="5" t="inlineStr">
        <is>
          <t>COUNT ignores blanks and text, so never fixated rows drop out</t>
        </is>
      </c>
    </row>
    <row r="9">
      <c r="A9" s="6" t="inlineStr">
        <is>
          <t>P09</t>
        </is>
      </c>
      <c r="B9" s="6" t="inlineStr">
        <is>
          <t>POSM</t>
        </is>
      </c>
      <c r="C9" s="6" t="n">
        <v>87</v>
      </c>
      <c r="D9" s="6" t="n">
        <v>1907</v>
      </c>
      <c r="E9" s="6">
        <f>IF(ISNUMBER(D9),D9/1000,"")</f>
        <v/>
      </c>
      <c r="F9" s="6" t="n">
        <v>15.4</v>
      </c>
      <c r="G9" s="6">
        <f>IF(ISNUMBER(F9),F9,0)</f>
        <v/>
      </c>
      <c r="H9" s="6" t="n">
        <v>70</v>
      </c>
      <c r="J9" t="inlineStr">
        <is>
          <t>NoPOSM mean (s)</t>
        </is>
      </c>
      <c r="K9" s="12">
        <f>AVERAGE(E19:E33)</f>
        <v/>
      </c>
      <c r="L9" s="13" t="inlineStr">
        <is>
          <t>AVERAGE(E19:E33)</t>
        </is>
      </c>
    </row>
    <row r="10">
      <c r="A10" s="6" t="inlineStr">
        <is>
          <t>P11</t>
        </is>
      </c>
      <c r="B10" s="6" t="inlineStr">
        <is>
          <t>POSM</t>
        </is>
      </c>
      <c r="C10" s="6" t="n">
        <v>80.5</v>
      </c>
      <c r="D10" s="6" t="n">
        <v>1622</v>
      </c>
      <c r="E10" s="6">
        <f>IF(ISNUMBER(D10),D10/1000,"")</f>
        <v/>
      </c>
      <c r="F10" s="6" t="n">
        <v>9.800000000000001</v>
      </c>
      <c r="G10" s="6">
        <f>IF(ISNUMBER(F10),F10,0)</f>
        <v/>
      </c>
      <c r="H10" s="6" t="n">
        <v>72</v>
      </c>
      <c r="J10" t="inlineStr">
        <is>
          <t>NoPOSM SD (s)</t>
        </is>
      </c>
      <c r="K10" s="12">
        <f>_xlfn.STDEV.S(E19:E33)</f>
        <v/>
      </c>
      <c r="L10" s="13" t="inlineStr">
        <is>
          <t>_xlfn.STDEV.S(E19:E33)</t>
        </is>
      </c>
    </row>
    <row r="11">
      <c r="A11" s="6" t="inlineStr">
        <is>
          <t>P13</t>
        </is>
      </c>
      <c r="B11" s="6" t="inlineStr">
        <is>
          <t>POSM</t>
        </is>
      </c>
      <c r="C11" s="6" t="n">
        <v>89.90000000000001</v>
      </c>
      <c r="D11" s="6" t="n">
        <v>1235</v>
      </c>
      <c r="E11" s="6">
        <f>IF(ISNUMBER(D11),D11/1000,"")</f>
        <v/>
      </c>
      <c r="F11" s="6" t="n">
        <v>27.51</v>
      </c>
      <c r="G11" s="6">
        <f>IF(ISNUMBER(F11),F11,0)</f>
        <v/>
      </c>
      <c r="H11" s="6" t="n">
        <v>125</v>
      </c>
      <c r="J11" t="inlineStr">
        <is>
          <t>NoPOSM n</t>
        </is>
      </c>
      <c r="K11" s="14">
        <f>COUNT(E19:E33)</f>
        <v/>
      </c>
      <c r="L11" s="13" t="inlineStr">
        <is>
          <t>COUNT(E19:E33)</t>
        </is>
      </c>
    </row>
    <row r="12">
      <c r="A12" s="6" t="inlineStr">
        <is>
          <t>P15</t>
        </is>
      </c>
      <c r="B12" s="6" t="inlineStr">
        <is>
          <t>POSM</t>
        </is>
      </c>
      <c r="C12" s="6" t="n">
        <v>87.59999999999999</v>
      </c>
      <c r="D12" s="6" t="n">
        <v>3064</v>
      </c>
      <c r="E12" s="6">
        <f>IF(ISNUMBER(D12),D12/1000,"")</f>
        <v/>
      </c>
      <c r="F12" s="6" t="n">
        <v>25.24</v>
      </c>
      <c r="G12" s="6">
        <f>IF(ISNUMBER(F12),F12,0)</f>
        <v/>
      </c>
      <c r="H12" s="6" t="n">
        <v>124</v>
      </c>
      <c r="J12" t="inlineStr">
        <is>
          <t>Difference POSM minus NoPOSM (s)</t>
        </is>
      </c>
      <c r="K12" s="12">
        <f>K6-K9</f>
        <v/>
      </c>
      <c r="L12" s="13" t="inlineStr">
        <is>
          <t>K6-K9</t>
        </is>
      </c>
    </row>
    <row r="13">
      <c r="A13" s="6" t="inlineStr">
        <is>
          <t>P19</t>
        </is>
      </c>
      <c r="B13" s="6" t="inlineStr">
        <is>
          <t>POSM</t>
        </is>
      </c>
      <c r="C13" s="6" t="n">
        <v>86.09999999999999</v>
      </c>
      <c r="D13" s="6" t="n">
        <v>2773</v>
      </c>
      <c r="E13" s="6">
        <f>IF(ISNUMBER(D13),D13/1000,"")</f>
        <v/>
      </c>
      <c r="F13" s="6" t="n">
        <v>19.73</v>
      </c>
      <c r="G13" s="6">
        <f>IF(ISNUMBER(F13),F13,0)</f>
        <v/>
      </c>
      <c r="H13" s="6" t="n">
        <v>106</v>
      </c>
      <c r="J13" t="inlineStr">
        <is>
          <t>Welch t</t>
        </is>
      </c>
      <c r="K13" s="12">
        <f>(K6-K9)/SQRT(K7^2/K8+K10^2/K11)</f>
        <v/>
      </c>
      <c r="L13" s="13" t="inlineStr">
        <is>
          <t>(K6-K9)/SQRT(K7^2/K8+K10^2/K11)</t>
        </is>
      </c>
      <c r="M13" s="5" t="inlineStr">
        <is>
          <t>t = (M1 - M2) / sqrt(s1^2/n1 + s2^2/n2)</t>
        </is>
      </c>
    </row>
    <row r="14">
      <c r="A14" s="6" t="inlineStr">
        <is>
          <t>P21</t>
        </is>
      </c>
      <c r="B14" s="6" t="inlineStr">
        <is>
          <t>POSM</t>
        </is>
      </c>
      <c r="C14" s="6" t="n">
        <v>93.8</v>
      </c>
      <c r="D14" s="6" t="n">
        <v>4292</v>
      </c>
      <c r="E14" s="6">
        <f>IF(ISNUMBER(D14),D14/1000,"")</f>
        <v/>
      </c>
      <c r="F14" s="6" t="n">
        <v>14.2</v>
      </c>
      <c r="G14" s="6">
        <f>IF(ISNUMBER(F14),F14,0)</f>
        <v/>
      </c>
      <c r="H14" s="6" t="n">
        <v>46</v>
      </c>
      <c r="J14" t="inlineStr">
        <is>
          <t>Welch df</t>
        </is>
      </c>
      <c r="K14" s="15">
        <f>(K7^2/K8+K10^2/K11)^2/((K7^2/K8)^2/(K8-1)+(K10^2/K11)^2/(K11-1))</f>
        <v/>
      </c>
      <c r="L14" s="13" t="inlineStr">
        <is>
          <t>(K7^2/K8+K10^2/K11)^2/((K7^2/K8)^2/(K8-1)+(K10^2/K11)^2/(K11-1))</t>
        </is>
      </c>
      <c r="M14" s="5" t="inlineStr">
        <is>
          <t>Welch Satterthwaite degrees of freedom</t>
        </is>
      </c>
    </row>
    <row r="15">
      <c r="A15" s="6" t="inlineStr">
        <is>
          <t>P23</t>
        </is>
      </c>
      <c r="B15" s="6" t="inlineStr">
        <is>
          <t>POSM</t>
        </is>
      </c>
      <c r="C15" s="6" t="n">
        <v>90.2</v>
      </c>
      <c r="D15" s="6" t="n">
        <v>1356</v>
      </c>
      <c r="E15" s="6">
        <f>IF(ISNUMBER(D15),D15/1000,"")</f>
        <v/>
      </c>
      <c r="F15" s="6" t="n">
        <v>27.18</v>
      </c>
      <c r="G15" s="6">
        <f>IF(ISNUMBER(F15),F15,0)</f>
        <v/>
      </c>
      <c r="H15" s="6" t="n">
        <v>103</v>
      </c>
      <c r="J15" t="inlineStr">
        <is>
          <t>p, two tailed (T.TEST type 3)</t>
        </is>
      </c>
      <c r="K15" s="12">
        <f>_xlfn.T.TEST(E5:E18,E19:E33,2,3)</f>
        <v/>
      </c>
      <c r="L15" s="13" t="inlineStr">
        <is>
          <t>_xlfn.T.TEST(E5:E18,E19:E33,2,3)</t>
        </is>
      </c>
      <c r="M15" s="5" t="inlineStr">
        <is>
          <t>tails = 2, type = 3 means unequal variances (Welch)</t>
        </is>
      </c>
    </row>
    <row r="16">
      <c r="A16" s="6" t="inlineStr">
        <is>
          <t>P25</t>
        </is>
      </c>
      <c r="B16" s="6" t="inlineStr">
        <is>
          <t>POSM</t>
        </is>
      </c>
      <c r="C16" s="6" t="n">
        <v>88.3</v>
      </c>
      <c r="D16" s="6" t="n">
        <v>2302</v>
      </c>
      <c r="E16" s="6">
        <f>IF(ISNUMBER(D16),D16/1000,"")</f>
        <v/>
      </c>
      <c r="F16" s="6" t="n">
        <v>17.61</v>
      </c>
      <c r="G16" s="6">
        <f>IF(ISNUMBER(F16),F16,0)</f>
        <v/>
      </c>
      <c r="H16" s="6" t="n">
        <v>48</v>
      </c>
      <c r="J16" t="inlineStr">
        <is>
          <t>p from the hand computed t</t>
        </is>
      </c>
      <c r="K16" s="12">
        <f>_xlfn.T.DIST.2T(ABS(K13),K14)</f>
        <v/>
      </c>
      <c r="L16" s="13" t="inlineStr">
        <is>
          <t>_xlfn.T.DIST.2T(ABS(K13),K14)</t>
        </is>
      </c>
      <c r="M16" s="5" t="inlineStr">
        <is>
          <t>should match the T.TEST cell</t>
        </is>
      </c>
    </row>
    <row r="17">
      <c r="A17" s="6" t="inlineStr">
        <is>
          <t>P27</t>
        </is>
      </c>
      <c r="B17" s="6" t="inlineStr">
        <is>
          <t>POSM</t>
        </is>
      </c>
      <c r="C17" s="6" t="n">
        <v>85.09999999999999</v>
      </c>
      <c r="D17" s="6" t="n">
        <v>2487</v>
      </c>
      <c r="E17" s="6">
        <f>IF(ISNUMBER(D17),D17/1000,"")</f>
        <v/>
      </c>
      <c r="F17" s="6" t="n">
        <v>17.16</v>
      </c>
      <c r="G17" s="6">
        <f>IF(ISNUMBER(F17),F17,0)</f>
        <v/>
      </c>
      <c r="H17" s="6" t="n">
        <v>104</v>
      </c>
      <c r="J17" t="inlineStr">
        <is>
          <t>Pooled SD</t>
        </is>
      </c>
      <c r="K17" s="12">
        <f>SQRT(((K8-1)*K7^2+(K11-1)*K10^2)/(K8+K11-2))</f>
        <v/>
      </c>
      <c r="L17" s="13" t="inlineStr">
        <is>
          <t>SQRT(((K8-1)*K7^2+(K11-1)*K10^2)/(K8+K11-2))</t>
        </is>
      </c>
      <c r="M17" s="5" t="inlineStr">
        <is>
          <t>sp = sqrt(((n1 - 1) s1^2 + (n2 - 1) s2^2) / (n1 + n2 - 2))</t>
        </is>
      </c>
    </row>
    <row r="18">
      <c r="A18" s="6" t="inlineStr">
        <is>
          <t>P29</t>
        </is>
      </c>
      <c r="B18" s="6" t="inlineStr">
        <is>
          <t>POSM</t>
        </is>
      </c>
      <c r="C18" s="6" t="n">
        <v>79.8</v>
      </c>
      <c r="D18" s="6" t="n">
        <v>1059</v>
      </c>
      <c r="E18" s="6">
        <f>IF(ISNUMBER(D18),D18/1000,"")</f>
        <v/>
      </c>
      <c r="F18" s="6" t="n">
        <v>25.27</v>
      </c>
      <c r="G18" s="6">
        <f>IF(ISNUMBER(F18),F18,0)</f>
        <v/>
      </c>
      <c r="H18" s="6" t="n">
        <v>97</v>
      </c>
      <c r="J18" t="inlineStr">
        <is>
          <t>Cohen's d</t>
        </is>
      </c>
      <c r="K18" s="12">
        <f>K12/K17</f>
        <v/>
      </c>
      <c r="L18" s="13" t="inlineStr">
        <is>
          <t>K12/K17</t>
        </is>
      </c>
      <c r="M18" s="5" t="inlineStr">
        <is>
          <t>d = (M1 - M2) / sp</t>
        </is>
      </c>
    </row>
    <row r="19">
      <c r="A19" s="6" t="inlineStr">
        <is>
          <t>P02</t>
        </is>
      </c>
      <c r="B19" s="6" t="inlineStr">
        <is>
          <t>NoPOSM</t>
        </is>
      </c>
      <c r="C19" s="6" t="n">
        <v>77.5</v>
      </c>
      <c r="D19" s="6" t="n">
        <v>3254</v>
      </c>
      <c r="E19" s="6">
        <f>IF(ISNUMBER(D19),D19/1000,"")</f>
        <v/>
      </c>
      <c r="F19" s="6" t="n">
        <v>21.73</v>
      </c>
      <c r="G19" s="6">
        <f>IF(ISNUMBER(F19),F19,0)</f>
        <v/>
      </c>
      <c r="H19" s="6" t="n">
        <v>79</v>
      </c>
      <c r="J19" t="inlineStr">
        <is>
          <t>SE of d (approximation)</t>
        </is>
      </c>
      <c r="K19" s="12">
        <f>SQRT((K8+K11)/(K8*K11)+K18^2/(2*(K8+K11)))</f>
        <v/>
      </c>
      <c r="L19" s="13" t="inlineStr">
        <is>
          <t>SQRT((K8+K11)/(K8*K11)+K18^2/(2*(K8+K11)))</t>
        </is>
      </c>
      <c r="M19" s="5" t="inlineStr">
        <is>
          <t>sqrt((n1 + n2) / (n1 n2) + d^2 / (2 (n1 + n2)))</t>
        </is>
      </c>
    </row>
    <row r="20">
      <c r="A20" s="6" t="inlineStr">
        <is>
          <t>P04</t>
        </is>
      </c>
      <c r="B20" s="6" t="inlineStr">
        <is>
          <t>NoPOSM</t>
        </is>
      </c>
      <c r="C20" s="6" t="n">
        <v>82</v>
      </c>
      <c r="D20" s="6" t="n">
        <v>3263</v>
      </c>
      <c r="E20" s="6">
        <f>IF(ISNUMBER(D20),D20/1000,"")</f>
        <v/>
      </c>
      <c r="F20" s="6" t="n">
        <v>12.49</v>
      </c>
      <c r="G20" s="6">
        <f>IF(ISNUMBER(F20),F20,0)</f>
        <v/>
      </c>
      <c r="H20" s="6" t="n">
        <v>54</v>
      </c>
      <c r="J20" t="inlineStr">
        <is>
          <t>d 95% CI lower</t>
        </is>
      </c>
      <c r="K20" s="12">
        <f>K18-1.96*K19</f>
        <v/>
      </c>
      <c r="L20" s="13" t="inlineStr">
        <is>
          <t>K18-1.96*K19</t>
        </is>
      </c>
      <c r="M20" s="5" t="inlineStr">
        <is>
          <t>large sample approximation; R uses the noncentral t interval</t>
        </is>
      </c>
    </row>
    <row r="21">
      <c r="A21" s="6" t="inlineStr">
        <is>
          <t>P06</t>
        </is>
      </c>
      <c r="B21" s="6" t="inlineStr">
        <is>
          <t>NoPOSM</t>
        </is>
      </c>
      <c r="C21" s="6" t="n">
        <v>78</v>
      </c>
      <c r="D21" s="6" t="n">
        <v>3169</v>
      </c>
      <c r="E21" s="6">
        <f>IF(ISNUMBER(D21),D21/1000,"")</f>
        <v/>
      </c>
      <c r="F21" s="6" t="n">
        <v>12.29</v>
      </c>
      <c r="G21" s="6">
        <f>IF(ISNUMBER(F21),F21,0)</f>
        <v/>
      </c>
      <c r="H21" s="6" t="n">
        <v>72</v>
      </c>
      <c r="J21" t="inlineStr">
        <is>
          <t>d 95% CI upper</t>
        </is>
      </c>
      <c r="K21" s="12">
        <f>K18+1.96*K19</f>
        <v/>
      </c>
      <c r="L21" s="13" t="inlineStr">
        <is>
          <t>K18+1.96*K19</t>
        </is>
      </c>
    </row>
    <row r="22">
      <c r="A22" s="6" t="inlineStr">
        <is>
          <t>P08</t>
        </is>
      </c>
      <c r="B22" s="6" t="inlineStr">
        <is>
          <t>NoPOSM</t>
        </is>
      </c>
      <c r="C22" s="6" t="n">
        <v>93.59999999999999</v>
      </c>
      <c r="D22" s="6" t="n">
        <v>4860</v>
      </c>
      <c r="E22" s="6">
        <f>IF(ISNUMBER(D22),D22/1000,"")</f>
        <v/>
      </c>
      <c r="F22" s="6" t="n">
        <v>14.06</v>
      </c>
      <c r="G22" s="6">
        <f>IF(ISNUMBER(F22),F22,0)</f>
        <v/>
      </c>
      <c r="H22" s="6" t="n">
        <v>62</v>
      </c>
      <c r="J22" t="inlineStr"/>
    </row>
    <row r="23">
      <c r="A23" s="6" t="inlineStr">
        <is>
          <t>P10</t>
        </is>
      </c>
      <c r="B23" s="6" t="inlineStr">
        <is>
          <t>NoPOSM</t>
        </is>
      </c>
      <c r="C23" s="6" t="n">
        <v>87.40000000000001</v>
      </c>
      <c r="D23" s="6" t="n">
        <v>2393</v>
      </c>
      <c r="E23" s="6">
        <f>IF(ISNUMBER(D23),D23/1000,"")</f>
        <v/>
      </c>
      <c r="F23" s="6" t="n">
        <v>6.99</v>
      </c>
      <c r="G23" s="6">
        <f>IF(ISNUMBER(F23),F23,0)</f>
        <v/>
      </c>
      <c r="H23" s="6" t="n">
        <v>30</v>
      </c>
      <c r="J23" s="11" t="inlineStr">
        <is>
          <t>Welch t test and Cohen's d: Dwell time (%) on Sensodyne_Products</t>
        </is>
      </c>
    </row>
    <row r="24">
      <c r="A24" s="6" t="inlineStr">
        <is>
          <t>P12</t>
        </is>
      </c>
      <c r="B24" s="6" t="inlineStr">
        <is>
          <t>NoPOSM</t>
        </is>
      </c>
      <c r="C24" s="6" t="n">
        <v>74.59999999999999</v>
      </c>
      <c r="D24" s="6" t="n">
        <v>3320</v>
      </c>
      <c r="E24" s="6">
        <f>IF(ISNUMBER(D24),D24/1000,"")</f>
        <v/>
      </c>
      <c r="F24" s="6" t="n">
        <v>8.210000000000001</v>
      </c>
      <c r="G24" s="6">
        <f>IF(ISNUMBER(F24),F24,0)</f>
        <v/>
      </c>
      <c r="H24" s="6" t="n">
        <v>60</v>
      </c>
      <c r="J24" t="inlineStr">
        <is>
          <t>POSM mean (%)</t>
        </is>
      </c>
      <c r="K24" s="12">
        <f>AVERAGE(G5:G18)</f>
        <v/>
      </c>
      <c r="L24" s="13" t="inlineStr">
        <is>
          <t>AVERAGE(G5:G18)</t>
        </is>
      </c>
      <c r="M24" s="5" t="inlineStr">
        <is>
          <t>AVERAGE of the POSM block</t>
        </is>
      </c>
    </row>
    <row r="25">
      <c r="A25" s="6" t="inlineStr">
        <is>
          <t>P14</t>
        </is>
      </c>
      <c r="B25" s="6" t="inlineStr">
        <is>
          <t>NoPOSM</t>
        </is>
      </c>
      <c r="C25" s="6" t="n">
        <v>95.5</v>
      </c>
      <c r="D25" s="6" t="n">
        <v>5872</v>
      </c>
      <c r="E25" s="6">
        <f>IF(ISNUMBER(D25),D25/1000,"")</f>
        <v/>
      </c>
      <c r="F25" s="6" t="n">
        <v>10.14</v>
      </c>
      <c r="G25" s="6">
        <f>IF(ISNUMBER(F25),F25,0)</f>
        <v/>
      </c>
      <c r="H25" s="6" t="n">
        <v>51</v>
      </c>
      <c r="J25" t="inlineStr">
        <is>
          <t>POSM SD (%)</t>
        </is>
      </c>
      <c r="K25" s="12">
        <f>_xlfn.STDEV.S(G5:G18)</f>
        <v/>
      </c>
      <c r="L25" s="13" t="inlineStr">
        <is>
          <t>_xlfn.STDEV.S(G5:G18)</t>
        </is>
      </c>
      <c r="M25" s="5" t="inlineStr">
        <is>
          <t>STDEV.S = sample standard deviation</t>
        </is>
      </c>
    </row>
    <row r="26">
      <c r="A26" s="6" t="inlineStr">
        <is>
          <t>P16</t>
        </is>
      </c>
      <c r="B26" s="6" t="inlineStr">
        <is>
          <t>NoPOSM</t>
        </is>
      </c>
      <c r="C26" s="6" t="n">
        <v>77.09999999999999</v>
      </c>
      <c r="D26" s="6" t="n">
        <v>2521</v>
      </c>
      <c r="E26" s="6">
        <f>IF(ISNUMBER(D26),D26/1000,"")</f>
        <v/>
      </c>
      <c r="F26" s="6" t="n">
        <v>6.09</v>
      </c>
      <c r="G26" s="6">
        <f>IF(ISNUMBER(F26),F26,0)</f>
        <v/>
      </c>
      <c r="H26" s="6" t="n">
        <v>28</v>
      </c>
      <c r="J26" t="inlineStr">
        <is>
          <t>POSM n</t>
        </is>
      </c>
      <c r="K26" s="14">
        <f>COUNT(G5:G18)</f>
        <v/>
      </c>
      <c r="L26" s="13" t="inlineStr">
        <is>
          <t>COUNT(G5:G18)</t>
        </is>
      </c>
      <c r="M26" s="5" t="inlineStr">
        <is>
          <t>never fixated rows count as 0 here</t>
        </is>
      </c>
    </row>
    <row r="27">
      <c r="A27" s="6" t="inlineStr">
        <is>
          <t>P18</t>
        </is>
      </c>
      <c r="B27" s="6" t="inlineStr">
        <is>
          <t>NoPOSM</t>
        </is>
      </c>
      <c r="C27" s="6" t="n">
        <v>84.59999999999999</v>
      </c>
      <c r="D27" s="6" t="n">
        <v>3837</v>
      </c>
      <c r="E27" s="6">
        <f>IF(ISNUMBER(D27),D27/1000,"")</f>
        <v/>
      </c>
      <c r="F27" s="6" t="n">
        <v>5.79</v>
      </c>
      <c r="G27" s="6">
        <f>IF(ISNUMBER(F27),F27,0)</f>
        <v/>
      </c>
      <c r="H27" s="6" t="n">
        <v>41</v>
      </c>
      <c r="J27" t="inlineStr">
        <is>
          <t>NoPOSM mean (%)</t>
        </is>
      </c>
      <c r="K27" s="12">
        <f>AVERAGE(G19:G33)</f>
        <v/>
      </c>
      <c r="L27" s="13" t="inlineStr">
        <is>
          <t>AVERAGE(G19:G33)</t>
        </is>
      </c>
    </row>
    <row r="28">
      <c r="A28" s="6" t="inlineStr">
        <is>
          <t>P20</t>
        </is>
      </c>
      <c r="B28" s="6" t="inlineStr">
        <is>
          <t>NoPOSM</t>
        </is>
      </c>
      <c r="C28" s="6" t="n">
        <v>82.40000000000001</v>
      </c>
      <c r="D28" s="6" t="n">
        <v>2660</v>
      </c>
      <c r="E28" s="6">
        <f>IF(ISNUMBER(D28),D28/1000,"")</f>
        <v/>
      </c>
      <c r="F28" s="6" t="n">
        <v>5.91</v>
      </c>
      <c r="G28" s="6">
        <f>IF(ISNUMBER(F28),F28,0)</f>
        <v/>
      </c>
      <c r="H28" s="6" t="n">
        <v>30</v>
      </c>
      <c r="J28" t="inlineStr">
        <is>
          <t>NoPOSM SD (%)</t>
        </is>
      </c>
      <c r="K28" s="12">
        <f>_xlfn.STDEV.S(G19:G33)</f>
        <v/>
      </c>
      <c r="L28" s="13" t="inlineStr">
        <is>
          <t>_xlfn.STDEV.S(G19:G33)</t>
        </is>
      </c>
    </row>
    <row r="29">
      <c r="A29" s="6" t="inlineStr">
        <is>
          <t>P22</t>
        </is>
      </c>
      <c r="B29" s="6" t="inlineStr">
        <is>
          <t>NoPOSM</t>
        </is>
      </c>
      <c r="C29" s="6" t="n">
        <v>81.7</v>
      </c>
      <c r="D29" s="6" t="n">
        <v>4373</v>
      </c>
      <c r="E29" s="6">
        <f>IF(ISNUMBER(D29),D29/1000,"")</f>
        <v/>
      </c>
      <c r="F29" s="6" t="n">
        <v>12.66</v>
      </c>
      <c r="G29" s="6">
        <f>IF(ISNUMBER(F29),F29,0)</f>
        <v/>
      </c>
      <c r="H29" s="6" t="n">
        <v>77</v>
      </c>
      <c r="J29" t="inlineStr">
        <is>
          <t>NoPOSM n</t>
        </is>
      </c>
      <c r="K29" s="14">
        <f>COUNT(G19:G33)</f>
        <v/>
      </c>
      <c r="L29" s="13" t="inlineStr">
        <is>
          <t>COUNT(G19:G33)</t>
        </is>
      </c>
    </row>
    <row r="30">
      <c r="A30" s="6" t="inlineStr">
        <is>
          <t>P24</t>
        </is>
      </c>
      <c r="B30" s="6" t="inlineStr">
        <is>
          <t>NoPOSM</t>
        </is>
      </c>
      <c r="C30" s="6" t="n">
        <v>94.09999999999999</v>
      </c>
      <c r="D30" s="6" t="n">
        <v>4646</v>
      </c>
      <c r="E30" s="6">
        <f>IF(ISNUMBER(D30),D30/1000,"")</f>
        <v/>
      </c>
      <c r="F30" s="6" t="n">
        <v>14.6</v>
      </c>
      <c r="G30" s="6">
        <f>IF(ISNUMBER(F30),F30,0)</f>
        <v/>
      </c>
      <c r="H30" s="6" t="n">
        <v>103</v>
      </c>
      <c r="J30" t="inlineStr">
        <is>
          <t>Difference POSM minus NoPOSM (%)</t>
        </is>
      </c>
      <c r="K30" s="12">
        <f>K24-K27</f>
        <v/>
      </c>
      <c r="L30" s="13" t="inlineStr">
        <is>
          <t>K24-K27</t>
        </is>
      </c>
    </row>
    <row r="31">
      <c r="A31" s="6" t="inlineStr">
        <is>
          <t>P26</t>
        </is>
      </c>
      <c r="B31" s="6" t="inlineStr">
        <is>
          <t>NoPOSM</t>
        </is>
      </c>
      <c r="C31" s="6" t="n">
        <v>82.2</v>
      </c>
      <c r="D31" s="6" t="n">
        <v>3715</v>
      </c>
      <c r="E31" s="6">
        <f>IF(ISNUMBER(D31),D31/1000,"")</f>
        <v/>
      </c>
      <c r="F31" s="6" t="n">
        <v>8.49</v>
      </c>
      <c r="G31" s="6">
        <f>IF(ISNUMBER(F31),F31,0)</f>
        <v/>
      </c>
      <c r="H31" s="6" t="n">
        <v>44</v>
      </c>
      <c r="J31" t="inlineStr">
        <is>
          <t>Welch t</t>
        </is>
      </c>
      <c r="K31" s="12">
        <f>(K24-K27)/SQRT(K25^2/K26+K28^2/K29)</f>
        <v/>
      </c>
      <c r="L31" s="13" t="inlineStr">
        <is>
          <t>(K24-K27)/SQRT(K25^2/K26+K28^2/K29)</t>
        </is>
      </c>
      <c r="M31" s="5" t="inlineStr">
        <is>
          <t>t = (M1 - M2) / sqrt(s1^2/n1 + s2^2/n2)</t>
        </is>
      </c>
    </row>
    <row r="32">
      <c r="A32" s="6" t="inlineStr">
        <is>
          <t>P28</t>
        </is>
      </c>
      <c r="B32" s="6" t="inlineStr">
        <is>
          <t>NoPOSM</t>
        </is>
      </c>
      <c r="C32" s="6" t="n">
        <v>91.5</v>
      </c>
      <c r="D32" s="6" t="n">
        <v>3280</v>
      </c>
      <c r="E32" s="6">
        <f>IF(ISNUMBER(D32),D32/1000,"")</f>
        <v/>
      </c>
      <c r="F32" s="6" t="n">
        <v>7.6</v>
      </c>
      <c r="G32" s="6">
        <f>IF(ISNUMBER(F32),F32,0)</f>
        <v/>
      </c>
      <c r="H32" s="6" t="n">
        <v>56</v>
      </c>
      <c r="J32" t="inlineStr">
        <is>
          <t>Welch df</t>
        </is>
      </c>
      <c r="K32" s="15">
        <f>(K25^2/K26+K28^2/K29)^2/((K25^2/K26)^2/(K26-1)+(K28^2/K29)^2/(K29-1))</f>
        <v/>
      </c>
      <c r="L32" s="13" t="inlineStr">
        <is>
          <t>(K25^2/K26+K28^2/K29)^2/((K25^2/K26)^2/(K26-1)+(K28^2/K29)^2/(K29-1))</t>
        </is>
      </c>
      <c r="M32" s="5" t="inlineStr">
        <is>
          <t>Welch Satterthwaite degrees of freedom</t>
        </is>
      </c>
    </row>
    <row r="33">
      <c r="A33" s="6" t="inlineStr">
        <is>
          <t>P30</t>
        </is>
      </c>
      <c r="B33" s="6" t="inlineStr">
        <is>
          <t>NoPOSM</t>
        </is>
      </c>
      <c r="C33" s="6" t="n">
        <v>83.7</v>
      </c>
      <c r="D33" s="6" t="n">
        <v>2659</v>
      </c>
      <c r="E33" s="6">
        <f>IF(ISNUMBER(D33),D33/1000,"")</f>
        <v/>
      </c>
      <c r="F33" s="6" t="n">
        <v>14.28</v>
      </c>
      <c r="G33" s="6">
        <f>IF(ISNUMBER(F33),F33,0)</f>
        <v/>
      </c>
      <c r="H33" s="6" t="n">
        <v>70</v>
      </c>
      <c r="J33" t="inlineStr">
        <is>
          <t>p, two tailed (T.TEST type 3)</t>
        </is>
      </c>
      <c r="K33" s="12">
        <f>_xlfn.T.TEST(G5:G18,G19:G33,2,3)</f>
        <v/>
      </c>
      <c r="L33" s="13" t="inlineStr">
        <is>
          <t>_xlfn.T.TEST(G5:G18,G19:G33,2,3)</t>
        </is>
      </c>
      <c r="M33" s="5" t="inlineStr">
        <is>
          <t>tails = 2, type = 3 means unequal variances (Welch)</t>
        </is>
      </c>
    </row>
    <row r="34">
      <c r="J34" t="inlineStr">
        <is>
          <t>p from the hand computed t</t>
        </is>
      </c>
      <c r="K34" s="12">
        <f>_xlfn.T.DIST.2T(ABS(K31),K32)</f>
        <v/>
      </c>
      <c r="L34" s="13" t="inlineStr">
        <is>
          <t>_xlfn.T.DIST.2T(ABS(K31),K32)</t>
        </is>
      </c>
      <c r="M34" s="5" t="inlineStr">
        <is>
          <t>should match the T.TEST cell</t>
        </is>
      </c>
    </row>
    <row r="35">
      <c r="J35" t="inlineStr">
        <is>
          <t>Pooled SD</t>
        </is>
      </c>
      <c r="K35" s="12">
        <f>SQRT(((K26-1)*K25^2+(K29-1)*K28^2)/(K26+K29-2))</f>
        <v/>
      </c>
      <c r="L35" s="13" t="inlineStr">
        <is>
          <t>SQRT(((K26-1)*K25^2+(K29-1)*K28^2)/(K26+K29-2))</t>
        </is>
      </c>
      <c r="M35" s="5" t="inlineStr">
        <is>
          <t>sp = sqrt(((n1 - 1) s1^2 + (n2 - 1) s2^2) / (n1 + n2 - 2))</t>
        </is>
      </c>
    </row>
    <row r="36">
      <c r="J36" t="inlineStr">
        <is>
          <t>Cohen's d</t>
        </is>
      </c>
      <c r="K36" s="12">
        <f>K30/K35</f>
        <v/>
      </c>
      <c r="L36" s="13" t="inlineStr">
        <is>
          <t>K30/K35</t>
        </is>
      </c>
      <c r="M36" s="5" t="inlineStr">
        <is>
          <t>d = (M1 - M2) / sp</t>
        </is>
      </c>
    </row>
    <row r="37">
      <c r="J37" t="inlineStr">
        <is>
          <t>SE of d (approximation)</t>
        </is>
      </c>
      <c r="K37" s="12">
        <f>SQRT((K26+K29)/(K26*K29)+K36^2/(2*(K26+K29)))</f>
        <v/>
      </c>
      <c r="L37" s="13" t="inlineStr">
        <is>
          <t>SQRT((K26+K29)/(K26*K29)+K36^2/(2*(K26+K29)))</t>
        </is>
      </c>
      <c r="M37" s="5" t="inlineStr">
        <is>
          <t>sqrt((n1 + n2) / (n1 n2) + d^2 / (2 (n1 + n2)))</t>
        </is>
      </c>
    </row>
    <row r="38">
      <c r="J38" t="inlineStr">
        <is>
          <t>d 95% CI lower</t>
        </is>
      </c>
      <c r="K38" s="12">
        <f>K36-1.96*K37</f>
        <v/>
      </c>
      <c r="L38" s="13" t="inlineStr">
        <is>
          <t>K36-1.96*K37</t>
        </is>
      </c>
      <c r="M38" s="5" t="inlineStr">
        <is>
          <t>large sample approximation; R uses the noncentral t interval</t>
        </is>
      </c>
    </row>
    <row r="39">
      <c r="J39" t="inlineStr">
        <is>
          <t>d 95% CI upper</t>
        </is>
      </c>
      <c r="K39" s="12">
        <f>K36+1.96*K37</f>
        <v/>
      </c>
      <c r="L39" s="13" t="inlineStr">
        <is>
          <t>K36+1.96*K37</t>
        </is>
      </c>
    </row>
    <row r="40">
      <c r="J40" t="inlineStr"/>
    </row>
    <row r="42">
      <c r="J42" s="8" t="inlineStr">
        <is>
          <t>Chart table: mean TTFF_s with 95% CI half width</t>
        </is>
      </c>
    </row>
    <row r="43">
      <c r="J43" t="inlineStr">
        <is>
          <t>Condition</t>
        </is>
      </c>
      <c r="K43" t="inlineStr">
        <is>
          <t>Mean TTFF (s)</t>
        </is>
      </c>
      <c r="L43" t="inlineStr">
        <is>
          <t>CI half width</t>
        </is>
      </c>
    </row>
    <row r="44">
      <c r="J44" t="inlineStr">
        <is>
          <t>NoPOSM</t>
        </is>
      </c>
      <c r="K44" s="15">
        <f>K9</f>
        <v/>
      </c>
      <c r="L44" s="15">
        <f>_xlfn.CONFIDENCE.T(0.05,K10,K11)</f>
        <v/>
      </c>
    </row>
    <row r="45">
      <c r="J45" t="inlineStr">
        <is>
          <t>POSM</t>
        </is>
      </c>
      <c r="K45" s="15">
        <f>K6</f>
        <v/>
      </c>
      <c r="L45" s="15">
        <f>_xlfn.CONFIDENCE.T(0.05,K7,K8)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32" customWidth="1" min="4" max="4"/>
    <col width="24" customWidth="1" min="5" max="5"/>
    <col width="16" customWidth="1" min="6" max="6"/>
    <col width="14" customWidth="1" min="7" max="7"/>
    <col width="21" customWidth="1" min="8" max="8"/>
    <col width="14" customWidth="1" min="9" max="9"/>
    <col width="52" customWidth="1" min="11" max="11"/>
    <col width="14" customWidth="1" min="12" max="12"/>
  </cols>
  <sheetData>
    <row r="1">
      <c r="A1" s="4" t="inlineStr">
        <is>
          <t>Survey after the glasses came off, joined to Sensodyne dwell share. SIMULATED data.</t>
        </is>
      </c>
    </row>
    <row r="2"/>
    <row r="3">
      <c r="A3" s="2" t="inlineStr">
        <is>
          <t>Study Name</t>
        </is>
      </c>
      <c r="B3" s="2" t="inlineStr">
        <is>
          <t>Respondent Name</t>
        </is>
      </c>
      <c r="C3" s="2" t="inlineStr">
        <is>
          <t>Group</t>
        </is>
      </c>
      <c r="D3" s="2" t="inlineStr">
        <is>
          <t>Purchase_intent_Sensodyne_1to7</t>
        </is>
      </c>
      <c r="E3" s="2" t="inlineStr">
        <is>
          <t>Brand_recall_Sensodyne</t>
        </is>
      </c>
      <c r="F3" s="2" t="inlineStr">
        <is>
          <t>Product_chosen</t>
        </is>
      </c>
      <c r="G3" s="2" t="inlineStr">
        <is>
          <t>Keep</t>
        </is>
      </c>
      <c r="H3" s="2" t="inlineStr">
        <is>
          <t>Sensodyne dwell (%)</t>
        </is>
      </c>
      <c r="I3" s="10" t="inlineStr">
        <is>
          <t>PI if kept</t>
        </is>
      </c>
      <c r="K3" s="10" t="inlineStr">
        <is>
          <t>Statistic</t>
        </is>
      </c>
      <c r="L3" s="10" t="inlineStr">
        <is>
          <t>Value</t>
        </is>
      </c>
    </row>
    <row r="4">
      <c r="A4" t="inlineStr">
        <is>
          <t>SIMULATED_ShelfStudy_POSM_vs_NoPOSM</t>
        </is>
      </c>
      <c r="B4" t="inlineStr">
        <is>
          <t>P01</t>
        </is>
      </c>
      <c r="C4" t="inlineStr">
        <is>
          <t>POSM</t>
        </is>
      </c>
      <c r="D4" t="n">
        <v>5</v>
      </c>
      <c r="E4" t="inlineStr">
        <is>
          <t>Yes</t>
        </is>
      </c>
      <c r="F4" t="inlineStr">
        <is>
          <t>Other</t>
        </is>
      </c>
      <c r="G4">
        <f>IF(ISNA(MATCH(B4,Sensodyne!$A$5:$A$40,0)),"No","Yes")</f>
        <v/>
      </c>
      <c r="H4" s="15">
        <f>IFERROR(INDEX(Sensodyne!$G$5:$G$40,MATCH(B4,Sensodyne!$A$5:$A$40,0)),"")</f>
        <v/>
      </c>
      <c r="I4">
        <f>IF(G4="Yes",D4,"")</f>
        <v/>
      </c>
      <c r="K4" t="inlineStr">
        <is>
          <t>Purchase intent, POSM mean</t>
        </is>
      </c>
      <c r="L4" s="16">
        <f>AVERAGE(I4:I18)</f>
        <v/>
      </c>
    </row>
    <row r="5">
      <c r="A5" t="inlineStr">
        <is>
          <t>SIMULATED_ShelfStudy_POSM_vs_NoPOSM</t>
        </is>
      </c>
      <c r="B5" t="inlineStr">
        <is>
          <t>P03</t>
        </is>
      </c>
      <c r="C5" t="inlineStr">
        <is>
          <t>POSM</t>
        </is>
      </c>
      <c r="D5" t="n">
        <v>4</v>
      </c>
      <c r="E5" t="inlineStr">
        <is>
          <t>Yes</t>
        </is>
      </c>
      <c r="F5" t="inlineStr">
        <is>
          <t>Sensodyne</t>
        </is>
      </c>
      <c r="G5">
        <f>IF(ISNA(MATCH(B5,Sensodyne!$A$5:$A$40,0)),"No","Yes")</f>
        <v/>
      </c>
      <c r="H5" s="15">
        <f>IFERROR(INDEX(Sensodyne!$G$5:$G$40,MATCH(B5,Sensodyne!$A$5:$A$40,0)),"")</f>
        <v/>
      </c>
      <c r="I5">
        <f>IF(G5="Yes",D5,"")</f>
        <v/>
      </c>
      <c r="K5" t="inlineStr">
        <is>
          <t>Purchase intent, POSM SD</t>
        </is>
      </c>
      <c r="L5" s="16">
        <f>_xlfn.STDEV.S(I4:I18)</f>
        <v/>
      </c>
    </row>
    <row r="6">
      <c r="A6" t="inlineStr">
        <is>
          <t>SIMULATED_ShelfStudy_POSM_vs_NoPOSM</t>
        </is>
      </c>
      <c r="B6" t="inlineStr">
        <is>
          <t>P05</t>
        </is>
      </c>
      <c r="C6" t="inlineStr">
        <is>
          <t>POSM</t>
        </is>
      </c>
      <c r="D6" t="n">
        <v>5</v>
      </c>
      <c r="E6" t="inlineStr">
        <is>
          <t>Yes</t>
        </is>
      </c>
      <c r="F6" t="inlineStr">
        <is>
          <t>Other</t>
        </is>
      </c>
      <c r="G6">
        <f>IF(ISNA(MATCH(B6,Sensodyne!$A$5:$A$40,0)),"No","Yes")</f>
        <v/>
      </c>
      <c r="H6" s="15">
        <f>IFERROR(INDEX(Sensodyne!$G$5:$G$40,MATCH(B6,Sensodyne!$A$5:$A$40,0)),"")</f>
        <v/>
      </c>
      <c r="I6">
        <f>IF(G6="Yes",D6,"")</f>
        <v/>
      </c>
      <c r="K6" t="inlineStr">
        <is>
          <t>Purchase intent, POSM n</t>
        </is>
      </c>
      <c r="L6" s="16">
        <f>COUNT(I4:I18)</f>
        <v/>
      </c>
    </row>
    <row r="7">
      <c r="A7" t="inlineStr">
        <is>
          <t>SIMULATED_ShelfStudy_POSM_vs_NoPOSM</t>
        </is>
      </c>
      <c r="B7" t="inlineStr">
        <is>
          <t>P07</t>
        </is>
      </c>
      <c r="C7" t="inlineStr">
        <is>
          <t>POSM</t>
        </is>
      </c>
      <c r="D7" t="n">
        <v>3</v>
      </c>
      <c r="E7" t="inlineStr">
        <is>
          <t>No</t>
        </is>
      </c>
      <c r="F7" t="inlineStr">
        <is>
          <t>Other</t>
        </is>
      </c>
      <c r="G7">
        <f>IF(ISNA(MATCH(B7,Sensodyne!$A$5:$A$40,0)),"No","Yes")</f>
        <v/>
      </c>
      <c r="H7" s="15">
        <f>IFERROR(INDEX(Sensodyne!$G$5:$G$40,MATCH(B7,Sensodyne!$A$5:$A$40,0)),"")</f>
        <v/>
      </c>
      <c r="I7">
        <f>IF(G7="Yes",D7,"")</f>
        <v/>
      </c>
      <c r="K7" t="inlineStr">
        <is>
          <t>Purchase intent, NoPOSM mean</t>
        </is>
      </c>
      <c r="L7" s="16">
        <f>AVERAGE(I19:I33)</f>
        <v/>
      </c>
    </row>
    <row r="8">
      <c r="A8" t="inlineStr">
        <is>
          <t>SIMULATED_ShelfStudy_POSM_vs_NoPOSM</t>
        </is>
      </c>
      <c r="B8" t="inlineStr">
        <is>
          <t>P09</t>
        </is>
      </c>
      <c r="C8" t="inlineStr">
        <is>
          <t>POSM</t>
        </is>
      </c>
      <c r="D8" t="n">
        <v>5</v>
      </c>
      <c r="E8" t="inlineStr">
        <is>
          <t>Yes</t>
        </is>
      </c>
      <c r="F8" t="inlineStr">
        <is>
          <t>Competitor_A</t>
        </is>
      </c>
      <c r="G8">
        <f>IF(ISNA(MATCH(B8,Sensodyne!$A$5:$A$40,0)),"No","Yes")</f>
        <v/>
      </c>
      <c r="H8" s="15">
        <f>IFERROR(INDEX(Sensodyne!$G$5:$G$40,MATCH(B8,Sensodyne!$A$5:$A$40,0)),"")</f>
        <v/>
      </c>
      <c r="I8">
        <f>IF(G8="Yes",D8,"")</f>
        <v/>
      </c>
      <c r="K8" t="inlineStr">
        <is>
          <t>Purchase intent, NoPOSM SD</t>
        </is>
      </c>
      <c r="L8" s="16">
        <f>_xlfn.STDEV.S(I19:I33)</f>
        <v/>
      </c>
    </row>
    <row r="9">
      <c r="A9" t="inlineStr">
        <is>
          <t>SIMULATED_ShelfStudy_POSM_vs_NoPOSM</t>
        </is>
      </c>
      <c r="B9" t="inlineStr">
        <is>
          <t>P11</t>
        </is>
      </c>
      <c r="C9" t="inlineStr">
        <is>
          <t>POSM</t>
        </is>
      </c>
      <c r="D9" t="n">
        <v>4</v>
      </c>
      <c r="E9" t="inlineStr">
        <is>
          <t>No</t>
        </is>
      </c>
      <c r="F9" t="inlineStr">
        <is>
          <t>Competitor_B</t>
        </is>
      </c>
      <c r="G9">
        <f>IF(ISNA(MATCH(B9,Sensodyne!$A$5:$A$40,0)),"No","Yes")</f>
        <v/>
      </c>
      <c r="H9" s="15">
        <f>IFERROR(INDEX(Sensodyne!$G$5:$G$40,MATCH(B9,Sensodyne!$A$5:$A$40,0)),"")</f>
        <v/>
      </c>
      <c r="I9">
        <f>IF(G9="Yes",D9,"")</f>
        <v/>
      </c>
      <c r="K9" t="inlineStr">
        <is>
          <t>Purchase intent, NoPOSM n</t>
        </is>
      </c>
      <c r="L9" s="16">
        <f>COUNT(I19:I33)</f>
        <v/>
      </c>
    </row>
    <row r="10">
      <c r="A10" t="inlineStr">
        <is>
          <t>SIMULATED_ShelfStudy_POSM_vs_NoPOSM</t>
        </is>
      </c>
      <c r="B10" t="inlineStr">
        <is>
          <t>P13</t>
        </is>
      </c>
      <c r="C10" t="inlineStr">
        <is>
          <t>POSM</t>
        </is>
      </c>
      <c r="D10" t="n">
        <v>6</v>
      </c>
      <c r="E10" t="inlineStr">
        <is>
          <t>Yes</t>
        </is>
      </c>
      <c r="F10" t="inlineStr">
        <is>
          <t>Sensodyne</t>
        </is>
      </c>
      <c r="G10">
        <f>IF(ISNA(MATCH(B10,Sensodyne!$A$5:$A$40,0)),"No","Yes")</f>
        <v/>
      </c>
      <c r="H10" s="15">
        <f>IFERROR(INDEX(Sensodyne!$G$5:$G$40,MATCH(B10,Sensodyne!$A$5:$A$40,0)),"")</f>
        <v/>
      </c>
      <c r="I10">
        <f>IF(G10="Yes",D10,"")</f>
        <v/>
      </c>
      <c r="K10" t="inlineStr">
        <is>
          <t>p, Welch T.TEST (2 tails, type 3)</t>
        </is>
      </c>
      <c r="L10" s="16">
        <f>_xlfn.T.TEST(I4:I18,I19:I33,2,3)</f>
        <v/>
      </c>
    </row>
    <row r="11">
      <c r="A11" t="inlineStr">
        <is>
          <t>SIMULATED_ShelfStudy_POSM_vs_NoPOSM</t>
        </is>
      </c>
      <c r="B11" t="inlineStr">
        <is>
          <t>P15</t>
        </is>
      </c>
      <c r="C11" t="inlineStr">
        <is>
          <t>POSM</t>
        </is>
      </c>
      <c r="D11" t="n">
        <v>6</v>
      </c>
      <c r="E11" t="inlineStr">
        <is>
          <t>Yes</t>
        </is>
      </c>
      <c r="F11" t="inlineStr">
        <is>
          <t>Sensodyne</t>
        </is>
      </c>
      <c r="G11">
        <f>IF(ISNA(MATCH(B11,Sensodyne!$A$5:$A$40,0)),"No","Yes")</f>
        <v/>
      </c>
      <c r="H11" s="15">
        <f>IFERROR(INDEX(Sensodyne!$G$5:$G$40,MATCH(B11,Sensodyne!$A$5:$A$40,0)),"")</f>
        <v/>
      </c>
      <c r="I11">
        <f>IF(G11="Yes",D11,"")</f>
        <v/>
      </c>
      <c r="K11" t="inlineStr">
        <is>
          <t>Cohen's d (pooled SD)</t>
        </is>
      </c>
      <c r="L11" s="16">
        <f>(L4-L7)/SQRT(((L6-1)*L5^2+(L9-1)*L8^2)/(L6+L9-2))</f>
        <v/>
      </c>
    </row>
    <row r="12">
      <c r="A12" t="inlineStr">
        <is>
          <t>SIMULATED_ShelfStudy_POSM_vs_NoPOSM</t>
        </is>
      </c>
      <c r="B12" t="inlineStr">
        <is>
          <t>P17</t>
        </is>
      </c>
      <c r="C12" t="inlineStr">
        <is>
          <t>POSM</t>
        </is>
      </c>
      <c r="D12" t="n">
        <v>6</v>
      </c>
      <c r="E12" t="inlineStr">
        <is>
          <t>Yes</t>
        </is>
      </c>
      <c r="F12" t="inlineStr">
        <is>
          <t>Competitor_A</t>
        </is>
      </c>
      <c r="G12">
        <f>IF(ISNA(MATCH(B12,Sensodyne!$A$5:$A$40,0)),"No","Yes")</f>
        <v/>
      </c>
      <c r="H12" s="15">
        <f>IFERROR(INDEX(Sensodyne!$G$5:$G$40,MATCH(B12,Sensodyne!$A$5:$A$40,0)),"")</f>
        <v/>
      </c>
      <c r="I12">
        <f>IF(G12="Yes",D12,"")</f>
        <v/>
      </c>
      <c r="K12" t="inlineStr">
        <is>
          <t>Brand recall Yes, POSM (count)</t>
        </is>
      </c>
      <c r="L12" s="16">
        <f>COUNTIFS(C4:C33,"POSM",E4:E33,"Yes",G4:G33,"Yes")</f>
        <v/>
      </c>
    </row>
    <row r="13">
      <c r="A13" t="inlineStr">
        <is>
          <t>SIMULATED_ShelfStudy_POSM_vs_NoPOSM</t>
        </is>
      </c>
      <c r="B13" t="inlineStr">
        <is>
          <t>P19</t>
        </is>
      </c>
      <c r="C13" t="inlineStr">
        <is>
          <t>POSM</t>
        </is>
      </c>
      <c r="D13" t="n">
        <v>5</v>
      </c>
      <c r="E13" t="inlineStr">
        <is>
          <t>Yes</t>
        </is>
      </c>
      <c r="F13" t="inlineStr">
        <is>
          <t>Other</t>
        </is>
      </c>
      <c r="G13">
        <f>IF(ISNA(MATCH(B13,Sensodyne!$A$5:$A$40,0)),"No","Yes")</f>
        <v/>
      </c>
      <c r="H13" s="15">
        <f>IFERROR(INDEX(Sensodyne!$G$5:$G$40,MATCH(B13,Sensodyne!$A$5:$A$40,0)),"")</f>
        <v/>
      </c>
      <c r="I13">
        <f>IF(G13="Yes",D13,"")</f>
        <v/>
      </c>
      <c r="K13" t="inlineStr">
        <is>
          <t>Brand recall Yes, NoPOSM (count)</t>
        </is>
      </c>
      <c r="L13" s="16">
        <f>COUNTIFS(C4:C33,"NoPOSM",E4:E33,"Yes",G4:G33,"Yes")</f>
        <v/>
      </c>
    </row>
    <row r="14">
      <c r="A14" t="inlineStr">
        <is>
          <t>SIMULATED_ShelfStudy_POSM_vs_NoPOSM</t>
        </is>
      </c>
      <c r="B14" t="inlineStr">
        <is>
          <t>P21</t>
        </is>
      </c>
      <c r="C14" t="inlineStr">
        <is>
          <t>POSM</t>
        </is>
      </c>
      <c r="D14" t="n">
        <v>4</v>
      </c>
      <c r="E14" t="inlineStr">
        <is>
          <t>Yes</t>
        </is>
      </c>
      <c r="F14" t="inlineStr">
        <is>
          <t>Sensodyne</t>
        </is>
      </c>
      <c r="G14">
        <f>IF(ISNA(MATCH(B14,Sensodyne!$A$5:$A$40,0)),"No","Yes")</f>
        <v/>
      </c>
      <c r="H14" s="15">
        <f>IFERROR(INDEX(Sensodyne!$G$5:$G$40,MATCH(B14,Sensodyne!$A$5:$A$40,0)),"")</f>
        <v/>
      </c>
      <c r="I14">
        <f>IF(G14="Yes",D14,"")</f>
        <v/>
      </c>
      <c r="K14" t="inlineStr">
        <is>
          <t>Chose Sensodyne, POSM (count)</t>
        </is>
      </c>
      <c r="L14" s="16">
        <f>COUNTIFS(C4:C33,"POSM",F4:F33,"Sensodyne",G4:G33,"Yes")</f>
        <v/>
      </c>
    </row>
    <row r="15">
      <c r="A15" t="inlineStr">
        <is>
          <t>SIMULATED_ShelfStudy_POSM_vs_NoPOSM</t>
        </is>
      </c>
      <c r="B15" t="inlineStr">
        <is>
          <t>P23</t>
        </is>
      </c>
      <c r="C15" t="inlineStr">
        <is>
          <t>POSM</t>
        </is>
      </c>
      <c r="D15" t="n">
        <v>7</v>
      </c>
      <c r="E15" t="inlineStr">
        <is>
          <t>Yes</t>
        </is>
      </c>
      <c r="F15" t="inlineStr">
        <is>
          <t>Competitor_A</t>
        </is>
      </c>
      <c r="G15">
        <f>IF(ISNA(MATCH(B15,Sensodyne!$A$5:$A$40,0)),"No","Yes")</f>
        <v/>
      </c>
      <c r="H15" s="15">
        <f>IFERROR(INDEX(Sensodyne!$G$5:$G$40,MATCH(B15,Sensodyne!$A$5:$A$40,0)),"")</f>
        <v/>
      </c>
      <c r="I15">
        <f>IF(G15="Yes",D15,"")</f>
        <v/>
      </c>
      <c r="K15" t="inlineStr">
        <is>
          <t>Chose Sensodyne, NoPOSM (count)</t>
        </is>
      </c>
      <c r="L15" s="16">
        <f>COUNTIFS(C4:C33,"NoPOSM",F4:F33,"Sensodyne",G4:G33,"Yes")</f>
        <v/>
      </c>
    </row>
    <row r="16">
      <c r="A16" t="inlineStr">
        <is>
          <t>SIMULATED_ShelfStudy_POSM_vs_NoPOSM</t>
        </is>
      </c>
      <c r="B16" t="inlineStr">
        <is>
          <t>P25</t>
        </is>
      </c>
      <c r="C16" t="inlineStr">
        <is>
          <t>POSM</t>
        </is>
      </c>
      <c r="D16" t="n">
        <v>5</v>
      </c>
      <c r="E16" t="inlineStr">
        <is>
          <t>Yes</t>
        </is>
      </c>
      <c r="F16" t="inlineStr">
        <is>
          <t>Sensodyne</t>
        </is>
      </c>
      <c r="G16">
        <f>IF(ISNA(MATCH(B16,Sensodyne!$A$5:$A$40,0)),"No","Yes")</f>
        <v/>
      </c>
      <c r="H16" s="15">
        <f>IFERROR(INDEX(Sensodyne!$G$5:$G$40,MATCH(B16,Sensodyne!$A$5:$A$40,0)),"")</f>
        <v/>
      </c>
      <c r="I16">
        <f>IF(G16="Yes",D16,"")</f>
        <v/>
      </c>
      <c r="K16" t="inlineStr">
        <is>
          <t>CORREL: Sensodyne dwell (%) with purchase intent (kept)</t>
        </is>
      </c>
      <c r="L16" s="16">
        <f>CORREL(H4:H33,I4:I33)</f>
        <v/>
      </c>
    </row>
    <row r="17">
      <c r="A17" t="inlineStr">
        <is>
          <t>SIMULATED_ShelfStudy_POSM_vs_NoPOSM</t>
        </is>
      </c>
      <c r="B17" t="inlineStr">
        <is>
          <t>P27</t>
        </is>
      </c>
      <c r="C17" t="inlineStr">
        <is>
          <t>POSM</t>
        </is>
      </c>
      <c r="D17" t="n">
        <v>5</v>
      </c>
      <c r="E17" t="inlineStr">
        <is>
          <t>Yes</t>
        </is>
      </c>
      <c r="F17" t="inlineStr">
        <is>
          <t>Sensodyne</t>
        </is>
      </c>
      <c r="G17">
        <f>IF(ISNA(MATCH(B17,Sensodyne!$A$5:$A$40,0)),"No","Yes")</f>
        <v/>
      </c>
      <c r="H17" s="15">
        <f>IFERROR(INDEX(Sensodyne!$G$5:$G$40,MATCH(B17,Sensodyne!$A$5:$A$40,0)),"")</f>
        <v/>
      </c>
      <c r="I17">
        <f>IF(G17="Yes",D17,"")</f>
        <v/>
      </c>
    </row>
    <row r="18">
      <c r="A18" t="inlineStr">
        <is>
          <t>SIMULATED_ShelfStudy_POSM_vs_NoPOSM</t>
        </is>
      </c>
      <c r="B18" t="inlineStr">
        <is>
          <t>P29</t>
        </is>
      </c>
      <c r="C18" t="inlineStr">
        <is>
          <t>POSM</t>
        </is>
      </c>
      <c r="D18" t="n">
        <v>4</v>
      </c>
      <c r="E18" t="inlineStr">
        <is>
          <t>Yes</t>
        </is>
      </c>
      <c r="F18" t="inlineStr">
        <is>
          <t>Sensodyne</t>
        </is>
      </c>
      <c r="G18">
        <f>IF(ISNA(MATCH(B18,Sensodyne!$A$5:$A$40,0)),"No","Yes")</f>
        <v/>
      </c>
      <c r="H18" s="15">
        <f>IFERROR(INDEX(Sensodyne!$G$5:$G$40,MATCH(B18,Sensodyne!$A$5:$A$40,0)),"")</f>
        <v/>
      </c>
      <c r="I18">
        <f>IF(G18="Yes",D18,"")</f>
        <v/>
      </c>
    </row>
    <row r="19">
      <c r="A19" t="inlineStr">
        <is>
          <t>SIMULATED_ShelfStudy_POSM_vs_NoPOSM</t>
        </is>
      </c>
      <c r="B19" t="inlineStr">
        <is>
          <t>P02</t>
        </is>
      </c>
      <c r="C19" t="inlineStr">
        <is>
          <t>NoPOSM</t>
        </is>
      </c>
      <c r="D19" t="n">
        <v>4</v>
      </c>
      <c r="E19" t="inlineStr">
        <is>
          <t>Yes</t>
        </is>
      </c>
      <c r="F19" t="inlineStr">
        <is>
          <t>Sensodyne</t>
        </is>
      </c>
      <c r="G19">
        <f>IF(ISNA(MATCH(B19,Sensodyne!$A$5:$A$40,0)),"No","Yes")</f>
        <v/>
      </c>
      <c r="H19" s="15">
        <f>IFERROR(INDEX(Sensodyne!$G$5:$G$40,MATCH(B19,Sensodyne!$A$5:$A$40,0)),"")</f>
        <v/>
      </c>
      <c r="I19">
        <f>IF(G19="Yes",D19,"")</f>
        <v/>
      </c>
    </row>
    <row r="20">
      <c r="A20" t="inlineStr">
        <is>
          <t>SIMULATED_ShelfStudy_POSM_vs_NoPOSM</t>
        </is>
      </c>
      <c r="B20" t="inlineStr">
        <is>
          <t>P04</t>
        </is>
      </c>
      <c r="C20" t="inlineStr">
        <is>
          <t>NoPOSM</t>
        </is>
      </c>
      <c r="D20" t="n">
        <v>5</v>
      </c>
      <c r="E20" t="inlineStr">
        <is>
          <t>No</t>
        </is>
      </c>
      <c r="F20" t="inlineStr">
        <is>
          <t>Competitor_A</t>
        </is>
      </c>
      <c r="G20">
        <f>IF(ISNA(MATCH(B20,Sensodyne!$A$5:$A$40,0)),"No","Yes")</f>
        <v/>
      </c>
      <c r="H20" s="15">
        <f>IFERROR(INDEX(Sensodyne!$G$5:$G$40,MATCH(B20,Sensodyne!$A$5:$A$40,0)),"")</f>
        <v/>
      </c>
      <c r="I20">
        <f>IF(G20="Yes",D20,"")</f>
        <v/>
      </c>
    </row>
    <row r="21">
      <c r="A21" t="inlineStr">
        <is>
          <t>SIMULATED_ShelfStudy_POSM_vs_NoPOSM</t>
        </is>
      </c>
      <c r="B21" t="inlineStr">
        <is>
          <t>P06</t>
        </is>
      </c>
      <c r="C21" t="inlineStr">
        <is>
          <t>NoPOSM</t>
        </is>
      </c>
      <c r="D21" t="n">
        <v>4</v>
      </c>
      <c r="E21" t="inlineStr">
        <is>
          <t>Yes</t>
        </is>
      </c>
      <c r="F21" t="inlineStr">
        <is>
          <t>Competitor_A</t>
        </is>
      </c>
      <c r="G21">
        <f>IF(ISNA(MATCH(B21,Sensodyne!$A$5:$A$40,0)),"No","Yes")</f>
        <v/>
      </c>
      <c r="H21" s="15">
        <f>IFERROR(INDEX(Sensodyne!$G$5:$G$40,MATCH(B21,Sensodyne!$A$5:$A$40,0)),"")</f>
        <v/>
      </c>
      <c r="I21">
        <f>IF(G21="Yes",D21,"")</f>
        <v/>
      </c>
    </row>
    <row r="22">
      <c r="A22" t="inlineStr">
        <is>
          <t>SIMULATED_ShelfStudy_POSM_vs_NoPOSM</t>
        </is>
      </c>
      <c r="B22" t="inlineStr">
        <is>
          <t>P08</t>
        </is>
      </c>
      <c r="C22" t="inlineStr">
        <is>
          <t>NoPOSM</t>
        </is>
      </c>
      <c r="D22" t="n">
        <v>6</v>
      </c>
      <c r="E22" t="inlineStr">
        <is>
          <t>Yes</t>
        </is>
      </c>
      <c r="F22" t="inlineStr">
        <is>
          <t>Competitor_B</t>
        </is>
      </c>
      <c r="G22">
        <f>IF(ISNA(MATCH(B22,Sensodyne!$A$5:$A$40,0)),"No","Yes")</f>
        <v/>
      </c>
      <c r="H22" s="15">
        <f>IFERROR(INDEX(Sensodyne!$G$5:$G$40,MATCH(B22,Sensodyne!$A$5:$A$40,0)),"")</f>
        <v/>
      </c>
      <c r="I22">
        <f>IF(G22="Yes",D22,"")</f>
        <v/>
      </c>
    </row>
    <row r="23">
      <c r="A23" t="inlineStr">
        <is>
          <t>SIMULATED_ShelfStudy_POSM_vs_NoPOSM</t>
        </is>
      </c>
      <c r="B23" t="inlineStr">
        <is>
          <t>P10</t>
        </is>
      </c>
      <c r="C23" t="inlineStr">
        <is>
          <t>NoPOSM</t>
        </is>
      </c>
      <c r="D23" t="n">
        <v>3</v>
      </c>
      <c r="E23" t="inlineStr">
        <is>
          <t>No</t>
        </is>
      </c>
      <c r="F23" t="inlineStr">
        <is>
          <t>Competitor_A</t>
        </is>
      </c>
      <c r="G23">
        <f>IF(ISNA(MATCH(B23,Sensodyne!$A$5:$A$40,0)),"No","Yes")</f>
        <v/>
      </c>
      <c r="H23" s="15">
        <f>IFERROR(INDEX(Sensodyne!$G$5:$G$40,MATCH(B23,Sensodyne!$A$5:$A$40,0)),"")</f>
        <v/>
      </c>
      <c r="I23">
        <f>IF(G23="Yes",D23,"")</f>
        <v/>
      </c>
    </row>
    <row r="24">
      <c r="A24" t="inlineStr">
        <is>
          <t>SIMULATED_ShelfStudy_POSM_vs_NoPOSM</t>
        </is>
      </c>
      <c r="B24" t="inlineStr">
        <is>
          <t>P12</t>
        </is>
      </c>
      <c r="C24" t="inlineStr">
        <is>
          <t>NoPOSM</t>
        </is>
      </c>
      <c r="D24" t="n">
        <v>6</v>
      </c>
      <c r="E24" t="inlineStr">
        <is>
          <t>Yes</t>
        </is>
      </c>
      <c r="F24" t="inlineStr">
        <is>
          <t>Competitor_B</t>
        </is>
      </c>
      <c r="G24">
        <f>IF(ISNA(MATCH(B24,Sensodyne!$A$5:$A$40,0)),"No","Yes")</f>
        <v/>
      </c>
      <c r="H24" s="15">
        <f>IFERROR(INDEX(Sensodyne!$G$5:$G$40,MATCH(B24,Sensodyne!$A$5:$A$40,0)),"")</f>
        <v/>
      </c>
      <c r="I24">
        <f>IF(G24="Yes",D24,"")</f>
        <v/>
      </c>
    </row>
    <row r="25">
      <c r="A25" t="inlineStr">
        <is>
          <t>SIMULATED_ShelfStudy_POSM_vs_NoPOSM</t>
        </is>
      </c>
      <c r="B25" t="inlineStr">
        <is>
          <t>P14</t>
        </is>
      </c>
      <c r="C25" t="inlineStr">
        <is>
          <t>NoPOSM</t>
        </is>
      </c>
      <c r="D25" t="n">
        <v>4</v>
      </c>
      <c r="E25" t="inlineStr">
        <is>
          <t>No</t>
        </is>
      </c>
      <c r="F25" t="inlineStr">
        <is>
          <t>Sensodyne</t>
        </is>
      </c>
      <c r="G25">
        <f>IF(ISNA(MATCH(B25,Sensodyne!$A$5:$A$40,0)),"No","Yes")</f>
        <v/>
      </c>
      <c r="H25" s="15">
        <f>IFERROR(INDEX(Sensodyne!$G$5:$G$40,MATCH(B25,Sensodyne!$A$5:$A$40,0)),"")</f>
        <v/>
      </c>
      <c r="I25">
        <f>IF(G25="Yes",D25,"")</f>
        <v/>
      </c>
    </row>
    <row r="26">
      <c r="A26" t="inlineStr">
        <is>
          <t>SIMULATED_ShelfStudy_POSM_vs_NoPOSM</t>
        </is>
      </c>
      <c r="B26" t="inlineStr">
        <is>
          <t>P16</t>
        </is>
      </c>
      <c r="C26" t="inlineStr">
        <is>
          <t>NoPOSM</t>
        </is>
      </c>
      <c r="D26" t="n">
        <v>4</v>
      </c>
      <c r="E26" t="inlineStr">
        <is>
          <t>No</t>
        </is>
      </c>
      <c r="F26" t="inlineStr">
        <is>
          <t>Other</t>
        </is>
      </c>
      <c r="G26">
        <f>IF(ISNA(MATCH(B26,Sensodyne!$A$5:$A$40,0)),"No","Yes")</f>
        <v/>
      </c>
      <c r="H26" s="15">
        <f>IFERROR(INDEX(Sensodyne!$G$5:$G$40,MATCH(B26,Sensodyne!$A$5:$A$40,0)),"")</f>
        <v/>
      </c>
      <c r="I26">
        <f>IF(G26="Yes",D26,"")</f>
        <v/>
      </c>
    </row>
    <row r="27">
      <c r="A27" t="inlineStr">
        <is>
          <t>SIMULATED_ShelfStudy_POSM_vs_NoPOSM</t>
        </is>
      </c>
      <c r="B27" t="inlineStr">
        <is>
          <t>P18</t>
        </is>
      </c>
      <c r="C27" t="inlineStr">
        <is>
          <t>NoPOSM</t>
        </is>
      </c>
      <c r="D27" t="n">
        <v>2</v>
      </c>
      <c r="E27" t="inlineStr">
        <is>
          <t>No</t>
        </is>
      </c>
      <c r="F27" t="inlineStr">
        <is>
          <t>Competitor_B</t>
        </is>
      </c>
      <c r="G27">
        <f>IF(ISNA(MATCH(B27,Sensodyne!$A$5:$A$40,0)),"No","Yes")</f>
        <v/>
      </c>
      <c r="H27" s="15">
        <f>IFERROR(INDEX(Sensodyne!$G$5:$G$40,MATCH(B27,Sensodyne!$A$5:$A$40,0)),"")</f>
        <v/>
      </c>
      <c r="I27">
        <f>IF(G27="Yes",D27,"")</f>
        <v/>
      </c>
    </row>
    <row r="28">
      <c r="A28" t="inlineStr">
        <is>
          <t>SIMULATED_ShelfStudy_POSM_vs_NoPOSM</t>
        </is>
      </c>
      <c r="B28" t="inlineStr">
        <is>
          <t>P20</t>
        </is>
      </c>
      <c r="C28" t="inlineStr">
        <is>
          <t>NoPOSM</t>
        </is>
      </c>
      <c r="D28" t="n">
        <v>6</v>
      </c>
      <c r="E28" t="inlineStr">
        <is>
          <t>No</t>
        </is>
      </c>
      <c r="F28" t="inlineStr">
        <is>
          <t>Competitor_A</t>
        </is>
      </c>
      <c r="G28">
        <f>IF(ISNA(MATCH(B28,Sensodyne!$A$5:$A$40,0)),"No","Yes")</f>
        <v/>
      </c>
      <c r="H28" s="15">
        <f>IFERROR(INDEX(Sensodyne!$G$5:$G$40,MATCH(B28,Sensodyne!$A$5:$A$40,0)),"")</f>
        <v/>
      </c>
      <c r="I28">
        <f>IF(G28="Yes",D28,"")</f>
        <v/>
      </c>
    </row>
    <row r="29">
      <c r="A29" t="inlineStr">
        <is>
          <t>SIMULATED_ShelfStudy_POSM_vs_NoPOSM</t>
        </is>
      </c>
      <c r="B29" t="inlineStr">
        <is>
          <t>P22</t>
        </is>
      </c>
      <c r="C29" t="inlineStr">
        <is>
          <t>NoPOSM</t>
        </is>
      </c>
      <c r="D29" t="n">
        <v>3</v>
      </c>
      <c r="E29" t="inlineStr">
        <is>
          <t>Yes</t>
        </is>
      </c>
      <c r="F29" t="inlineStr">
        <is>
          <t>Competitor_B</t>
        </is>
      </c>
      <c r="G29">
        <f>IF(ISNA(MATCH(B29,Sensodyne!$A$5:$A$40,0)),"No","Yes")</f>
        <v/>
      </c>
      <c r="H29" s="15">
        <f>IFERROR(INDEX(Sensodyne!$G$5:$G$40,MATCH(B29,Sensodyne!$A$5:$A$40,0)),"")</f>
        <v/>
      </c>
      <c r="I29">
        <f>IF(G29="Yes",D29,"")</f>
        <v/>
      </c>
    </row>
    <row r="30">
      <c r="A30" t="inlineStr">
        <is>
          <t>SIMULATED_ShelfStudy_POSM_vs_NoPOSM</t>
        </is>
      </c>
      <c r="B30" t="inlineStr">
        <is>
          <t>P24</t>
        </is>
      </c>
      <c r="C30" t="inlineStr">
        <is>
          <t>NoPOSM</t>
        </is>
      </c>
      <c r="D30" t="n">
        <v>5</v>
      </c>
      <c r="E30" t="inlineStr">
        <is>
          <t>Yes</t>
        </is>
      </c>
      <c r="F30" t="inlineStr">
        <is>
          <t>Competitor_B</t>
        </is>
      </c>
      <c r="G30">
        <f>IF(ISNA(MATCH(B30,Sensodyne!$A$5:$A$40,0)),"No","Yes")</f>
        <v/>
      </c>
      <c r="H30" s="15">
        <f>IFERROR(INDEX(Sensodyne!$G$5:$G$40,MATCH(B30,Sensodyne!$A$5:$A$40,0)),"")</f>
        <v/>
      </c>
      <c r="I30">
        <f>IF(G30="Yes",D30,"")</f>
        <v/>
      </c>
    </row>
    <row r="31">
      <c r="A31" t="inlineStr">
        <is>
          <t>SIMULATED_ShelfStudy_POSM_vs_NoPOSM</t>
        </is>
      </c>
      <c r="B31" t="inlineStr">
        <is>
          <t>P26</t>
        </is>
      </c>
      <c r="C31" t="inlineStr">
        <is>
          <t>NoPOSM</t>
        </is>
      </c>
      <c r="D31" t="n">
        <v>2</v>
      </c>
      <c r="E31" t="inlineStr">
        <is>
          <t>Yes</t>
        </is>
      </c>
      <c r="F31" t="inlineStr">
        <is>
          <t>Other</t>
        </is>
      </c>
      <c r="G31">
        <f>IF(ISNA(MATCH(B31,Sensodyne!$A$5:$A$40,0)),"No","Yes")</f>
        <v/>
      </c>
      <c r="H31" s="15">
        <f>IFERROR(INDEX(Sensodyne!$G$5:$G$40,MATCH(B31,Sensodyne!$A$5:$A$40,0)),"")</f>
        <v/>
      </c>
      <c r="I31">
        <f>IF(G31="Yes",D31,"")</f>
        <v/>
      </c>
    </row>
    <row r="32">
      <c r="A32" t="inlineStr">
        <is>
          <t>SIMULATED_ShelfStudy_POSM_vs_NoPOSM</t>
        </is>
      </c>
      <c r="B32" t="inlineStr">
        <is>
          <t>P28</t>
        </is>
      </c>
      <c r="C32" t="inlineStr">
        <is>
          <t>NoPOSM</t>
        </is>
      </c>
      <c r="D32" t="n">
        <v>5</v>
      </c>
      <c r="E32" t="inlineStr">
        <is>
          <t>No</t>
        </is>
      </c>
      <c r="F32" t="inlineStr">
        <is>
          <t>Competitor_A</t>
        </is>
      </c>
      <c r="G32">
        <f>IF(ISNA(MATCH(B32,Sensodyne!$A$5:$A$40,0)),"No","Yes")</f>
        <v/>
      </c>
      <c r="H32" s="15">
        <f>IFERROR(INDEX(Sensodyne!$G$5:$G$40,MATCH(B32,Sensodyne!$A$5:$A$40,0)),"")</f>
        <v/>
      </c>
      <c r="I32">
        <f>IF(G32="Yes",D32,"")</f>
        <v/>
      </c>
    </row>
    <row r="33">
      <c r="A33" t="inlineStr">
        <is>
          <t>SIMULATED_ShelfStudy_POSM_vs_NoPOSM</t>
        </is>
      </c>
      <c r="B33" t="inlineStr">
        <is>
          <t>P30</t>
        </is>
      </c>
      <c r="C33" t="inlineStr">
        <is>
          <t>NoPOSM</t>
        </is>
      </c>
      <c r="D33" t="n">
        <v>3</v>
      </c>
      <c r="E33" t="inlineStr">
        <is>
          <t>Yes</t>
        </is>
      </c>
      <c r="F33" t="inlineStr">
        <is>
          <t>Sensodyne</t>
        </is>
      </c>
      <c r="G33">
        <f>IF(ISNA(MATCH(B33,Sensodyne!$A$5:$A$40,0)),"No","Yes")</f>
        <v/>
      </c>
      <c r="H33" s="15">
        <f>IFERROR(INDEX(Sensodyne!$G$5:$G$40,MATCH(B33,Sensodyne!$A$5:$A$40,0)),"")</f>
        <v/>
      </c>
      <c r="I33">
        <f>IF(G33="Yes",D33,"")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6" customWidth="1" min="4" max="4"/>
    <col width="8" customWidth="1" min="5" max="5"/>
    <col width="13" customWidth="1" min="6" max="6"/>
    <col width="11" customWidth="1" min="7" max="7"/>
    <col width="16" customWidth="1" min="8" max="8"/>
    <col width="14" customWidth="1" min="9" max="9"/>
    <col width="14" customWidth="1" min="10" max="10"/>
    <col width="10" customWidth="1" min="11" max="11"/>
    <col width="8" customWidth="1" min="12" max="12"/>
  </cols>
  <sheetData>
    <row r="1">
      <c r="A1" s="4" t="inlineStr">
        <is>
          <t>Reference values from analysis.R (SIMULATED data). Your Excel formulas should match to rounding.</t>
        </is>
      </c>
    </row>
    <row r="2"/>
    <row r="3">
      <c r="A3" s="2" t="inlineStr">
        <is>
          <t>comparison</t>
        </is>
      </c>
      <c r="B3" s="2" t="inlineStr">
        <is>
          <t>m_posm</t>
        </is>
      </c>
      <c r="C3" s="2" t="inlineStr">
        <is>
          <t>m_noposm</t>
        </is>
      </c>
      <c r="D3" s="2" t="inlineStr">
        <is>
          <t>t</t>
        </is>
      </c>
      <c r="E3" s="2" t="inlineStr">
        <is>
          <t>df</t>
        </is>
      </c>
      <c r="F3" s="2" t="inlineStr">
        <is>
          <t>p</t>
        </is>
      </c>
      <c r="G3" s="2" t="inlineStr">
        <is>
          <t>d</t>
        </is>
      </c>
      <c r="H3" s="2" t="inlineStr">
        <is>
          <t>d_ci_low</t>
        </is>
      </c>
      <c r="I3" s="2" t="inlineStr">
        <is>
          <t>d_ci_high</t>
        </is>
      </c>
    </row>
    <row r="4">
      <c r="A4" t="inlineStr">
        <is>
          <t>TTFF Sensodyne_Products (s)</t>
        </is>
      </c>
      <c r="B4" t="n">
        <v>2.252</v>
      </c>
      <c r="C4" t="n">
        <v>3.588</v>
      </c>
      <c r="D4" t="n">
        <v>-3.911</v>
      </c>
      <c r="E4" t="n">
        <v>26.888</v>
      </c>
      <c r="F4" t="n">
        <v>0.001</v>
      </c>
      <c r="G4" t="n">
        <v>-1.446</v>
      </c>
      <c r="H4" t="n">
        <v>-2.259</v>
      </c>
      <c r="I4" t="n">
        <v>-0.613</v>
      </c>
    </row>
    <row r="5">
      <c r="A5" t="inlineStr">
        <is>
          <t>TTFF max. Sensodyne_Products (s)</t>
        </is>
      </c>
      <c r="B5" t="n">
        <v>2.252</v>
      </c>
      <c r="C5" t="n">
        <v>3.588</v>
      </c>
      <c r="D5" t="n">
        <v>-3.911</v>
      </c>
      <c r="E5" t="n">
        <v>26.888</v>
      </c>
      <c r="F5" t="n">
        <v>0.001</v>
      </c>
      <c r="G5" t="n">
        <v>-1.446</v>
      </c>
      <c r="H5" t="n">
        <v>-2.259</v>
      </c>
      <c r="I5" t="n">
        <v>-0.613</v>
      </c>
    </row>
    <row r="6">
      <c r="A6" t="inlineStr">
        <is>
          <t>Dwell time (%) Sensodyne_Products</t>
        </is>
      </c>
      <c r="B6" t="n">
        <v>18.433</v>
      </c>
      <c r="C6" t="n">
        <v>10.755</v>
      </c>
      <c r="D6" t="n">
        <v>3.908</v>
      </c>
      <c r="E6" t="n">
        <v>23.868</v>
      </c>
      <c r="F6" t="n">
        <v>0.001</v>
      </c>
      <c r="G6" t="n">
        <v>1.468</v>
      </c>
      <c r="H6" t="n">
        <v>0.631</v>
      </c>
      <c r="I6" t="n">
        <v>2.283</v>
      </c>
    </row>
    <row r="7">
      <c r="A7" t="inlineStr">
        <is>
          <t>Competitor dwell (s)</t>
        </is>
      </c>
      <c r="B7" t="n">
        <v>35.985</v>
      </c>
      <c r="C7" t="n">
        <v>49.326</v>
      </c>
      <c r="D7" t="n">
        <v>-2.323</v>
      </c>
      <c r="E7" t="n">
        <v>26.946</v>
      </c>
      <c r="F7" t="n">
        <v>0.028</v>
      </c>
      <c r="G7" t="n">
        <v>-0.86</v>
      </c>
      <c r="H7" t="n">
        <v>-1.616</v>
      </c>
      <c r="I7" t="n">
        <v>-0.089</v>
      </c>
    </row>
    <row r="8">
      <c r="A8" t="inlineStr">
        <is>
          <t>Purchase intent (1 to 7)</t>
        </is>
      </c>
      <c r="B8" t="n">
        <v>4.857</v>
      </c>
      <c r="C8" t="n">
        <v>4.133</v>
      </c>
      <c r="D8" t="n">
        <v>1.627</v>
      </c>
      <c r="E8" t="n">
        <v>25.946</v>
      </c>
      <c r="F8" t="n">
        <v>0.116</v>
      </c>
      <c r="G8" t="n">
        <v>0.599</v>
      </c>
      <c r="H8" t="n">
        <v>-0.152</v>
      </c>
      <c r="I8" t="n">
        <v>1.341</v>
      </c>
    </row>
    <row r="9"/>
    <row r="10">
      <c r="A10" t="inlineStr">
        <is>
          <t>Note: R reports the Cohen's d interval from the noncentral t distribution (effectsize package);</t>
        </is>
      </c>
    </row>
    <row r="11">
      <c r="A11" t="inlineStr">
        <is>
          <t>the Excel sheet uses the large sample approximation, so the CI limits differ a little while d itself matches.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t="inlineStr">
        <is>
          <t>aoi</t>
        </is>
      </c>
      <c r="B13" t="inlineStr">
        <is>
          <t>condition</t>
        </is>
      </c>
      <c r="C13" t="inlineStr">
        <is>
          <t>n</t>
        </is>
      </c>
      <c r="D13" t="inlineStr">
        <is>
          <t>resp_ratio_pct</t>
        </is>
      </c>
      <c r="E13" t="inlineStr">
        <is>
          <t>n_ttff</t>
        </is>
      </c>
      <c r="F13" t="inlineStr">
        <is>
          <t>ttff_mean_s</t>
        </is>
      </c>
      <c r="G13" t="inlineStr">
        <is>
          <t>ttff_sd_s</t>
        </is>
      </c>
      <c r="H13" t="inlineStr">
        <is>
          <t>dwell_mean_pct</t>
        </is>
      </c>
      <c r="I13" t="inlineStr">
        <is>
          <t>dwell_sd_pct</t>
        </is>
      </c>
      <c r="J13" t="inlineStr">
        <is>
          <t>dwell_mean_s</t>
        </is>
      </c>
      <c r="K13" t="inlineStr">
        <is>
          <t>fix_mean</t>
        </is>
      </c>
      <c r="L13" t="inlineStr">
        <is>
          <t>fix_sd</t>
        </is>
      </c>
    </row>
    <row r="14">
      <c r="A14" t="inlineStr">
        <is>
          <t>Competitor_A</t>
        </is>
      </c>
      <c r="B14" t="inlineStr">
        <is>
          <t>NoPOSM</t>
        </is>
      </c>
      <c r="C14" t="n">
        <v>15</v>
      </c>
      <c r="D14" t="n">
        <v>100</v>
      </c>
      <c r="E14" t="n">
        <v>15</v>
      </c>
      <c r="F14" t="n">
        <v>1.97</v>
      </c>
      <c r="G14" t="n">
        <v>0.52</v>
      </c>
      <c r="H14" t="n">
        <v>17.38</v>
      </c>
      <c r="I14" t="n">
        <v>5.74</v>
      </c>
      <c r="J14" t="n">
        <v>25.57</v>
      </c>
      <c r="K14" t="n">
        <v>91.53</v>
      </c>
      <c r="L14" t="n">
        <v>37.45</v>
      </c>
    </row>
    <row r="15">
      <c r="A15" t="inlineStr">
        <is>
          <t>Competitor_A</t>
        </is>
      </c>
      <c r="B15" t="inlineStr">
        <is>
          <t>POSM</t>
        </is>
      </c>
      <c r="C15" t="n">
        <v>14</v>
      </c>
      <c r="D15" t="n">
        <v>100</v>
      </c>
      <c r="E15" t="n">
        <v>14</v>
      </c>
      <c r="F15" t="n">
        <v>2.86</v>
      </c>
      <c r="G15" t="n">
        <v>0.8</v>
      </c>
      <c r="H15" t="n">
        <v>14.81</v>
      </c>
      <c r="I15" t="n">
        <v>3.76</v>
      </c>
      <c r="J15" t="n">
        <v>21.07</v>
      </c>
      <c r="K15" t="n">
        <v>75.86</v>
      </c>
      <c r="L15" t="n">
        <v>24.35</v>
      </c>
    </row>
    <row r="16">
      <c r="A16" t="inlineStr">
        <is>
          <t>Competitor_B</t>
        </is>
      </c>
      <c r="B16" t="inlineStr">
        <is>
          <t>NoPOSM</t>
        </is>
      </c>
      <c r="C16" t="n">
        <v>15</v>
      </c>
      <c r="D16" t="n">
        <v>93.3</v>
      </c>
      <c r="E16" t="n">
        <v>14</v>
      </c>
      <c r="F16" t="n">
        <v>3.94</v>
      </c>
      <c r="G16" t="n">
        <v>1.43</v>
      </c>
      <c r="H16" t="n">
        <v>15.88</v>
      </c>
      <c r="I16" t="n">
        <v>8.369999999999999</v>
      </c>
      <c r="J16" t="n">
        <v>23.76</v>
      </c>
      <c r="K16" t="n">
        <v>83.40000000000001</v>
      </c>
      <c r="L16" t="n">
        <v>53.81</v>
      </c>
    </row>
    <row r="17">
      <c r="A17" t="inlineStr">
        <is>
          <t>Competitor_B</t>
        </is>
      </c>
      <c r="B17" t="inlineStr">
        <is>
          <t>POSM</t>
        </is>
      </c>
      <c r="C17" t="n">
        <v>14</v>
      </c>
      <c r="D17" t="n">
        <v>92.90000000000001</v>
      </c>
      <c r="E17" t="n">
        <v>13</v>
      </c>
      <c r="F17" t="n">
        <v>5.24</v>
      </c>
      <c r="G17" t="n">
        <v>1.21</v>
      </c>
      <c r="H17" t="n">
        <v>10.57</v>
      </c>
      <c r="I17" t="n">
        <v>4.2</v>
      </c>
      <c r="J17" t="n">
        <v>14.92</v>
      </c>
      <c r="K17" t="n">
        <v>55.64</v>
      </c>
      <c r="L17" t="n">
        <v>30.54</v>
      </c>
    </row>
    <row r="18">
      <c r="A18" t="inlineStr">
        <is>
          <t>Price_Tags</t>
        </is>
      </c>
      <c r="B18" t="inlineStr">
        <is>
          <t>NoPOSM</t>
        </is>
      </c>
      <c r="C18" t="n">
        <v>15</v>
      </c>
      <c r="D18" t="n">
        <v>66.7</v>
      </c>
      <c r="E18" t="n">
        <v>10</v>
      </c>
      <c r="F18" t="n">
        <v>8.76</v>
      </c>
      <c r="G18" t="n">
        <v>3.18</v>
      </c>
      <c r="H18" t="n">
        <v>5.21</v>
      </c>
      <c r="I18" t="n">
        <v>4.24</v>
      </c>
      <c r="J18" t="n">
        <v>7.65</v>
      </c>
      <c r="K18" t="n">
        <v>30.2</v>
      </c>
      <c r="L18" t="n">
        <v>24.88</v>
      </c>
    </row>
    <row r="19">
      <c r="A19" t="inlineStr">
        <is>
          <t>Price_Tags</t>
        </is>
      </c>
      <c r="B19" t="inlineStr">
        <is>
          <t>POSM</t>
        </is>
      </c>
      <c r="C19" t="n">
        <v>14</v>
      </c>
      <c r="D19" t="n">
        <v>100</v>
      </c>
      <c r="E19" t="n">
        <v>14</v>
      </c>
      <c r="F19" t="n">
        <v>8.82</v>
      </c>
      <c r="G19" t="n">
        <v>2.51</v>
      </c>
      <c r="H19" t="n">
        <v>8.369999999999999</v>
      </c>
      <c r="I19" t="n">
        <v>3.17</v>
      </c>
      <c r="J19" t="n">
        <v>11.45</v>
      </c>
      <c r="K19" t="n">
        <v>41.5</v>
      </c>
      <c r="L19" t="n">
        <v>18.88</v>
      </c>
    </row>
    <row r="20">
      <c r="A20" t="inlineStr">
        <is>
          <t>Sensodyne_POSM_Wing</t>
        </is>
      </c>
      <c r="B20" t="inlineStr">
        <is>
          <t>POSM</t>
        </is>
      </c>
      <c r="C20" t="n">
        <v>14</v>
      </c>
      <c r="D20" t="n">
        <v>100</v>
      </c>
      <c r="E20" t="n">
        <v>14</v>
      </c>
      <c r="F20" t="n">
        <v>1.92</v>
      </c>
      <c r="G20" t="n">
        <v>0.7</v>
      </c>
      <c r="H20" t="n">
        <v>6.26</v>
      </c>
      <c r="I20" t="n">
        <v>3.01</v>
      </c>
      <c r="J20" t="n">
        <v>8.56</v>
      </c>
      <c r="K20" t="n">
        <v>31.5</v>
      </c>
      <c r="L20" t="n">
        <v>18.65</v>
      </c>
    </row>
    <row r="21">
      <c r="A21" t="inlineStr">
        <is>
          <t>Sensodyne_Products</t>
        </is>
      </c>
      <c r="B21" t="inlineStr">
        <is>
          <t>NoPOSM</t>
        </is>
      </c>
      <c r="C21" t="n">
        <v>15</v>
      </c>
      <c r="D21" t="n">
        <v>100</v>
      </c>
      <c r="E21" t="n">
        <v>15</v>
      </c>
      <c r="F21" t="n">
        <v>3.59</v>
      </c>
      <c r="G21" t="n">
        <v>0.98</v>
      </c>
      <c r="H21" t="n">
        <v>10.76</v>
      </c>
      <c r="I21" t="n">
        <v>4.42</v>
      </c>
      <c r="J21" t="n">
        <v>16</v>
      </c>
      <c r="K21" t="n">
        <v>57.13</v>
      </c>
      <c r="L21" t="n">
        <v>21.04</v>
      </c>
    </row>
    <row r="22">
      <c r="A22" t="inlineStr">
        <is>
          <t>Sensodyne_Products</t>
        </is>
      </c>
      <c r="B22" t="inlineStr">
        <is>
          <t>POSM</t>
        </is>
      </c>
      <c r="C22" t="n">
        <v>14</v>
      </c>
      <c r="D22" t="n">
        <v>100</v>
      </c>
      <c r="E22" t="n">
        <v>14</v>
      </c>
      <c r="F22" t="n">
        <v>2.25</v>
      </c>
      <c r="G22" t="n">
        <v>0.86</v>
      </c>
      <c r="H22" t="n">
        <v>18.43</v>
      </c>
      <c r="I22" t="n">
        <v>5.98</v>
      </c>
      <c r="J22" t="n">
        <v>25.19</v>
      </c>
      <c r="K22" t="n">
        <v>88.43000000000001</v>
      </c>
      <c r="L22" t="n">
        <v>29</v>
      </c>
    </row>
    <row r="23">
      <c r="A23" t="inlineStr">
        <is>
          <t>Shelf_Other</t>
        </is>
      </c>
      <c r="B23" t="inlineStr">
        <is>
          <t>NoPOSM</t>
        </is>
      </c>
      <c r="C23" t="n">
        <v>15</v>
      </c>
      <c r="D23" t="n">
        <v>93.3</v>
      </c>
      <c r="E23" t="n">
        <v>14</v>
      </c>
      <c r="F23" t="n">
        <v>1.32</v>
      </c>
      <c r="G23" t="n">
        <v>0.66</v>
      </c>
      <c r="H23" t="n">
        <v>13.16</v>
      </c>
      <c r="I23" t="n">
        <v>7.48</v>
      </c>
      <c r="J23" t="n">
        <v>19.26</v>
      </c>
      <c r="K23" t="n">
        <v>73.2</v>
      </c>
      <c r="L23" t="n">
        <v>36.17</v>
      </c>
    </row>
    <row r="24">
      <c r="A24" t="inlineStr">
        <is>
          <t>Shelf_Other</t>
        </is>
      </c>
      <c r="B24" t="inlineStr">
        <is>
          <t>POSM</t>
        </is>
      </c>
      <c r="C24" t="n">
        <v>14</v>
      </c>
      <c r="D24" t="n">
        <v>92.90000000000001</v>
      </c>
      <c r="E24" t="n">
        <v>13</v>
      </c>
      <c r="F24" t="n">
        <v>1.32</v>
      </c>
      <c r="G24" t="n">
        <v>0.49</v>
      </c>
      <c r="H24" t="n">
        <v>15.25</v>
      </c>
      <c r="I24" t="n">
        <v>7.42</v>
      </c>
      <c r="J24" t="n">
        <v>23.21</v>
      </c>
      <c r="K24" t="n">
        <v>89</v>
      </c>
      <c r="L24" t="n">
        <v>60.85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2026-10-07T19:53:31Z</dcterms:created>
  <dcterms:modified xmlns:dcterms="http://purl.org/dc/terms/" xmlns:xsi="http://www.w3.org/2001/XMLSchema-instance" xsi:type="dcterms:W3CDTF">2026-10-07T19:53:31Z</dcterms:modified>
</cp:coreProperties>
</file>